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_sheet" defaultThemeVersion="124226"/>
  <mc:AlternateContent xmlns:mc="http://schemas.openxmlformats.org/markup-compatibility/2006">
    <mc:Choice Requires="x15">
      <x15ac:absPath xmlns:x15ac="http://schemas.microsoft.com/office/spreadsheetml/2010/11/ac" url="C:\Users\Bartosz\Desktop\"/>
    </mc:Choice>
  </mc:AlternateContent>
  <xr:revisionPtr revIDLastSave="0" documentId="13_ncr:1_{ACFB74D0-0B49-4CCA-8693-73023734B5DA}" xr6:coauthVersionLast="45" xr6:coauthVersionMax="45" xr10:uidLastSave="{00000000-0000-0000-0000-000000000000}"/>
  <bookViews>
    <workbookView xWindow="-108" yWindow="-108" windowWidth="23256" windowHeight="12576" firstSheet="1" xr2:uid="{00000000-000D-0000-FFFF-FFFF00000000}"/>
  </bookViews>
  <sheets>
    <sheet name="samples" sheetId="16" state="veryHidden" r:id="rId1"/>
    <sheet name="search" sheetId="4" r:id="rId2"/>
    <sheet name="search_engine" sheetId="17" state="veryHidden" r:id="rId3"/>
  </sheets>
  <calcPr calcId="181029"/>
  <webPublishing allowPng="1" targetScreenSize="1024x768" codePage="2859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7" l="1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AD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AD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AD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AD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AD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AD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AD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AD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AD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AD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AD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AD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AD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AD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AD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AD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AD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AD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AD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D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AD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AD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AD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AD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AD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AD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AD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AD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AD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AD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AD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AD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AD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AD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AD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AD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AD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AD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AD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AD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AD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AD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AD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AD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AD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AD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AD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AD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AD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AD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AD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AD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AD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AD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AD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AD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AD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AD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AD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AD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AD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AD83" i="17"/>
  <c r="C84" i="17"/>
  <c r="D84" i="17"/>
  <c r="E84" i="17"/>
  <c r="F84" i="17"/>
  <c r="G84" i="17"/>
  <c r="H84" i="17"/>
  <c r="I84" i="17"/>
  <c r="J84" i="17"/>
  <c r="K84" i="17"/>
  <c r="L84" i="17"/>
  <c r="M84" i="17"/>
  <c r="N84" i="17"/>
  <c r="O84" i="17"/>
  <c r="P84" i="17"/>
  <c r="Q84" i="17"/>
  <c r="R84" i="17"/>
  <c r="S84" i="17"/>
  <c r="T84" i="17"/>
  <c r="U84" i="17"/>
  <c r="V84" i="17"/>
  <c r="W84" i="17"/>
  <c r="X84" i="17"/>
  <c r="Y84" i="17"/>
  <c r="Z84" i="17"/>
  <c r="AA84" i="17"/>
  <c r="AB84" i="17"/>
  <c r="AC84" i="17"/>
  <c r="AD84" i="17"/>
  <c r="C85" i="17"/>
  <c r="D85" i="17"/>
  <c r="E85" i="17"/>
  <c r="F85" i="17"/>
  <c r="G85" i="17"/>
  <c r="H85" i="17"/>
  <c r="I85" i="17"/>
  <c r="J85" i="17"/>
  <c r="K85" i="17"/>
  <c r="L85" i="17"/>
  <c r="M85" i="17"/>
  <c r="N85" i="17"/>
  <c r="O85" i="17"/>
  <c r="P85" i="17"/>
  <c r="Q85" i="17"/>
  <c r="R85" i="17"/>
  <c r="S85" i="17"/>
  <c r="T85" i="17"/>
  <c r="U85" i="17"/>
  <c r="V85" i="17"/>
  <c r="W85" i="17"/>
  <c r="X85" i="17"/>
  <c r="Y85" i="17"/>
  <c r="Z85" i="17"/>
  <c r="AA85" i="17"/>
  <c r="AB85" i="17"/>
  <c r="AC85" i="17"/>
  <c r="AD85" i="17"/>
  <c r="C86" i="17"/>
  <c r="D86" i="17"/>
  <c r="E86" i="17"/>
  <c r="F86" i="17"/>
  <c r="G86" i="17"/>
  <c r="H86" i="17"/>
  <c r="I86" i="17"/>
  <c r="J86" i="17"/>
  <c r="K86" i="17"/>
  <c r="L86" i="17"/>
  <c r="M86" i="17"/>
  <c r="N86" i="17"/>
  <c r="O86" i="17"/>
  <c r="P86" i="17"/>
  <c r="Q86" i="17"/>
  <c r="R86" i="17"/>
  <c r="S86" i="17"/>
  <c r="T86" i="17"/>
  <c r="U86" i="17"/>
  <c r="V86" i="17"/>
  <c r="W86" i="17"/>
  <c r="X86" i="17"/>
  <c r="Y86" i="17"/>
  <c r="Z86" i="17"/>
  <c r="AA86" i="17"/>
  <c r="AB86" i="17"/>
  <c r="AC86" i="17"/>
  <c r="AD86" i="17"/>
  <c r="C87" i="17"/>
  <c r="D87" i="17"/>
  <c r="E87" i="17"/>
  <c r="F87" i="17"/>
  <c r="G87" i="17"/>
  <c r="H87" i="17"/>
  <c r="I87" i="17"/>
  <c r="J87" i="17"/>
  <c r="K87" i="17"/>
  <c r="L87" i="17"/>
  <c r="M87" i="17"/>
  <c r="N87" i="17"/>
  <c r="O87" i="17"/>
  <c r="P87" i="17"/>
  <c r="Q87" i="17"/>
  <c r="R87" i="17"/>
  <c r="S87" i="17"/>
  <c r="T87" i="17"/>
  <c r="U87" i="17"/>
  <c r="V87" i="17"/>
  <c r="W87" i="17"/>
  <c r="X87" i="17"/>
  <c r="Y87" i="17"/>
  <c r="Z87" i="17"/>
  <c r="AA87" i="17"/>
  <c r="AB87" i="17"/>
  <c r="AC87" i="17"/>
  <c r="AD87" i="17"/>
  <c r="C88" i="17"/>
  <c r="D88" i="17"/>
  <c r="E88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C89" i="17"/>
  <c r="D89" i="17"/>
  <c r="E89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C90" i="17"/>
  <c r="D90" i="17"/>
  <c r="E90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C91" i="17"/>
  <c r="D91" i="17"/>
  <c r="E91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C92" i="17"/>
  <c r="D92" i="17"/>
  <c r="E92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C93" i="17"/>
  <c r="D93" i="17"/>
  <c r="E93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C94" i="17"/>
  <c r="D94" i="17"/>
  <c r="E94" i="17"/>
  <c r="F94" i="17"/>
  <c r="G94" i="17"/>
  <c r="H94" i="17"/>
  <c r="I94" i="17"/>
  <c r="J94" i="17"/>
  <c r="K94" i="17"/>
  <c r="L94" i="17"/>
  <c r="M94" i="17"/>
  <c r="N94" i="17"/>
  <c r="O94" i="17"/>
  <c r="P94" i="17"/>
  <c r="Q94" i="17"/>
  <c r="R94" i="17"/>
  <c r="S94" i="17"/>
  <c r="T94" i="17"/>
  <c r="U94" i="17"/>
  <c r="V94" i="17"/>
  <c r="W94" i="17"/>
  <c r="X94" i="17"/>
  <c r="Y94" i="17"/>
  <c r="Z94" i="17"/>
  <c r="AA94" i="17"/>
  <c r="AB94" i="17"/>
  <c r="AC94" i="17"/>
  <c r="AD94" i="17"/>
  <c r="C95" i="17"/>
  <c r="D95" i="17"/>
  <c r="E95" i="17"/>
  <c r="F95" i="17"/>
  <c r="G95" i="17"/>
  <c r="H95" i="17"/>
  <c r="I95" i="17"/>
  <c r="J95" i="17"/>
  <c r="K95" i="17"/>
  <c r="L95" i="17"/>
  <c r="M95" i="17"/>
  <c r="N95" i="17"/>
  <c r="O95" i="17"/>
  <c r="P95" i="17"/>
  <c r="Q95" i="17"/>
  <c r="R95" i="17"/>
  <c r="S95" i="17"/>
  <c r="T95" i="17"/>
  <c r="U95" i="17"/>
  <c r="V95" i="17"/>
  <c r="W95" i="17"/>
  <c r="X95" i="17"/>
  <c r="Y95" i="17"/>
  <c r="Z95" i="17"/>
  <c r="AA95" i="17"/>
  <c r="AB95" i="17"/>
  <c r="AC95" i="17"/>
  <c r="AD95" i="17"/>
  <c r="C96" i="17"/>
  <c r="D96" i="17"/>
  <c r="E96" i="17"/>
  <c r="F96" i="17"/>
  <c r="G96" i="17"/>
  <c r="H96" i="17"/>
  <c r="I96" i="17"/>
  <c r="J96" i="17"/>
  <c r="K96" i="17"/>
  <c r="L96" i="17"/>
  <c r="M96" i="17"/>
  <c r="N96" i="17"/>
  <c r="O96" i="17"/>
  <c r="P96" i="17"/>
  <c r="Q96" i="17"/>
  <c r="R96" i="17"/>
  <c r="S96" i="17"/>
  <c r="T96" i="17"/>
  <c r="U96" i="17"/>
  <c r="V96" i="17"/>
  <c r="W96" i="17"/>
  <c r="X96" i="17"/>
  <c r="Y96" i="17"/>
  <c r="Z96" i="17"/>
  <c r="AA96" i="17"/>
  <c r="AB96" i="17"/>
  <c r="AC96" i="17"/>
  <c r="AD96" i="17"/>
  <c r="C97" i="17"/>
  <c r="D97" i="17"/>
  <c r="E97" i="17"/>
  <c r="F97" i="17"/>
  <c r="G97" i="17"/>
  <c r="H97" i="17"/>
  <c r="I97" i="17"/>
  <c r="J97" i="17"/>
  <c r="K97" i="17"/>
  <c r="L97" i="17"/>
  <c r="M97" i="17"/>
  <c r="N97" i="17"/>
  <c r="O97" i="17"/>
  <c r="P97" i="17"/>
  <c r="Q97" i="17"/>
  <c r="R97" i="17"/>
  <c r="S97" i="17"/>
  <c r="T97" i="17"/>
  <c r="U97" i="17"/>
  <c r="V97" i="17"/>
  <c r="W97" i="17"/>
  <c r="X97" i="17"/>
  <c r="Y97" i="17"/>
  <c r="Z97" i="17"/>
  <c r="AA97" i="17"/>
  <c r="AB97" i="17"/>
  <c r="AC97" i="17"/>
  <c r="AD97" i="17"/>
  <c r="C98" i="17"/>
  <c r="D98" i="17"/>
  <c r="E98" i="17"/>
  <c r="F98" i="17"/>
  <c r="G98" i="17"/>
  <c r="H98" i="17"/>
  <c r="I98" i="17"/>
  <c r="J98" i="17"/>
  <c r="K98" i="17"/>
  <c r="L98" i="17"/>
  <c r="M98" i="17"/>
  <c r="N98" i="17"/>
  <c r="O98" i="17"/>
  <c r="P98" i="17"/>
  <c r="Q98" i="17"/>
  <c r="R98" i="17"/>
  <c r="S98" i="17"/>
  <c r="T98" i="17"/>
  <c r="U98" i="17"/>
  <c r="V98" i="17"/>
  <c r="W98" i="17"/>
  <c r="X98" i="17"/>
  <c r="Y98" i="17"/>
  <c r="Z98" i="17"/>
  <c r="AA98" i="17"/>
  <c r="AB98" i="17"/>
  <c r="AC98" i="17"/>
  <c r="AD98" i="17"/>
  <c r="C99" i="17"/>
  <c r="D99" i="17"/>
  <c r="E99" i="17"/>
  <c r="F99" i="17"/>
  <c r="G99" i="17"/>
  <c r="H99" i="17"/>
  <c r="I99" i="17"/>
  <c r="J99" i="17"/>
  <c r="K99" i="17"/>
  <c r="L99" i="17"/>
  <c r="M99" i="17"/>
  <c r="N99" i="17"/>
  <c r="O99" i="17"/>
  <c r="P99" i="17"/>
  <c r="Q99" i="17"/>
  <c r="R99" i="17"/>
  <c r="S99" i="17"/>
  <c r="T99" i="17"/>
  <c r="U99" i="17"/>
  <c r="V99" i="17"/>
  <c r="W99" i="17"/>
  <c r="X99" i="17"/>
  <c r="Y99" i="17"/>
  <c r="Z99" i="17"/>
  <c r="AA99" i="17"/>
  <c r="AB99" i="17"/>
  <c r="AC99" i="17"/>
  <c r="AD99" i="17"/>
  <c r="C100" i="17"/>
  <c r="D100" i="17"/>
  <c r="E100" i="17"/>
  <c r="F100" i="17"/>
  <c r="G100" i="17"/>
  <c r="H100" i="17"/>
  <c r="I100" i="17"/>
  <c r="J100" i="17"/>
  <c r="K100" i="17"/>
  <c r="L100" i="17"/>
  <c r="M100" i="17"/>
  <c r="N100" i="17"/>
  <c r="O100" i="17"/>
  <c r="P100" i="17"/>
  <c r="Q100" i="17"/>
  <c r="R100" i="17"/>
  <c r="S100" i="17"/>
  <c r="T100" i="17"/>
  <c r="U100" i="17"/>
  <c r="V100" i="17"/>
  <c r="W100" i="17"/>
  <c r="X100" i="17"/>
  <c r="Y100" i="17"/>
  <c r="Z100" i="17"/>
  <c r="AA100" i="17"/>
  <c r="AB100" i="17"/>
  <c r="AC100" i="17"/>
  <c r="AD100" i="17"/>
  <c r="C101" i="17"/>
  <c r="D101" i="17"/>
  <c r="E101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W101" i="17"/>
  <c r="X101" i="17"/>
  <c r="Y101" i="17"/>
  <c r="Z101" i="17"/>
  <c r="AA101" i="17"/>
  <c r="AB101" i="17"/>
  <c r="AC101" i="17"/>
  <c r="AD101" i="17"/>
  <c r="C102" i="17"/>
  <c r="D102" i="17"/>
  <c r="E102" i="17"/>
  <c r="F102" i="17"/>
  <c r="G102" i="17"/>
  <c r="H102" i="17"/>
  <c r="I102" i="17"/>
  <c r="J102" i="17"/>
  <c r="K102" i="17"/>
  <c r="L102" i="17"/>
  <c r="M102" i="17"/>
  <c r="N102" i="17"/>
  <c r="O102" i="17"/>
  <c r="P102" i="17"/>
  <c r="Q102" i="17"/>
  <c r="R102" i="17"/>
  <c r="S102" i="17"/>
  <c r="T102" i="17"/>
  <c r="U102" i="17"/>
  <c r="V102" i="17"/>
  <c r="W102" i="17"/>
  <c r="X102" i="17"/>
  <c r="Y102" i="17"/>
  <c r="Z102" i="17"/>
  <c r="AA102" i="17"/>
  <c r="AB102" i="17"/>
  <c r="AC102" i="17"/>
  <c r="AD102" i="17"/>
  <c r="C103" i="17"/>
  <c r="D103" i="17"/>
  <c r="E103" i="17"/>
  <c r="F103" i="17"/>
  <c r="G103" i="17"/>
  <c r="H103" i="17"/>
  <c r="I103" i="17"/>
  <c r="J103" i="17"/>
  <c r="K103" i="17"/>
  <c r="L103" i="17"/>
  <c r="M103" i="17"/>
  <c r="N103" i="17"/>
  <c r="O103" i="17"/>
  <c r="P103" i="17"/>
  <c r="Q103" i="17"/>
  <c r="R103" i="17"/>
  <c r="S103" i="17"/>
  <c r="T103" i="17"/>
  <c r="U103" i="17"/>
  <c r="V103" i="17"/>
  <c r="W103" i="17"/>
  <c r="X103" i="17"/>
  <c r="Y103" i="17"/>
  <c r="Z103" i="17"/>
  <c r="AA103" i="17"/>
  <c r="AB103" i="17"/>
  <c r="AC103" i="17"/>
  <c r="AD103" i="17"/>
  <c r="C104" i="17"/>
  <c r="D104" i="17"/>
  <c r="E104" i="17"/>
  <c r="F104" i="17"/>
  <c r="G104" i="17"/>
  <c r="H104" i="17"/>
  <c r="I104" i="17"/>
  <c r="J104" i="17"/>
  <c r="K104" i="17"/>
  <c r="L104" i="17"/>
  <c r="M104" i="17"/>
  <c r="N104" i="17"/>
  <c r="O104" i="17"/>
  <c r="P104" i="17"/>
  <c r="Q104" i="17"/>
  <c r="R104" i="17"/>
  <c r="S104" i="17"/>
  <c r="T104" i="17"/>
  <c r="U104" i="17"/>
  <c r="V104" i="17"/>
  <c r="W104" i="17"/>
  <c r="X104" i="17"/>
  <c r="Y104" i="17"/>
  <c r="Z104" i="17"/>
  <c r="AA104" i="17"/>
  <c r="AB104" i="17"/>
  <c r="AC104" i="17"/>
  <c r="AD104" i="17"/>
  <c r="C105" i="17"/>
  <c r="D105" i="17"/>
  <c r="E105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W105" i="17"/>
  <c r="X105" i="17"/>
  <c r="Y105" i="17"/>
  <c r="Z105" i="17"/>
  <c r="AA105" i="17"/>
  <c r="AB105" i="17"/>
  <c r="AC105" i="17"/>
  <c r="AD105" i="17"/>
  <c r="C106" i="17"/>
  <c r="D106" i="17"/>
  <c r="E106" i="17"/>
  <c r="F106" i="17"/>
  <c r="G106" i="17"/>
  <c r="H106" i="17"/>
  <c r="I106" i="17"/>
  <c r="J106" i="17"/>
  <c r="K106" i="17"/>
  <c r="L106" i="17"/>
  <c r="M106" i="17"/>
  <c r="N106" i="17"/>
  <c r="O106" i="17"/>
  <c r="P106" i="17"/>
  <c r="Q106" i="17"/>
  <c r="R106" i="17"/>
  <c r="S106" i="17"/>
  <c r="T106" i="17"/>
  <c r="U106" i="17"/>
  <c r="V106" i="17"/>
  <c r="W106" i="17"/>
  <c r="X106" i="17"/>
  <c r="Y106" i="17"/>
  <c r="Z106" i="17"/>
  <c r="AA106" i="17"/>
  <c r="AB106" i="17"/>
  <c r="AC106" i="17"/>
  <c r="AD106" i="17"/>
  <c r="C107" i="17"/>
  <c r="D107" i="17"/>
  <c r="E107" i="17"/>
  <c r="F107" i="17"/>
  <c r="G107" i="17"/>
  <c r="H107" i="17"/>
  <c r="I107" i="17"/>
  <c r="J107" i="17"/>
  <c r="K107" i="17"/>
  <c r="L107" i="17"/>
  <c r="M107" i="17"/>
  <c r="N107" i="17"/>
  <c r="O107" i="17"/>
  <c r="P107" i="17"/>
  <c r="Q107" i="17"/>
  <c r="R107" i="17"/>
  <c r="S107" i="17"/>
  <c r="T107" i="17"/>
  <c r="U107" i="17"/>
  <c r="V107" i="17"/>
  <c r="W107" i="17"/>
  <c r="X107" i="17"/>
  <c r="Y107" i="17"/>
  <c r="Z107" i="17"/>
  <c r="AA107" i="17"/>
  <c r="AB107" i="17"/>
  <c r="AC107" i="17"/>
  <c r="AD107" i="17"/>
  <c r="C108" i="17"/>
  <c r="D108" i="17"/>
  <c r="E108" i="17"/>
  <c r="F108" i="17"/>
  <c r="G108" i="17"/>
  <c r="H108" i="17"/>
  <c r="I108" i="17"/>
  <c r="J108" i="17"/>
  <c r="K108" i="17"/>
  <c r="L108" i="17"/>
  <c r="M108" i="17"/>
  <c r="N108" i="17"/>
  <c r="O108" i="17"/>
  <c r="P108" i="17"/>
  <c r="Q108" i="17"/>
  <c r="R108" i="17"/>
  <c r="S108" i="17"/>
  <c r="T108" i="17"/>
  <c r="U108" i="17"/>
  <c r="V108" i="17"/>
  <c r="W108" i="17"/>
  <c r="X108" i="17"/>
  <c r="Y108" i="17"/>
  <c r="Z108" i="17"/>
  <c r="AA108" i="17"/>
  <c r="AB108" i="17"/>
  <c r="AC108" i="17"/>
  <c r="AD108" i="17"/>
  <c r="C109" i="17"/>
  <c r="D109" i="17"/>
  <c r="E109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W109" i="17"/>
  <c r="X109" i="17"/>
  <c r="Y109" i="17"/>
  <c r="Z109" i="17"/>
  <c r="AA109" i="17"/>
  <c r="AB109" i="17"/>
  <c r="AC109" i="17"/>
  <c r="AD109" i="17"/>
  <c r="C110" i="17"/>
  <c r="D110" i="17"/>
  <c r="E110" i="17"/>
  <c r="F110" i="17"/>
  <c r="G110" i="17"/>
  <c r="H110" i="17"/>
  <c r="I110" i="17"/>
  <c r="J110" i="17"/>
  <c r="K110" i="17"/>
  <c r="L110" i="17"/>
  <c r="M110" i="17"/>
  <c r="N110" i="17"/>
  <c r="O110" i="17"/>
  <c r="P110" i="17"/>
  <c r="Q110" i="17"/>
  <c r="R110" i="17"/>
  <c r="S110" i="17"/>
  <c r="T110" i="17"/>
  <c r="U110" i="17"/>
  <c r="V110" i="17"/>
  <c r="W110" i="17"/>
  <c r="X110" i="17"/>
  <c r="Y110" i="17"/>
  <c r="Z110" i="17"/>
  <c r="AA110" i="17"/>
  <c r="AB110" i="17"/>
  <c r="AC110" i="17"/>
  <c r="AD110" i="17"/>
  <c r="C111" i="17"/>
  <c r="D111" i="17"/>
  <c r="E111" i="17"/>
  <c r="F111" i="17"/>
  <c r="G111" i="17"/>
  <c r="H111" i="17"/>
  <c r="I111" i="17"/>
  <c r="J111" i="17"/>
  <c r="K111" i="17"/>
  <c r="L111" i="17"/>
  <c r="M111" i="17"/>
  <c r="N111" i="17"/>
  <c r="O111" i="17"/>
  <c r="P111" i="17"/>
  <c r="Q111" i="17"/>
  <c r="R111" i="17"/>
  <c r="S111" i="17"/>
  <c r="T111" i="17"/>
  <c r="U111" i="17"/>
  <c r="V111" i="17"/>
  <c r="W111" i="17"/>
  <c r="X111" i="17"/>
  <c r="Y111" i="17"/>
  <c r="Z111" i="17"/>
  <c r="AA111" i="17"/>
  <c r="AB111" i="17"/>
  <c r="AC111" i="17"/>
  <c r="AD111" i="17"/>
  <c r="C112" i="17"/>
  <c r="D112" i="17"/>
  <c r="E112" i="17"/>
  <c r="F112" i="17"/>
  <c r="G112" i="17"/>
  <c r="H112" i="17"/>
  <c r="I112" i="17"/>
  <c r="J112" i="17"/>
  <c r="K112" i="17"/>
  <c r="L112" i="17"/>
  <c r="M112" i="17"/>
  <c r="N112" i="17"/>
  <c r="O112" i="17"/>
  <c r="P112" i="17"/>
  <c r="Q112" i="17"/>
  <c r="R112" i="17"/>
  <c r="S112" i="17"/>
  <c r="T112" i="17"/>
  <c r="U112" i="17"/>
  <c r="V112" i="17"/>
  <c r="W112" i="17"/>
  <c r="X112" i="17"/>
  <c r="Y112" i="17"/>
  <c r="Z112" i="17"/>
  <c r="AA112" i="17"/>
  <c r="AB112" i="17"/>
  <c r="AC112" i="17"/>
  <c r="AD112" i="17"/>
  <c r="C113" i="17"/>
  <c r="D113" i="17"/>
  <c r="E113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W113" i="17"/>
  <c r="X113" i="17"/>
  <c r="Y113" i="17"/>
  <c r="Z113" i="17"/>
  <c r="AA113" i="17"/>
  <c r="AB113" i="17"/>
  <c r="AC113" i="17"/>
  <c r="AD113" i="17"/>
  <c r="C114" i="17"/>
  <c r="D114" i="17"/>
  <c r="E114" i="17"/>
  <c r="F114" i="17"/>
  <c r="G114" i="17"/>
  <c r="H114" i="17"/>
  <c r="I114" i="17"/>
  <c r="J114" i="17"/>
  <c r="K114" i="17"/>
  <c r="L114" i="17"/>
  <c r="M114" i="17"/>
  <c r="N114" i="17"/>
  <c r="O114" i="17"/>
  <c r="P114" i="17"/>
  <c r="Q114" i="17"/>
  <c r="R114" i="17"/>
  <c r="S114" i="17"/>
  <c r="T114" i="17"/>
  <c r="U114" i="17"/>
  <c r="V114" i="17"/>
  <c r="W114" i="17"/>
  <c r="X114" i="17"/>
  <c r="Y114" i="17"/>
  <c r="Z114" i="17"/>
  <c r="AA114" i="17"/>
  <c r="AB114" i="17"/>
  <c r="AC114" i="17"/>
  <c r="AD114" i="17"/>
  <c r="C115" i="17"/>
  <c r="D115" i="17"/>
  <c r="E115" i="17"/>
  <c r="F115" i="17"/>
  <c r="G115" i="17"/>
  <c r="H115" i="17"/>
  <c r="I115" i="17"/>
  <c r="J115" i="17"/>
  <c r="K115" i="17"/>
  <c r="L115" i="17"/>
  <c r="M115" i="17"/>
  <c r="N115" i="17"/>
  <c r="O115" i="17"/>
  <c r="P115" i="17"/>
  <c r="Q115" i="17"/>
  <c r="R115" i="17"/>
  <c r="S115" i="17"/>
  <c r="T115" i="17"/>
  <c r="U115" i="17"/>
  <c r="V115" i="17"/>
  <c r="W115" i="17"/>
  <c r="X115" i="17"/>
  <c r="Y115" i="17"/>
  <c r="Z115" i="17"/>
  <c r="AA115" i="17"/>
  <c r="AB115" i="17"/>
  <c r="AC115" i="17"/>
  <c r="AD115" i="17"/>
  <c r="C116" i="17"/>
  <c r="D116" i="17"/>
  <c r="E116" i="17"/>
  <c r="F116" i="17"/>
  <c r="G116" i="17"/>
  <c r="H116" i="17"/>
  <c r="I116" i="17"/>
  <c r="J116" i="17"/>
  <c r="K116" i="17"/>
  <c r="L116" i="17"/>
  <c r="M116" i="17"/>
  <c r="N116" i="17"/>
  <c r="O116" i="17"/>
  <c r="P116" i="17"/>
  <c r="Q116" i="17"/>
  <c r="R116" i="17"/>
  <c r="S116" i="17"/>
  <c r="T116" i="17"/>
  <c r="U116" i="17"/>
  <c r="V116" i="17"/>
  <c r="W116" i="17"/>
  <c r="X116" i="17"/>
  <c r="Y116" i="17"/>
  <c r="Z116" i="17"/>
  <c r="AA116" i="17"/>
  <c r="AB116" i="17"/>
  <c r="AC116" i="17"/>
  <c r="AD116" i="17"/>
  <c r="C117" i="17"/>
  <c r="D117" i="17"/>
  <c r="E117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W117" i="17"/>
  <c r="X117" i="17"/>
  <c r="Y117" i="17"/>
  <c r="Z117" i="17"/>
  <c r="AA117" i="17"/>
  <c r="AB117" i="17"/>
  <c r="AC117" i="17"/>
  <c r="AD117" i="17"/>
  <c r="C118" i="17"/>
  <c r="D118" i="17"/>
  <c r="E118" i="17"/>
  <c r="F118" i="17"/>
  <c r="G118" i="17"/>
  <c r="H118" i="17"/>
  <c r="I118" i="17"/>
  <c r="J118" i="17"/>
  <c r="K118" i="17"/>
  <c r="L118" i="17"/>
  <c r="M118" i="17"/>
  <c r="N118" i="17"/>
  <c r="O118" i="17"/>
  <c r="P118" i="17"/>
  <c r="Q118" i="17"/>
  <c r="R118" i="17"/>
  <c r="S118" i="17"/>
  <c r="T118" i="17"/>
  <c r="U118" i="17"/>
  <c r="V118" i="17"/>
  <c r="W118" i="17"/>
  <c r="X118" i="17"/>
  <c r="Y118" i="17"/>
  <c r="Z118" i="17"/>
  <c r="AA118" i="17"/>
  <c r="AB118" i="17"/>
  <c r="AC118" i="17"/>
  <c r="AD118" i="17"/>
  <c r="C119" i="17"/>
  <c r="D119" i="17"/>
  <c r="E119" i="17"/>
  <c r="F119" i="17"/>
  <c r="G119" i="17"/>
  <c r="H119" i="17"/>
  <c r="I119" i="17"/>
  <c r="J119" i="17"/>
  <c r="K119" i="17"/>
  <c r="L119" i="17"/>
  <c r="M119" i="17"/>
  <c r="N119" i="17"/>
  <c r="O119" i="17"/>
  <c r="P119" i="17"/>
  <c r="Q119" i="17"/>
  <c r="R119" i="17"/>
  <c r="S119" i="17"/>
  <c r="T119" i="17"/>
  <c r="U119" i="17"/>
  <c r="V119" i="17"/>
  <c r="W119" i="17"/>
  <c r="X119" i="17"/>
  <c r="Y119" i="17"/>
  <c r="Z119" i="17"/>
  <c r="AA119" i="17"/>
  <c r="AB119" i="17"/>
  <c r="AC119" i="17"/>
  <c r="AD119" i="17"/>
  <c r="C120" i="17"/>
  <c r="D120" i="17"/>
  <c r="E120" i="17"/>
  <c r="F120" i="17"/>
  <c r="G120" i="17"/>
  <c r="H120" i="17"/>
  <c r="I120" i="17"/>
  <c r="J120" i="17"/>
  <c r="K120" i="17"/>
  <c r="L120" i="17"/>
  <c r="M120" i="17"/>
  <c r="N120" i="17"/>
  <c r="O120" i="17"/>
  <c r="P120" i="17"/>
  <c r="Q120" i="17"/>
  <c r="R120" i="17"/>
  <c r="S120" i="17"/>
  <c r="T120" i="17"/>
  <c r="U120" i="17"/>
  <c r="V120" i="17"/>
  <c r="W120" i="17"/>
  <c r="X120" i="17"/>
  <c r="Y120" i="17"/>
  <c r="Z120" i="17"/>
  <c r="AA120" i="17"/>
  <c r="AB120" i="17"/>
  <c r="AC120" i="17"/>
  <c r="AD120" i="17"/>
  <c r="C121" i="17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W121" i="17"/>
  <c r="X121" i="17"/>
  <c r="Y121" i="17"/>
  <c r="Z121" i="17"/>
  <c r="AA121" i="17"/>
  <c r="AB121" i="17"/>
  <c r="AC121" i="17"/>
  <c r="AD121" i="17"/>
  <c r="C122" i="17"/>
  <c r="D122" i="17"/>
  <c r="E122" i="17"/>
  <c r="F122" i="17"/>
  <c r="G122" i="17"/>
  <c r="H122" i="17"/>
  <c r="I122" i="17"/>
  <c r="J122" i="17"/>
  <c r="K122" i="17"/>
  <c r="L122" i="17"/>
  <c r="M122" i="17"/>
  <c r="N122" i="17"/>
  <c r="O122" i="17"/>
  <c r="P122" i="17"/>
  <c r="Q122" i="17"/>
  <c r="R122" i="17"/>
  <c r="S122" i="17"/>
  <c r="T122" i="17"/>
  <c r="U122" i="17"/>
  <c r="V122" i="17"/>
  <c r="W122" i="17"/>
  <c r="X122" i="17"/>
  <c r="Y122" i="17"/>
  <c r="Z122" i="17"/>
  <c r="AA122" i="17"/>
  <c r="AB122" i="17"/>
  <c r="AC122" i="17"/>
  <c r="AD122" i="17"/>
  <c r="C123" i="17"/>
  <c r="D123" i="17"/>
  <c r="E123" i="17"/>
  <c r="F123" i="17"/>
  <c r="G123" i="17"/>
  <c r="H123" i="17"/>
  <c r="I123" i="17"/>
  <c r="J123" i="17"/>
  <c r="K123" i="17"/>
  <c r="L123" i="17"/>
  <c r="M123" i="17"/>
  <c r="N123" i="17"/>
  <c r="O123" i="17"/>
  <c r="P123" i="17"/>
  <c r="Q123" i="17"/>
  <c r="R123" i="17"/>
  <c r="S123" i="17"/>
  <c r="T123" i="17"/>
  <c r="U123" i="17"/>
  <c r="V123" i="17"/>
  <c r="W123" i="17"/>
  <c r="X123" i="17"/>
  <c r="Y123" i="17"/>
  <c r="Z123" i="17"/>
  <c r="AA123" i="17"/>
  <c r="AB123" i="17"/>
  <c r="AC123" i="17"/>
  <c r="AD123" i="17"/>
  <c r="C124" i="17"/>
  <c r="D124" i="17"/>
  <c r="E124" i="17"/>
  <c r="F124" i="17"/>
  <c r="G124" i="17"/>
  <c r="H124" i="17"/>
  <c r="I124" i="17"/>
  <c r="J124" i="17"/>
  <c r="K124" i="17"/>
  <c r="L124" i="17"/>
  <c r="M124" i="17"/>
  <c r="N124" i="17"/>
  <c r="O124" i="17"/>
  <c r="P124" i="17"/>
  <c r="Q124" i="17"/>
  <c r="R124" i="17"/>
  <c r="S124" i="17"/>
  <c r="T124" i="17"/>
  <c r="U124" i="17"/>
  <c r="V124" i="17"/>
  <c r="W124" i="17"/>
  <c r="X124" i="17"/>
  <c r="Y124" i="17"/>
  <c r="Z124" i="17"/>
  <c r="AA124" i="17"/>
  <c r="AB124" i="17"/>
  <c r="AC124" i="17"/>
  <c r="AD124" i="17"/>
  <c r="C125" i="17"/>
  <c r="D125" i="17"/>
  <c r="E125" i="17"/>
  <c r="F125" i="17"/>
  <c r="G125" i="17"/>
  <c r="H125" i="17"/>
  <c r="I125" i="17"/>
  <c r="J125" i="17"/>
  <c r="K125" i="17"/>
  <c r="L125" i="17"/>
  <c r="M125" i="17"/>
  <c r="N125" i="17"/>
  <c r="O125" i="17"/>
  <c r="P125" i="17"/>
  <c r="Q125" i="17"/>
  <c r="R125" i="17"/>
  <c r="S125" i="17"/>
  <c r="T125" i="17"/>
  <c r="U125" i="17"/>
  <c r="V125" i="17"/>
  <c r="W125" i="17"/>
  <c r="X125" i="17"/>
  <c r="Y125" i="17"/>
  <c r="Z125" i="17"/>
  <c r="AA125" i="17"/>
  <c r="AB125" i="17"/>
  <c r="AC125" i="17"/>
  <c r="AD125" i="17"/>
  <c r="C126" i="17"/>
  <c r="D126" i="17"/>
  <c r="E126" i="17"/>
  <c r="F126" i="17"/>
  <c r="G126" i="17"/>
  <c r="H126" i="17"/>
  <c r="I126" i="17"/>
  <c r="J126" i="17"/>
  <c r="K126" i="17"/>
  <c r="L126" i="17"/>
  <c r="M126" i="17"/>
  <c r="N126" i="17"/>
  <c r="O126" i="17"/>
  <c r="P126" i="17"/>
  <c r="Q126" i="17"/>
  <c r="R126" i="17"/>
  <c r="S126" i="17"/>
  <c r="T126" i="17"/>
  <c r="U126" i="17"/>
  <c r="V126" i="17"/>
  <c r="W126" i="17"/>
  <c r="X126" i="17"/>
  <c r="Y126" i="17"/>
  <c r="Z126" i="17"/>
  <c r="AA126" i="17"/>
  <c r="AB126" i="17"/>
  <c r="AC126" i="17"/>
  <c r="AD126" i="17"/>
  <c r="C127" i="17"/>
  <c r="D127" i="17"/>
  <c r="E127" i="17"/>
  <c r="F127" i="17"/>
  <c r="G127" i="17"/>
  <c r="H127" i="17"/>
  <c r="I127" i="17"/>
  <c r="J127" i="17"/>
  <c r="K127" i="17"/>
  <c r="L127" i="17"/>
  <c r="M127" i="17"/>
  <c r="N127" i="17"/>
  <c r="O127" i="17"/>
  <c r="P127" i="17"/>
  <c r="Q127" i="17"/>
  <c r="R127" i="17"/>
  <c r="S127" i="17"/>
  <c r="T127" i="17"/>
  <c r="U127" i="17"/>
  <c r="V127" i="17"/>
  <c r="W127" i="17"/>
  <c r="X127" i="17"/>
  <c r="Y127" i="17"/>
  <c r="Z127" i="17"/>
  <c r="AA127" i="17"/>
  <c r="AB127" i="17"/>
  <c r="AC127" i="17"/>
  <c r="AD127" i="17"/>
  <c r="C128" i="17"/>
  <c r="D128" i="17"/>
  <c r="E128" i="17"/>
  <c r="F128" i="17"/>
  <c r="G128" i="17"/>
  <c r="H128" i="17"/>
  <c r="I128" i="17"/>
  <c r="J128" i="17"/>
  <c r="K128" i="17"/>
  <c r="L128" i="17"/>
  <c r="M128" i="17"/>
  <c r="N128" i="17"/>
  <c r="O128" i="17"/>
  <c r="P128" i="17"/>
  <c r="Q128" i="17"/>
  <c r="R128" i="17"/>
  <c r="S128" i="17"/>
  <c r="T128" i="17"/>
  <c r="U128" i="17"/>
  <c r="V128" i="17"/>
  <c r="W128" i="17"/>
  <c r="X128" i="17"/>
  <c r="Y128" i="17"/>
  <c r="Z128" i="17"/>
  <c r="AA128" i="17"/>
  <c r="AB128" i="17"/>
  <c r="AC128" i="17"/>
  <c r="AD128" i="17"/>
  <c r="C129" i="17"/>
  <c r="D129" i="17"/>
  <c r="E129" i="17"/>
  <c r="F129" i="17"/>
  <c r="G129" i="17"/>
  <c r="H129" i="17"/>
  <c r="I129" i="17"/>
  <c r="J129" i="17"/>
  <c r="K129" i="17"/>
  <c r="L129" i="17"/>
  <c r="M129" i="17"/>
  <c r="N129" i="17"/>
  <c r="O129" i="17"/>
  <c r="P129" i="17"/>
  <c r="Q129" i="17"/>
  <c r="R129" i="17"/>
  <c r="S129" i="17"/>
  <c r="T129" i="17"/>
  <c r="U129" i="17"/>
  <c r="V129" i="17"/>
  <c r="W129" i="17"/>
  <c r="X129" i="17"/>
  <c r="Y129" i="17"/>
  <c r="Z129" i="17"/>
  <c r="AA129" i="17"/>
  <c r="AB129" i="17"/>
  <c r="AC129" i="17"/>
  <c r="AD129" i="17"/>
  <c r="C130" i="17"/>
  <c r="D130" i="17"/>
  <c r="E130" i="17"/>
  <c r="F130" i="17"/>
  <c r="G130" i="17"/>
  <c r="H130" i="17"/>
  <c r="I130" i="17"/>
  <c r="J130" i="17"/>
  <c r="K130" i="17"/>
  <c r="L130" i="17"/>
  <c r="M130" i="17"/>
  <c r="N130" i="17"/>
  <c r="O130" i="17"/>
  <c r="P130" i="17"/>
  <c r="Q130" i="17"/>
  <c r="R130" i="17"/>
  <c r="S130" i="17"/>
  <c r="T130" i="17"/>
  <c r="U130" i="17"/>
  <c r="V130" i="17"/>
  <c r="W130" i="17"/>
  <c r="X130" i="17"/>
  <c r="Y130" i="17"/>
  <c r="Z130" i="17"/>
  <c r="AA130" i="17"/>
  <c r="AB130" i="17"/>
  <c r="AC130" i="17"/>
  <c r="AD130" i="17"/>
  <c r="C131" i="17"/>
  <c r="D131" i="17"/>
  <c r="E131" i="17"/>
  <c r="F131" i="17"/>
  <c r="G131" i="17"/>
  <c r="H131" i="17"/>
  <c r="I131" i="17"/>
  <c r="J131" i="17"/>
  <c r="K131" i="17"/>
  <c r="L131" i="17"/>
  <c r="M131" i="17"/>
  <c r="N131" i="17"/>
  <c r="O131" i="17"/>
  <c r="P131" i="17"/>
  <c r="Q131" i="17"/>
  <c r="R131" i="17"/>
  <c r="S131" i="17"/>
  <c r="T131" i="17"/>
  <c r="U131" i="17"/>
  <c r="V131" i="17"/>
  <c r="W131" i="17"/>
  <c r="X131" i="17"/>
  <c r="Y131" i="17"/>
  <c r="Z131" i="17"/>
  <c r="AA131" i="17"/>
  <c r="AB131" i="17"/>
  <c r="AC131" i="17"/>
  <c r="AD131" i="17"/>
  <c r="C132" i="17"/>
  <c r="D132" i="17"/>
  <c r="E132" i="17"/>
  <c r="F132" i="17"/>
  <c r="G132" i="17"/>
  <c r="H132" i="17"/>
  <c r="I132" i="17"/>
  <c r="J132" i="17"/>
  <c r="K132" i="17"/>
  <c r="L132" i="17"/>
  <c r="M132" i="17"/>
  <c r="N132" i="17"/>
  <c r="O132" i="17"/>
  <c r="P132" i="17"/>
  <c r="Q132" i="17"/>
  <c r="R132" i="17"/>
  <c r="S132" i="17"/>
  <c r="T132" i="17"/>
  <c r="U132" i="17"/>
  <c r="V132" i="17"/>
  <c r="W132" i="17"/>
  <c r="X132" i="17"/>
  <c r="Y132" i="17"/>
  <c r="Z132" i="17"/>
  <c r="AA132" i="17"/>
  <c r="AB132" i="17"/>
  <c r="AC132" i="17"/>
  <c r="AD132" i="17"/>
  <c r="C133" i="17"/>
  <c r="D133" i="17"/>
  <c r="E133" i="17"/>
  <c r="F133" i="17"/>
  <c r="G133" i="17"/>
  <c r="H133" i="17"/>
  <c r="I133" i="17"/>
  <c r="J133" i="17"/>
  <c r="K133" i="17"/>
  <c r="L133" i="17"/>
  <c r="M133" i="17"/>
  <c r="N133" i="17"/>
  <c r="O133" i="17"/>
  <c r="P133" i="17"/>
  <c r="Q133" i="17"/>
  <c r="R133" i="17"/>
  <c r="S133" i="17"/>
  <c r="T133" i="17"/>
  <c r="U133" i="17"/>
  <c r="V133" i="17"/>
  <c r="W133" i="17"/>
  <c r="X133" i="17"/>
  <c r="Y133" i="17"/>
  <c r="Z133" i="17"/>
  <c r="AA133" i="17"/>
  <c r="AB133" i="17"/>
  <c r="AC133" i="17"/>
  <c r="AD133" i="17"/>
  <c r="C134" i="17"/>
  <c r="D134" i="17"/>
  <c r="E134" i="17"/>
  <c r="F134" i="17"/>
  <c r="G134" i="17"/>
  <c r="H134" i="17"/>
  <c r="I134" i="17"/>
  <c r="J134" i="17"/>
  <c r="K134" i="17"/>
  <c r="L134" i="17"/>
  <c r="M134" i="17"/>
  <c r="N134" i="17"/>
  <c r="O134" i="17"/>
  <c r="P134" i="17"/>
  <c r="Q134" i="17"/>
  <c r="R134" i="17"/>
  <c r="S134" i="17"/>
  <c r="T134" i="17"/>
  <c r="U134" i="17"/>
  <c r="V134" i="17"/>
  <c r="W134" i="17"/>
  <c r="X134" i="17"/>
  <c r="Y134" i="17"/>
  <c r="Z134" i="17"/>
  <c r="AA134" i="17"/>
  <c r="AB134" i="17"/>
  <c r="AC134" i="17"/>
  <c r="AD134" i="17"/>
  <c r="C135" i="17"/>
  <c r="D135" i="17"/>
  <c r="E135" i="17"/>
  <c r="F135" i="17"/>
  <c r="G135" i="17"/>
  <c r="H135" i="17"/>
  <c r="I135" i="17"/>
  <c r="J135" i="17"/>
  <c r="K135" i="17"/>
  <c r="L135" i="17"/>
  <c r="M135" i="17"/>
  <c r="N135" i="17"/>
  <c r="O135" i="17"/>
  <c r="P135" i="17"/>
  <c r="Q135" i="17"/>
  <c r="R135" i="17"/>
  <c r="S135" i="17"/>
  <c r="T135" i="17"/>
  <c r="U135" i="17"/>
  <c r="V135" i="17"/>
  <c r="W135" i="17"/>
  <c r="X135" i="17"/>
  <c r="Y135" i="17"/>
  <c r="Z135" i="17"/>
  <c r="AA135" i="17"/>
  <c r="AB135" i="17"/>
  <c r="AC135" i="17"/>
  <c r="AD135" i="17"/>
  <c r="C136" i="17"/>
  <c r="D136" i="17"/>
  <c r="E136" i="17"/>
  <c r="F136" i="17"/>
  <c r="G136" i="17"/>
  <c r="H136" i="17"/>
  <c r="I136" i="17"/>
  <c r="J136" i="17"/>
  <c r="K136" i="17"/>
  <c r="L136" i="17"/>
  <c r="M136" i="17"/>
  <c r="N136" i="17"/>
  <c r="O136" i="17"/>
  <c r="P136" i="17"/>
  <c r="Q136" i="17"/>
  <c r="R136" i="17"/>
  <c r="S136" i="17"/>
  <c r="T136" i="17"/>
  <c r="U136" i="17"/>
  <c r="V136" i="17"/>
  <c r="W136" i="17"/>
  <c r="X136" i="17"/>
  <c r="Y136" i="17"/>
  <c r="Z136" i="17"/>
  <c r="AA136" i="17"/>
  <c r="AB136" i="17"/>
  <c r="AC136" i="17"/>
  <c r="AD136" i="17"/>
  <c r="C137" i="17"/>
  <c r="D137" i="17"/>
  <c r="E137" i="17"/>
  <c r="F137" i="17"/>
  <c r="G137" i="17"/>
  <c r="H137" i="17"/>
  <c r="I137" i="17"/>
  <c r="J137" i="17"/>
  <c r="K137" i="17"/>
  <c r="L137" i="17"/>
  <c r="M137" i="17"/>
  <c r="N137" i="17"/>
  <c r="O137" i="17"/>
  <c r="P137" i="17"/>
  <c r="Q137" i="17"/>
  <c r="R137" i="17"/>
  <c r="S137" i="17"/>
  <c r="T137" i="17"/>
  <c r="U137" i="17"/>
  <c r="V137" i="17"/>
  <c r="W137" i="17"/>
  <c r="X137" i="17"/>
  <c r="Y137" i="17"/>
  <c r="Z137" i="17"/>
  <c r="AA137" i="17"/>
  <c r="AB137" i="17"/>
  <c r="AC137" i="17"/>
  <c r="AD137" i="17"/>
  <c r="C138" i="17"/>
  <c r="D138" i="17"/>
  <c r="E138" i="17"/>
  <c r="F138" i="17"/>
  <c r="G138" i="17"/>
  <c r="H138" i="17"/>
  <c r="I138" i="17"/>
  <c r="J138" i="17"/>
  <c r="K138" i="17"/>
  <c r="L138" i="17"/>
  <c r="M138" i="17"/>
  <c r="N138" i="17"/>
  <c r="O138" i="17"/>
  <c r="P138" i="17"/>
  <c r="Q138" i="17"/>
  <c r="R138" i="17"/>
  <c r="S138" i="17"/>
  <c r="T138" i="17"/>
  <c r="U138" i="17"/>
  <c r="V138" i="17"/>
  <c r="W138" i="17"/>
  <c r="X138" i="17"/>
  <c r="Y138" i="17"/>
  <c r="Z138" i="17"/>
  <c r="AA138" i="17"/>
  <c r="AB138" i="17"/>
  <c r="AC138" i="17"/>
  <c r="AD138" i="17"/>
  <c r="C139" i="17"/>
  <c r="D139" i="17"/>
  <c r="E139" i="17"/>
  <c r="F139" i="17"/>
  <c r="G139" i="17"/>
  <c r="H139" i="17"/>
  <c r="I139" i="17"/>
  <c r="J139" i="17"/>
  <c r="K139" i="17"/>
  <c r="L139" i="17"/>
  <c r="M139" i="17"/>
  <c r="N139" i="17"/>
  <c r="O139" i="17"/>
  <c r="P139" i="17"/>
  <c r="Q139" i="17"/>
  <c r="R139" i="17"/>
  <c r="S139" i="17"/>
  <c r="T139" i="17"/>
  <c r="U139" i="17"/>
  <c r="V139" i="17"/>
  <c r="W139" i="17"/>
  <c r="X139" i="17"/>
  <c r="Y139" i="17"/>
  <c r="Z139" i="17"/>
  <c r="AA139" i="17"/>
  <c r="AB139" i="17"/>
  <c r="AC139" i="17"/>
  <c r="AD139" i="17"/>
  <c r="C140" i="17"/>
  <c r="D140" i="17"/>
  <c r="E140" i="17"/>
  <c r="F140" i="17"/>
  <c r="G140" i="17"/>
  <c r="H140" i="17"/>
  <c r="I140" i="17"/>
  <c r="J140" i="17"/>
  <c r="K140" i="17"/>
  <c r="L140" i="17"/>
  <c r="M140" i="17"/>
  <c r="N140" i="17"/>
  <c r="O140" i="17"/>
  <c r="P140" i="17"/>
  <c r="Q140" i="17"/>
  <c r="R140" i="17"/>
  <c r="S140" i="17"/>
  <c r="T140" i="17"/>
  <c r="U140" i="17"/>
  <c r="V140" i="17"/>
  <c r="W140" i="17"/>
  <c r="X140" i="17"/>
  <c r="Y140" i="17"/>
  <c r="Z140" i="17"/>
  <c r="AA140" i="17"/>
  <c r="AB140" i="17"/>
  <c r="AC140" i="17"/>
  <c r="AD140" i="17"/>
  <c r="C141" i="17"/>
  <c r="D141" i="17"/>
  <c r="E141" i="17"/>
  <c r="F141" i="17"/>
  <c r="G141" i="17"/>
  <c r="H141" i="17"/>
  <c r="I141" i="17"/>
  <c r="J141" i="17"/>
  <c r="K141" i="17"/>
  <c r="L141" i="17"/>
  <c r="M141" i="17"/>
  <c r="N141" i="17"/>
  <c r="O141" i="17"/>
  <c r="P141" i="17"/>
  <c r="Q141" i="17"/>
  <c r="R141" i="17"/>
  <c r="S141" i="17"/>
  <c r="T141" i="17"/>
  <c r="U141" i="17"/>
  <c r="V141" i="17"/>
  <c r="W141" i="17"/>
  <c r="X141" i="17"/>
  <c r="Y141" i="17"/>
  <c r="Z141" i="17"/>
  <c r="AA141" i="17"/>
  <c r="AB141" i="17"/>
  <c r="AC141" i="17"/>
  <c r="AD141" i="17"/>
  <c r="C142" i="17"/>
  <c r="D142" i="17"/>
  <c r="E142" i="17"/>
  <c r="F142" i="17"/>
  <c r="G142" i="17"/>
  <c r="H142" i="17"/>
  <c r="I142" i="17"/>
  <c r="J142" i="17"/>
  <c r="K142" i="17"/>
  <c r="L142" i="17"/>
  <c r="M142" i="17"/>
  <c r="N142" i="17"/>
  <c r="O142" i="17"/>
  <c r="P142" i="17"/>
  <c r="Q142" i="17"/>
  <c r="R142" i="17"/>
  <c r="S142" i="17"/>
  <c r="T142" i="17"/>
  <c r="U142" i="17"/>
  <c r="V142" i="17"/>
  <c r="W142" i="17"/>
  <c r="X142" i="17"/>
  <c r="Y142" i="17"/>
  <c r="Z142" i="17"/>
  <c r="AA142" i="17"/>
  <c r="AB142" i="17"/>
  <c r="AC142" i="17"/>
  <c r="AD142" i="17"/>
  <c r="C143" i="17"/>
  <c r="D143" i="17"/>
  <c r="E143" i="17"/>
  <c r="F143" i="17"/>
  <c r="G143" i="17"/>
  <c r="H143" i="17"/>
  <c r="I143" i="17"/>
  <c r="J143" i="17"/>
  <c r="K143" i="17"/>
  <c r="L143" i="17"/>
  <c r="M143" i="17"/>
  <c r="N143" i="17"/>
  <c r="O143" i="17"/>
  <c r="P143" i="17"/>
  <c r="Q143" i="17"/>
  <c r="R143" i="17"/>
  <c r="S143" i="17"/>
  <c r="T143" i="17"/>
  <c r="U143" i="17"/>
  <c r="V143" i="17"/>
  <c r="W143" i="17"/>
  <c r="X143" i="17"/>
  <c r="Y143" i="17"/>
  <c r="Z143" i="17"/>
  <c r="AA143" i="17"/>
  <c r="AB143" i="17"/>
  <c r="AC143" i="17"/>
  <c r="AD143" i="17"/>
  <c r="C144" i="17"/>
  <c r="D144" i="17"/>
  <c r="E144" i="17"/>
  <c r="F144" i="17"/>
  <c r="G144" i="17"/>
  <c r="H144" i="17"/>
  <c r="I144" i="17"/>
  <c r="J144" i="17"/>
  <c r="K144" i="17"/>
  <c r="L144" i="17"/>
  <c r="M144" i="17"/>
  <c r="N144" i="17"/>
  <c r="O144" i="17"/>
  <c r="P144" i="17"/>
  <c r="Q144" i="17"/>
  <c r="R144" i="17"/>
  <c r="S144" i="17"/>
  <c r="T144" i="17"/>
  <c r="U144" i="17"/>
  <c r="V144" i="17"/>
  <c r="W144" i="17"/>
  <c r="X144" i="17"/>
  <c r="Y144" i="17"/>
  <c r="Z144" i="17"/>
  <c r="AA144" i="17"/>
  <c r="AB144" i="17"/>
  <c r="AC144" i="17"/>
  <c r="AD144" i="17"/>
  <c r="C145" i="17"/>
  <c r="D145" i="17"/>
  <c r="E145" i="17"/>
  <c r="F145" i="17"/>
  <c r="G145" i="17"/>
  <c r="H145" i="17"/>
  <c r="I145" i="17"/>
  <c r="J145" i="17"/>
  <c r="K145" i="17"/>
  <c r="L145" i="17"/>
  <c r="M145" i="17"/>
  <c r="N145" i="17"/>
  <c r="O145" i="17"/>
  <c r="P145" i="17"/>
  <c r="Q145" i="17"/>
  <c r="R145" i="17"/>
  <c r="S145" i="17"/>
  <c r="T145" i="17"/>
  <c r="U145" i="17"/>
  <c r="V145" i="17"/>
  <c r="W145" i="17"/>
  <c r="X145" i="17"/>
  <c r="Y145" i="17"/>
  <c r="Z145" i="17"/>
  <c r="AA145" i="17"/>
  <c r="AB145" i="17"/>
  <c r="AC145" i="17"/>
  <c r="AD145" i="17"/>
  <c r="C146" i="17"/>
  <c r="D146" i="17"/>
  <c r="E146" i="17"/>
  <c r="F146" i="17"/>
  <c r="G146" i="17"/>
  <c r="H146" i="17"/>
  <c r="I146" i="17"/>
  <c r="J146" i="17"/>
  <c r="K146" i="17"/>
  <c r="L146" i="17"/>
  <c r="M146" i="17"/>
  <c r="N146" i="17"/>
  <c r="O146" i="17"/>
  <c r="P146" i="17"/>
  <c r="Q146" i="17"/>
  <c r="R146" i="17"/>
  <c r="S146" i="17"/>
  <c r="T146" i="17"/>
  <c r="U146" i="17"/>
  <c r="V146" i="17"/>
  <c r="W146" i="17"/>
  <c r="X146" i="17"/>
  <c r="Y146" i="17"/>
  <c r="Z146" i="17"/>
  <c r="AA146" i="17"/>
  <c r="AB146" i="17"/>
  <c r="AC146" i="17"/>
  <c r="AD146" i="17"/>
  <c r="C147" i="17"/>
  <c r="D147" i="17"/>
  <c r="E147" i="17"/>
  <c r="F147" i="17"/>
  <c r="G147" i="17"/>
  <c r="H147" i="17"/>
  <c r="I147" i="17"/>
  <c r="J147" i="17"/>
  <c r="K147" i="17"/>
  <c r="L147" i="17"/>
  <c r="M147" i="17"/>
  <c r="N147" i="17"/>
  <c r="O147" i="17"/>
  <c r="P147" i="17"/>
  <c r="Q147" i="17"/>
  <c r="R147" i="17"/>
  <c r="S147" i="17"/>
  <c r="T147" i="17"/>
  <c r="U147" i="17"/>
  <c r="V147" i="17"/>
  <c r="W147" i="17"/>
  <c r="X147" i="17"/>
  <c r="Y147" i="17"/>
  <c r="Z147" i="17"/>
  <c r="AA147" i="17"/>
  <c r="AB147" i="17"/>
  <c r="AC147" i="17"/>
  <c r="AD147" i="17"/>
  <c r="C148" i="17"/>
  <c r="D148" i="17"/>
  <c r="E148" i="17"/>
  <c r="F148" i="17"/>
  <c r="G148" i="17"/>
  <c r="H148" i="17"/>
  <c r="I148" i="17"/>
  <c r="J148" i="17"/>
  <c r="K148" i="17"/>
  <c r="L148" i="17"/>
  <c r="M148" i="17"/>
  <c r="N148" i="17"/>
  <c r="O148" i="17"/>
  <c r="P148" i="17"/>
  <c r="Q148" i="17"/>
  <c r="R148" i="17"/>
  <c r="S148" i="17"/>
  <c r="T148" i="17"/>
  <c r="U148" i="17"/>
  <c r="V148" i="17"/>
  <c r="W148" i="17"/>
  <c r="X148" i="17"/>
  <c r="Y148" i="17"/>
  <c r="Z148" i="17"/>
  <c r="AA148" i="17"/>
  <c r="AB148" i="17"/>
  <c r="AC148" i="17"/>
  <c r="AD148" i="17"/>
  <c r="C149" i="17"/>
  <c r="D149" i="17"/>
  <c r="E149" i="17"/>
  <c r="F149" i="17"/>
  <c r="G149" i="17"/>
  <c r="H149" i="17"/>
  <c r="I149" i="17"/>
  <c r="J149" i="17"/>
  <c r="K149" i="17"/>
  <c r="L149" i="17"/>
  <c r="M149" i="17"/>
  <c r="N149" i="17"/>
  <c r="O149" i="17"/>
  <c r="P149" i="17"/>
  <c r="Q149" i="17"/>
  <c r="R149" i="17"/>
  <c r="S149" i="17"/>
  <c r="T149" i="17"/>
  <c r="U149" i="17"/>
  <c r="V149" i="17"/>
  <c r="W149" i="17"/>
  <c r="X149" i="17"/>
  <c r="Y149" i="17"/>
  <c r="Z149" i="17"/>
  <c r="AA149" i="17"/>
  <c r="AB149" i="17"/>
  <c r="AC149" i="17"/>
  <c r="AD149" i="17"/>
  <c r="C150" i="17"/>
  <c r="D150" i="17"/>
  <c r="E150" i="17"/>
  <c r="F150" i="17"/>
  <c r="G150" i="17"/>
  <c r="H150" i="17"/>
  <c r="I150" i="17"/>
  <c r="J150" i="17"/>
  <c r="K150" i="17"/>
  <c r="L150" i="17"/>
  <c r="M150" i="17"/>
  <c r="N150" i="17"/>
  <c r="O150" i="17"/>
  <c r="P150" i="17"/>
  <c r="Q150" i="17"/>
  <c r="R150" i="17"/>
  <c r="S150" i="17"/>
  <c r="T150" i="17"/>
  <c r="U150" i="17"/>
  <c r="V150" i="17"/>
  <c r="W150" i="17"/>
  <c r="X150" i="17"/>
  <c r="Y150" i="17"/>
  <c r="Z150" i="17"/>
  <c r="AA150" i="17"/>
  <c r="AB150" i="17"/>
  <c r="AC150" i="17"/>
  <c r="AD150" i="17"/>
  <c r="C151" i="17"/>
  <c r="D151" i="17"/>
  <c r="E151" i="17"/>
  <c r="F151" i="17"/>
  <c r="G151" i="17"/>
  <c r="H151" i="17"/>
  <c r="I151" i="17"/>
  <c r="J151" i="17"/>
  <c r="K151" i="17"/>
  <c r="L151" i="17"/>
  <c r="M151" i="17"/>
  <c r="N151" i="17"/>
  <c r="O151" i="17"/>
  <c r="P151" i="17"/>
  <c r="Q151" i="17"/>
  <c r="R151" i="17"/>
  <c r="S151" i="17"/>
  <c r="T151" i="17"/>
  <c r="U151" i="17"/>
  <c r="V151" i="17"/>
  <c r="W151" i="17"/>
  <c r="X151" i="17"/>
  <c r="Y151" i="17"/>
  <c r="Z151" i="17"/>
  <c r="AA151" i="17"/>
  <c r="AB151" i="17"/>
  <c r="AC151" i="17"/>
  <c r="AD151" i="17"/>
  <c r="C152" i="17"/>
  <c r="D152" i="17"/>
  <c r="E152" i="17"/>
  <c r="F152" i="17"/>
  <c r="G152" i="17"/>
  <c r="H152" i="17"/>
  <c r="I152" i="17"/>
  <c r="J152" i="17"/>
  <c r="K152" i="17"/>
  <c r="L152" i="17"/>
  <c r="M152" i="17"/>
  <c r="N152" i="17"/>
  <c r="O152" i="17"/>
  <c r="P152" i="17"/>
  <c r="Q152" i="17"/>
  <c r="R152" i="17"/>
  <c r="S152" i="17"/>
  <c r="T152" i="17"/>
  <c r="U152" i="17"/>
  <c r="V152" i="17"/>
  <c r="W152" i="17"/>
  <c r="X152" i="17"/>
  <c r="Y152" i="17"/>
  <c r="Z152" i="17"/>
  <c r="AA152" i="17"/>
  <c r="AB152" i="17"/>
  <c r="AC152" i="17"/>
  <c r="AD152" i="17"/>
  <c r="C153" i="17"/>
  <c r="D153" i="17"/>
  <c r="E153" i="17"/>
  <c r="F153" i="17"/>
  <c r="G153" i="17"/>
  <c r="H153" i="17"/>
  <c r="I153" i="17"/>
  <c r="J153" i="17"/>
  <c r="K153" i="17"/>
  <c r="L153" i="17"/>
  <c r="M153" i="17"/>
  <c r="N153" i="17"/>
  <c r="O153" i="17"/>
  <c r="P153" i="17"/>
  <c r="Q153" i="17"/>
  <c r="R153" i="17"/>
  <c r="S153" i="17"/>
  <c r="T153" i="17"/>
  <c r="U153" i="17"/>
  <c r="V153" i="17"/>
  <c r="W153" i="17"/>
  <c r="X153" i="17"/>
  <c r="Y153" i="17"/>
  <c r="Z153" i="17"/>
  <c r="AA153" i="17"/>
  <c r="AB153" i="17"/>
  <c r="AC153" i="17"/>
  <c r="AD153" i="17"/>
  <c r="C154" i="17"/>
  <c r="D154" i="17"/>
  <c r="E154" i="17"/>
  <c r="F154" i="17"/>
  <c r="G154" i="17"/>
  <c r="H154" i="17"/>
  <c r="I154" i="17"/>
  <c r="J154" i="17"/>
  <c r="K154" i="17"/>
  <c r="L154" i="17"/>
  <c r="M154" i="17"/>
  <c r="N154" i="17"/>
  <c r="O154" i="17"/>
  <c r="P154" i="17"/>
  <c r="Q154" i="17"/>
  <c r="R154" i="17"/>
  <c r="S154" i="17"/>
  <c r="T154" i="17"/>
  <c r="U154" i="17"/>
  <c r="V154" i="17"/>
  <c r="W154" i="17"/>
  <c r="X154" i="17"/>
  <c r="Y154" i="17"/>
  <c r="Z154" i="17"/>
  <c r="AA154" i="17"/>
  <c r="AB154" i="17"/>
  <c r="AC154" i="17"/>
  <c r="AD154" i="17"/>
  <c r="C155" i="17"/>
  <c r="D155" i="17"/>
  <c r="E155" i="17"/>
  <c r="F155" i="17"/>
  <c r="G155" i="17"/>
  <c r="H155" i="17"/>
  <c r="I155" i="17"/>
  <c r="J155" i="17"/>
  <c r="K155" i="17"/>
  <c r="L155" i="17"/>
  <c r="M155" i="17"/>
  <c r="N155" i="17"/>
  <c r="O155" i="17"/>
  <c r="P155" i="17"/>
  <c r="Q155" i="17"/>
  <c r="R155" i="17"/>
  <c r="S155" i="17"/>
  <c r="T155" i="17"/>
  <c r="U155" i="17"/>
  <c r="V155" i="17"/>
  <c r="W155" i="17"/>
  <c r="X155" i="17"/>
  <c r="Y155" i="17"/>
  <c r="Z155" i="17"/>
  <c r="AA155" i="17"/>
  <c r="AB155" i="17"/>
  <c r="AC155" i="17"/>
  <c r="AD155" i="17"/>
  <c r="C156" i="17"/>
  <c r="D156" i="17"/>
  <c r="E156" i="17"/>
  <c r="F156" i="17"/>
  <c r="G156" i="17"/>
  <c r="H156" i="17"/>
  <c r="I156" i="17"/>
  <c r="J156" i="17"/>
  <c r="K156" i="17"/>
  <c r="L156" i="17"/>
  <c r="M156" i="17"/>
  <c r="N156" i="17"/>
  <c r="O156" i="17"/>
  <c r="P156" i="17"/>
  <c r="Q156" i="17"/>
  <c r="R156" i="17"/>
  <c r="S156" i="17"/>
  <c r="T156" i="17"/>
  <c r="U156" i="17"/>
  <c r="V156" i="17"/>
  <c r="W156" i="17"/>
  <c r="X156" i="17"/>
  <c r="Y156" i="17"/>
  <c r="Z156" i="17"/>
  <c r="AA156" i="17"/>
  <c r="AB156" i="17"/>
  <c r="AC156" i="17"/>
  <c r="AD156" i="17"/>
  <c r="C157" i="17"/>
  <c r="D157" i="17"/>
  <c r="E157" i="17"/>
  <c r="F157" i="17"/>
  <c r="G157" i="17"/>
  <c r="H157" i="17"/>
  <c r="I157" i="17"/>
  <c r="J157" i="17"/>
  <c r="K157" i="17"/>
  <c r="L157" i="17"/>
  <c r="M157" i="17"/>
  <c r="N157" i="17"/>
  <c r="O157" i="17"/>
  <c r="P157" i="17"/>
  <c r="Q157" i="17"/>
  <c r="R157" i="17"/>
  <c r="S157" i="17"/>
  <c r="T157" i="17"/>
  <c r="U157" i="17"/>
  <c r="V157" i="17"/>
  <c r="W157" i="17"/>
  <c r="X157" i="17"/>
  <c r="Y157" i="17"/>
  <c r="Z157" i="17"/>
  <c r="AA157" i="17"/>
  <c r="AB157" i="17"/>
  <c r="AC157" i="17"/>
  <c r="AD157" i="17"/>
  <c r="C158" i="17"/>
  <c r="D158" i="17"/>
  <c r="E158" i="17"/>
  <c r="F158" i="17"/>
  <c r="G158" i="17"/>
  <c r="H158" i="17"/>
  <c r="I158" i="17"/>
  <c r="J158" i="17"/>
  <c r="K158" i="17"/>
  <c r="L158" i="17"/>
  <c r="M158" i="17"/>
  <c r="N158" i="17"/>
  <c r="O158" i="17"/>
  <c r="P158" i="17"/>
  <c r="Q158" i="17"/>
  <c r="R158" i="17"/>
  <c r="S158" i="17"/>
  <c r="T158" i="17"/>
  <c r="U158" i="17"/>
  <c r="V158" i="17"/>
  <c r="W158" i="17"/>
  <c r="X158" i="17"/>
  <c r="Y158" i="17"/>
  <c r="Z158" i="17"/>
  <c r="AA158" i="17"/>
  <c r="AB158" i="17"/>
  <c r="AC158" i="17"/>
  <c r="AD158" i="17"/>
  <c r="C159" i="17"/>
  <c r="D159" i="17"/>
  <c r="E159" i="17"/>
  <c r="F159" i="17"/>
  <c r="G159" i="17"/>
  <c r="H159" i="17"/>
  <c r="I159" i="17"/>
  <c r="J159" i="17"/>
  <c r="K159" i="17"/>
  <c r="L159" i="17"/>
  <c r="M159" i="17"/>
  <c r="N159" i="17"/>
  <c r="O159" i="17"/>
  <c r="P159" i="17"/>
  <c r="Q159" i="17"/>
  <c r="R159" i="17"/>
  <c r="S159" i="17"/>
  <c r="T159" i="17"/>
  <c r="U159" i="17"/>
  <c r="V159" i="17"/>
  <c r="W159" i="17"/>
  <c r="X159" i="17"/>
  <c r="Y159" i="17"/>
  <c r="Z159" i="17"/>
  <c r="AA159" i="17"/>
  <c r="AB159" i="17"/>
  <c r="AC159" i="17"/>
  <c r="AD159" i="17"/>
  <c r="C160" i="17"/>
  <c r="D160" i="17"/>
  <c r="E160" i="17"/>
  <c r="F160" i="17"/>
  <c r="G160" i="17"/>
  <c r="H160" i="17"/>
  <c r="I160" i="17"/>
  <c r="J160" i="17"/>
  <c r="K160" i="17"/>
  <c r="L160" i="17"/>
  <c r="M160" i="17"/>
  <c r="N160" i="17"/>
  <c r="O160" i="17"/>
  <c r="P160" i="17"/>
  <c r="Q160" i="17"/>
  <c r="R160" i="17"/>
  <c r="S160" i="17"/>
  <c r="T160" i="17"/>
  <c r="U160" i="17"/>
  <c r="V160" i="17"/>
  <c r="W160" i="17"/>
  <c r="X160" i="17"/>
  <c r="Y160" i="17"/>
  <c r="Z160" i="17"/>
  <c r="AA160" i="17"/>
  <c r="AB160" i="17"/>
  <c r="AC160" i="17"/>
  <c r="AD160" i="17"/>
  <c r="C161" i="17"/>
  <c r="D161" i="17"/>
  <c r="E161" i="17"/>
  <c r="F161" i="17"/>
  <c r="G161" i="17"/>
  <c r="H161" i="17"/>
  <c r="I161" i="17"/>
  <c r="J161" i="17"/>
  <c r="K161" i="17"/>
  <c r="L161" i="17"/>
  <c r="M161" i="17"/>
  <c r="N161" i="17"/>
  <c r="O161" i="17"/>
  <c r="P161" i="17"/>
  <c r="Q161" i="17"/>
  <c r="R161" i="17"/>
  <c r="S161" i="17"/>
  <c r="T161" i="17"/>
  <c r="U161" i="17"/>
  <c r="V161" i="17"/>
  <c r="W161" i="17"/>
  <c r="X161" i="17"/>
  <c r="Y161" i="17"/>
  <c r="Z161" i="17"/>
  <c r="AA161" i="17"/>
  <c r="AB161" i="17"/>
  <c r="AC161" i="17"/>
  <c r="AD161" i="17"/>
  <c r="C162" i="17"/>
  <c r="D162" i="17"/>
  <c r="E162" i="17"/>
  <c r="F162" i="17"/>
  <c r="G162" i="17"/>
  <c r="H162" i="17"/>
  <c r="I162" i="17"/>
  <c r="J162" i="17"/>
  <c r="K162" i="17"/>
  <c r="L162" i="17"/>
  <c r="M162" i="17"/>
  <c r="N162" i="17"/>
  <c r="O162" i="17"/>
  <c r="P162" i="17"/>
  <c r="Q162" i="17"/>
  <c r="R162" i="17"/>
  <c r="S162" i="17"/>
  <c r="T162" i="17"/>
  <c r="U162" i="17"/>
  <c r="V162" i="17"/>
  <c r="W162" i="17"/>
  <c r="X162" i="17"/>
  <c r="Y162" i="17"/>
  <c r="Z162" i="17"/>
  <c r="AA162" i="17"/>
  <c r="AB162" i="17"/>
  <c r="AC162" i="17"/>
  <c r="AD162" i="17"/>
  <c r="C163" i="17"/>
  <c r="D163" i="17"/>
  <c r="E163" i="17"/>
  <c r="F163" i="17"/>
  <c r="G163" i="17"/>
  <c r="H163" i="17"/>
  <c r="I163" i="17"/>
  <c r="J163" i="17"/>
  <c r="K163" i="17"/>
  <c r="L163" i="17"/>
  <c r="M163" i="17"/>
  <c r="N163" i="17"/>
  <c r="O163" i="17"/>
  <c r="P163" i="17"/>
  <c r="Q163" i="17"/>
  <c r="R163" i="17"/>
  <c r="S163" i="17"/>
  <c r="T163" i="17"/>
  <c r="U163" i="17"/>
  <c r="V163" i="17"/>
  <c r="W163" i="17"/>
  <c r="X163" i="17"/>
  <c r="Y163" i="17"/>
  <c r="Z163" i="17"/>
  <c r="AA163" i="17"/>
  <c r="AB163" i="17"/>
  <c r="AC163" i="17"/>
  <c r="AD163" i="17"/>
  <c r="C164" i="17"/>
  <c r="D164" i="17"/>
  <c r="E164" i="17"/>
  <c r="F164" i="17"/>
  <c r="G164" i="17"/>
  <c r="H164" i="17"/>
  <c r="I164" i="17"/>
  <c r="J164" i="17"/>
  <c r="K164" i="17"/>
  <c r="L164" i="17"/>
  <c r="M164" i="17"/>
  <c r="N164" i="17"/>
  <c r="O164" i="17"/>
  <c r="P164" i="17"/>
  <c r="Q164" i="17"/>
  <c r="R164" i="17"/>
  <c r="S164" i="17"/>
  <c r="T164" i="17"/>
  <c r="U164" i="17"/>
  <c r="V164" i="17"/>
  <c r="W164" i="17"/>
  <c r="X164" i="17"/>
  <c r="Y164" i="17"/>
  <c r="Z164" i="17"/>
  <c r="AA164" i="17"/>
  <c r="AB164" i="17"/>
  <c r="AC164" i="17"/>
  <c r="AD164" i="17"/>
  <c r="C165" i="17"/>
  <c r="D165" i="17"/>
  <c r="E165" i="17"/>
  <c r="F165" i="17"/>
  <c r="G165" i="17"/>
  <c r="H165" i="17"/>
  <c r="I165" i="17"/>
  <c r="J165" i="17"/>
  <c r="K165" i="17"/>
  <c r="L165" i="17"/>
  <c r="M165" i="17"/>
  <c r="N165" i="17"/>
  <c r="O165" i="17"/>
  <c r="P165" i="17"/>
  <c r="Q165" i="17"/>
  <c r="R165" i="17"/>
  <c r="S165" i="17"/>
  <c r="T165" i="17"/>
  <c r="U165" i="17"/>
  <c r="V165" i="17"/>
  <c r="W165" i="17"/>
  <c r="X165" i="17"/>
  <c r="Y165" i="17"/>
  <c r="Z165" i="17"/>
  <c r="AA165" i="17"/>
  <c r="AB165" i="17"/>
  <c r="AC165" i="17"/>
  <c r="AD165" i="17"/>
  <c r="C166" i="17"/>
  <c r="D166" i="17"/>
  <c r="E166" i="17"/>
  <c r="F166" i="17"/>
  <c r="G166" i="17"/>
  <c r="H166" i="17"/>
  <c r="I166" i="17"/>
  <c r="J166" i="17"/>
  <c r="K166" i="17"/>
  <c r="L166" i="17"/>
  <c r="M166" i="17"/>
  <c r="N166" i="17"/>
  <c r="O166" i="17"/>
  <c r="P166" i="17"/>
  <c r="Q166" i="17"/>
  <c r="R166" i="17"/>
  <c r="S166" i="17"/>
  <c r="T166" i="17"/>
  <c r="U166" i="17"/>
  <c r="V166" i="17"/>
  <c r="W166" i="17"/>
  <c r="X166" i="17"/>
  <c r="Y166" i="17"/>
  <c r="Z166" i="17"/>
  <c r="AA166" i="17"/>
  <c r="AB166" i="17"/>
  <c r="AC166" i="17"/>
  <c r="AD166" i="17"/>
  <c r="C167" i="17"/>
  <c r="D167" i="17"/>
  <c r="E167" i="17"/>
  <c r="F167" i="17"/>
  <c r="G167" i="17"/>
  <c r="H167" i="17"/>
  <c r="I167" i="17"/>
  <c r="J167" i="17"/>
  <c r="K167" i="17"/>
  <c r="L167" i="17"/>
  <c r="M167" i="17"/>
  <c r="N167" i="17"/>
  <c r="O167" i="17"/>
  <c r="P167" i="17"/>
  <c r="Q167" i="17"/>
  <c r="R167" i="17"/>
  <c r="S167" i="17"/>
  <c r="T167" i="17"/>
  <c r="U167" i="17"/>
  <c r="V167" i="17"/>
  <c r="W167" i="17"/>
  <c r="X167" i="17"/>
  <c r="Y167" i="17"/>
  <c r="Z167" i="17"/>
  <c r="AA167" i="17"/>
  <c r="AB167" i="17"/>
  <c r="AC167" i="17"/>
  <c r="AD167" i="17"/>
  <c r="C168" i="17"/>
  <c r="D168" i="17"/>
  <c r="E168" i="17"/>
  <c r="F168" i="17"/>
  <c r="G168" i="17"/>
  <c r="H168" i="17"/>
  <c r="I168" i="17"/>
  <c r="J168" i="17"/>
  <c r="K168" i="17"/>
  <c r="L168" i="17"/>
  <c r="M168" i="17"/>
  <c r="N168" i="17"/>
  <c r="O168" i="17"/>
  <c r="P168" i="17"/>
  <c r="Q168" i="17"/>
  <c r="R168" i="17"/>
  <c r="S168" i="17"/>
  <c r="T168" i="17"/>
  <c r="U168" i="17"/>
  <c r="V168" i="17"/>
  <c r="W168" i="17"/>
  <c r="X168" i="17"/>
  <c r="Y168" i="17"/>
  <c r="Z168" i="17"/>
  <c r="AA168" i="17"/>
  <c r="AB168" i="17"/>
  <c r="AC168" i="17"/>
  <c r="AD168" i="17"/>
  <c r="C169" i="17"/>
  <c r="D169" i="17"/>
  <c r="E169" i="17"/>
  <c r="F169" i="17"/>
  <c r="G169" i="17"/>
  <c r="H169" i="17"/>
  <c r="I169" i="17"/>
  <c r="J169" i="17"/>
  <c r="K169" i="17"/>
  <c r="L169" i="17"/>
  <c r="M169" i="17"/>
  <c r="N169" i="17"/>
  <c r="O169" i="17"/>
  <c r="P169" i="17"/>
  <c r="Q169" i="17"/>
  <c r="R169" i="17"/>
  <c r="S169" i="17"/>
  <c r="T169" i="17"/>
  <c r="U169" i="17"/>
  <c r="V169" i="17"/>
  <c r="W169" i="17"/>
  <c r="X169" i="17"/>
  <c r="Y169" i="17"/>
  <c r="Z169" i="17"/>
  <c r="AA169" i="17"/>
  <c r="AB169" i="17"/>
  <c r="AC169" i="17"/>
  <c r="AD169" i="17"/>
  <c r="C170" i="17"/>
  <c r="D170" i="17"/>
  <c r="E170" i="17"/>
  <c r="F170" i="17"/>
  <c r="G170" i="17"/>
  <c r="H170" i="17"/>
  <c r="I170" i="17"/>
  <c r="J170" i="17"/>
  <c r="K170" i="17"/>
  <c r="L170" i="17"/>
  <c r="M170" i="17"/>
  <c r="N170" i="17"/>
  <c r="O170" i="17"/>
  <c r="P170" i="17"/>
  <c r="Q170" i="17"/>
  <c r="R170" i="17"/>
  <c r="S170" i="17"/>
  <c r="T170" i="17"/>
  <c r="U170" i="17"/>
  <c r="V170" i="17"/>
  <c r="W170" i="17"/>
  <c r="X170" i="17"/>
  <c r="Y170" i="17"/>
  <c r="Z170" i="17"/>
  <c r="AA170" i="17"/>
  <c r="AB170" i="17"/>
  <c r="AC170" i="17"/>
  <c r="AD170" i="17"/>
  <c r="C171" i="17"/>
  <c r="D171" i="17"/>
  <c r="E171" i="17"/>
  <c r="F171" i="17"/>
  <c r="G171" i="17"/>
  <c r="H171" i="17"/>
  <c r="I171" i="17"/>
  <c r="J171" i="17"/>
  <c r="K171" i="17"/>
  <c r="L171" i="17"/>
  <c r="M171" i="17"/>
  <c r="N171" i="17"/>
  <c r="O171" i="17"/>
  <c r="P171" i="17"/>
  <c r="Q171" i="17"/>
  <c r="R171" i="17"/>
  <c r="S171" i="17"/>
  <c r="T171" i="17"/>
  <c r="U171" i="17"/>
  <c r="V171" i="17"/>
  <c r="W171" i="17"/>
  <c r="X171" i="17"/>
  <c r="Y171" i="17"/>
  <c r="Z171" i="17"/>
  <c r="AA171" i="17"/>
  <c r="AB171" i="17"/>
  <c r="AC171" i="17"/>
  <c r="AD171" i="17"/>
  <c r="C172" i="17"/>
  <c r="D172" i="17"/>
  <c r="E172" i="17"/>
  <c r="F172" i="17"/>
  <c r="G172" i="17"/>
  <c r="H172" i="17"/>
  <c r="I172" i="17"/>
  <c r="J172" i="17"/>
  <c r="K172" i="17"/>
  <c r="L172" i="17"/>
  <c r="M172" i="17"/>
  <c r="N172" i="17"/>
  <c r="O172" i="17"/>
  <c r="P172" i="17"/>
  <c r="Q172" i="17"/>
  <c r="R172" i="17"/>
  <c r="S172" i="17"/>
  <c r="T172" i="17"/>
  <c r="U172" i="17"/>
  <c r="V172" i="17"/>
  <c r="W172" i="17"/>
  <c r="X172" i="17"/>
  <c r="Y172" i="17"/>
  <c r="Z172" i="17"/>
  <c r="AA172" i="17"/>
  <c r="AB172" i="17"/>
  <c r="AC172" i="17"/>
  <c r="AD172" i="17"/>
  <c r="C173" i="17"/>
  <c r="D173" i="17"/>
  <c r="E173" i="17"/>
  <c r="F173" i="17"/>
  <c r="G173" i="17"/>
  <c r="H173" i="17"/>
  <c r="I173" i="17"/>
  <c r="J173" i="17"/>
  <c r="K173" i="17"/>
  <c r="L173" i="17"/>
  <c r="M173" i="17"/>
  <c r="N173" i="17"/>
  <c r="O173" i="17"/>
  <c r="P173" i="17"/>
  <c r="Q173" i="17"/>
  <c r="R173" i="17"/>
  <c r="S173" i="17"/>
  <c r="T173" i="17"/>
  <c r="U173" i="17"/>
  <c r="V173" i="17"/>
  <c r="W173" i="17"/>
  <c r="X173" i="17"/>
  <c r="Y173" i="17"/>
  <c r="Z173" i="17"/>
  <c r="AA173" i="17"/>
  <c r="AB173" i="17"/>
  <c r="AC173" i="17"/>
  <c r="AD173" i="17"/>
  <c r="C174" i="17"/>
  <c r="D174" i="17"/>
  <c r="E174" i="17"/>
  <c r="F174" i="17"/>
  <c r="G174" i="17"/>
  <c r="H174" i="17"/>
  <c r="I174" i="17"/>
  <c r="J174" i="17"/>
  <c r="K174" i="17"/>
  <c r="L174" i="17"/>
  <c r="M174" i="17"/>
  <c r="N174" i="17"/>
  <c r="O174" i="17"/>
  <c r="P174" i="17"/>
  <c r="Q174" i="17"/>
  <c r="R174" i="17"/>
  <c r="S174" i="17"/>
  <c r="T174" i="17"/>
  <c r="U174" i="17"/>
  <c r="V174" i="17"/>
  <c r="W174" i="17"/>
  <c r="X174" i="17"/>
  <c r="Y174" i="17"/>
  <c r="Z174" i="17"/>
  <c r="AA174" i="17"/>
  <c r="AB174" i="17"/>
  <c r="AC174" i="17"/>
  <c r="AD174" i="17"/>
  <c r="C175" i="17"/>
  <c r="D175" i="17"/>
  <c r="E175" i="17"/>
  <c r="F175" i="17"/>
  <c r="G175" i="17"/>
  <c r="H175" i="17"/>
  <c r="I175" i="17"/>
  <c r="J175" i="17"/>
  <c r="K175" i="17"/>
  <c r="L175" i="17"/>
  <c r="M175" i="17"/>
  <c r="N175" i="17"/>
  <c r="O175" i="17"/>
  <c r="P175" i="17"/>
  <c r="Q175" i="17"/>
  <c r="R175" i="17"/>
  <c r="S175" i="17"/>
  <c r="T175" i="17"/>
  <c r="U175" i="17"/>
  <c r="V175" i="17"/>
  <c r="W175" i="17"/>
  <c r="X175" i="17"/>
  <c r="Y175" i="17"/>
  <c r="Z175" i="17"/>
  <c r="AA175" i="17"/>
  <c r="AB175" i="17"/>
  <c r="AC175" i="17"/>
  <c r="AD175" i="17"/>
  <c r="C176" i="17"/>
  <c r="D176" i="17"/>
  <c r="E176" i="17"/>
  <c r="F176" i="17"/>
  <c r="G176" i="17"/>
  <c r="H176" i="17"/>
  <c r="I176" i="17"/>
  <c r="J176" i="17"/>
  <c r="K176" i="17"/>
  <c r="L176" i="17"/>
  <c r="M176" i="17"/>
  <c r="N176" i="17"/>
  <c r="O176" i="17"/>
  <c r="P176" i="17"/>
  <c r="Q176" i="17"/>
  <c r="R176" i="17"/>
  <c r="S176" i="17"/>
  <c r="T176" i="17"/>
  <c r="U176" i="17"/>
  <c r="V176" i="17"/>
  <c r="W176" i="17"/>
  <c r="X176" i="17"/>
  <c r="Y176" i="17"/>
  <c r="Z176" i="17"/>
  <c r="AA176" i="17"/>
  <c r="AB176" i="17"/>
  <c r="AC176" i="17"/>
  <c r="AD176" i="17"/>
  <c r="C177" i="17"/>
  <c r="D177" i="17"/>
  <c r="E177" i="17"/>
  <c r="F177" i="17"/>
  <c r="G177" i="17"/>
  <c r="H177" i="17"/>
  <c r="I177" i="17"/>
  <c r="J177" i="17"/>
  <c r="K177" i="17"/>
  <c r="L177" i="17"/>
  <c r="M177" i="17"/>
  <c r="N177" i="17"/>
  <c r="O177" i="17"/>
  <c r="P177" i="17"/>
  <c r="Q177" i="17"/>
  <c r="R177" i="17"/>
  <c r="S177" i="17"/>
  <c r="T177" i="17"/>
  <c r="U177" i="17"/>
  <c r="V177" i="17"/>
  <c r="W177" i="17"/>
  <c r="X177" i="17"/>
  <c r="Y177" i="17"/>
  <c r="Z177" i="17"/>
  <c r="AA177" i="17"/>
  <c r="AB177" i="17"/>
  <c r="AC177" i="17"/>
  <c r="AD177" i="17"/>
  <c r="C178" i="17"/>
  <c r="D178" i="17"/>
  <c r="E178" i="17"/>
  <c r="F178" i="17"/>
  <c r="G178" i="17"/>
  <c r="H178" i="17"/>
  <c r="I178" i="17"/>
  <c r="J178" i="17"/>
  <c r="K178" i="17"/>
  <c r="L178" i="17"/>
  <c r="M178" i="17"/>
  <c r="N178" i="17"/>
  <c r="O178" i="17"/>
  <c r="P178" i="17"/>
  <c r="Q178" i="17"/>
  <c r="R178" i="17"/>
  <c r="S178" i="17"/>
  <c r="T178" i="17"/>
  <c r="U178" i="17"/>
  <c r="V178" i="17"/>
  <c r="W178" i="17"/>
  <c r="X178" i="17"/>
  <c r="Y178" i="17"/>
  <c r="Z178" i="17"/>
  <c r="AA178" i="17"/>
  <c r="AB178" i="17"/>
  <c r="AC178" i="17"/>
  <c r="AD178" i="17"/>
  <c r="C179" i="17"/>
  <c r="D179" i="17"/>
  <c r="E179" i="17"/>
  <c r="F179" i="17"/>
  <c r="G179" i="17"/>
  <c r="H179" i="17"/>
  <c r="I179" i="17"/>
  <c r="J179" i="17"/>
  <c r="K179" i="17"/>
  <c r="L179" i="17"/>
  <c r="M179" i="17"/>
  <c r="N179" i="17"/>
  <c r="O179" i="17"/>
  <c r="P179" i="17"/>
  <c r="Q179" i="17"/>
  <c r="R179" i="17"/>
  <c r="S179" i="17"/>
  <c r="T179" i="17"/>
  <c r="U179" i="17"/>
  <c r="V179" i="17"/>
  <c r="W179" i="17"/>
  <c r="X179" i="17"/>
  <c r="Y179" i="17"/>
  <c r="Z179" i="17"/>
  <c r="AA179" i="17"/>
  <c r="AB179" i="17"/>
  <c r="AC179" i="17"/>
  <c r="AD179" i="17"/>
  <c r="C180" i="17"/>
  <c r="D180" i="17"/>
  <c r="E180" i="17"/>
  <c r="F180" i="17"/>
  <c r="G180" i="17"/>
  <c r="H180" i="17"/>
  <c r="I180" i="17"/>
  <c r="J180" i="17"/>
  <c r="K180" i="17"/>
  <c r="L180" i="17"/>
  <c r="M180" i="17"/>
  <c r="N180" i="17"/>
  <c r="O180" i="17"/>
  <c r="P180" i="17"/>
  <c r="Q180" i="17"/>
  <c r="R180" i="17"/>
  <c r="S180" i="17"/>
  <c r="T180" i="17"/>
  <c r="U180" i="17"/>
  <c r="V180" i="17"/>
  <c r="W180" i="17"/>
  <c r="X180" i="17"/>
  <c r="Y180" i="17"/>
  <c r="Z180" i="17"/>
  <c r="AA180" i="17"/>
  <c r="AB180" i="17"/>
  <c r="AC180" i="17"/>
  <c r="AD180" i="17"/>
  <c r="C181" i="17"/>
  <c r="D181" i="17"/>
  <c r="E181" i="17"/>
  <c r="F181" i="17"/>
  <c r="G181" i="17"/>
  <c r="H181" i="17"/>
  <c r="I181" i="17"/>
  <c r="J181" i="17"/>
  <c r="K181" i="17"/>
  <c r="L181" i="17"/>
  <c r="M181" i="17"/>
  <c r="N181" i="17"/>
  <c r="O181" i="17"/>
  <c r="P181" i="17"/>
  <c r="Q181" i="17"/>
  <c r="R181" i="17"/>
  <c r="S181" i="17"/>
  <c r="T181" i="17"/>
  <c r="U181" i="17"/>
  <c r="V181" i="17"/>
  <c r="W181" i="17"/>
  <c r="X181" i="17"/>
  <c r="Y181" i="17"/>
  <c r="Z181" i="17"/>
  <c r="AA181" i="17"/>
  <c r="AB181" i="17"/>
  <c r="AC181" i="17"/>
  <c r="AD181" i="17"/>
  <c r="C182" i="17"/>
  <c r="D182" i="17"/>
  <c r="E182" i="17"/>
  <c r="F182" i="17"/>
  <c r="G182" i="17"/>
  <c r="H182" i="17"/>
  <c r="I182" i="17"/>
  <c r="J182" i="17"/>
  <c r="K182" i="17"/>
  <c r="L182" i="17"/>
  <c r="M182" i="17"/>
  <c r="N182" i="17"/>
  <c r="O182" i="17"/>
  <c r="P182" i="17"/>
  <c r="Q182" i="17"/>
  <c r="R182" i="17"/>
  <c r="S182" i="17"/>
  <c r="T182" i="17"/>
  <c r="U182" i="17"/>
  <c r="V182" i="17"/>
  <c r="W182" i="17"/>
  <c r="X182" i="17"/>
  <c r="Y182" i="17"/>
  <c r="Z182" i="17"/>
  <c r="AA182" i="17"/>
  <c r="AB182" i="17"/>
  <c r="AC182" i="17"/>
  <c r="AD182" i="17"/>
  <c r="C183" i="17"/>
  <c r="D183" i="17"/>
  <c r="E183" i="17"/>
  <c r="F183" i="17"/>
  <c r="G183" i="17"/>
  <c r="H183" i="17"/>
  <c r="I183" i="17"/>
  <c r="J183" i="17"/>
  <c r="K183" i="17"/>
  <c r="L183" i="17"/>
  <c r="M183" i="17"/>
  <c r="N183" i="17"/>
  <c r="O183" i="17"/>
  <c r="P183" i="17"/>
  <c r="Q183" i="17"/>
  <c r="R183" i="17"/>
  <c r="S183" i="17"/>
  <c r="T183" i="17"/>
  <c r="U183" i="17"/>
  <c r="V183" i="17"/>
  <c r="W183" i="17"/>
  <c r="X183" i="17"/>
  <c r="Y183" i="17"/>
  <c r="Z183" i="17"/>
  <c r="AA183" i="17"/>
  <c r="AB183" i="17"/>
  <c r="AC183" i="17"/>
  <c r="AD183" i="17"/>
  <c r="C184" i="17"/>
  <c r="D184" i="17"/>
  <c r="E184" i="17"/>
  <c r="F184" i="17"/>
  <c r="G184" i="17"/>
  <c r="H184" i="17"/>
  <c r="I184" i="17"/>
  <c r="J184" i="17"/>
  <c r="K184" i="17"/>
  <c r="L184" i="17"/>
  <c r="M184" i="17"/>
  <c r="N184" i="17"/>
  <c r="O184" i="17"/>
  <c r="P184" i="17"/>
  <c r="Q184" i="17"/>
  <c r="R184" i="17"/>
  <c r="S184" i="17"/>
  <c r="T184" i="17"/>
  <c r="U184" i="17"/>
  <c r="V184" i="17"/>
  <c r="W184" i="17"/>
  <c r="X184" i="17"/>
  <c r="Y184" i="17"/>
  <c r="Z184" i="17"/>
  <c r="AA184" i="17"/>
  <c r="AB184" i="17"/>
  <c r="AC184" i="17"/>
  <c r="AD184" i="17"/>
  <c r="C185" i="17"/>
  <c r="D185" i="17"/>
  <c r="E185" i="17"/>
  <c r="F185" i="17"/>
  <c r="G185" i="17"/>
  <c r="H185" i="17"/>
  <c r="I185" i="17"/>
  <c r="J185" i="17"/>
  <c r="K185" i="17"/>
  <c r="L185" i="17"/>
  <c r="M185" i="17"/>
  <c r="N185" i="17"/>
  <c r="O185" i="17"/>
  <c r="P185" i="17"/>
  <c r="Q185" i="17"/>
  <c r="R185" i="17"/>
  <c r="S185" i="17"/>
  <c r="T185" i="17"/>
  <c r="U185" i="17"/>
  <c r="V185" i="17"/>
  <c r="W185" i="17"/>
  <c r="X185" i="17"/>
  <c r="Y185" i="17"/>
  <c r="Z185" i="17"/>
  <c r="AA185" i="17"/>
  <c r="AB185" i="17"/>
  <c r="AC185" i="17"/>
  <c r="AD185" i="17"/>
  <c r="C186" i="17"/>
  <c r="D186" i="17"/>
  <c r="E186" i="17"/>
  <c r="F186" i="17"/>
  <c r="G186" i="17"/>
  <c r="H186" i="17"/>
  <c r="I186" i="17"/>
  <c r="J186" i="17"/>
  <c r="K186" i="17"/>
  <c r="L186" i="17"/>
  <c r="M186" i="17"/>
  <c r="N186" i="17"/>
  <c r="O186" i="17"/>
  <c r="P186" i="17"/>
  <c r="Q186" i="17"/>
  <c r="R186" i="17"/>
  <c r="S186" i="17"/>
  <c r="T186" i="17"/>
  <c r="U186" i="17"/>
  <c r="V186" i="17"/>
  <c r="W186" i="17"/>
  <c r="X186" i="17"/>
  <c r="Y186" i="17"/>
  <c r="Z186" i="17"/>
  <c r="AA186" i="17"/>
  <c r="AB186" i="17"/>
  <c r="AC186" i="17"/>
  <c r="AD186" i="17"/>
  <c r="C187" i="17"/>
  <c r="D187" i="17"/>
  <c r="E187" i="17"/>
  <c r="F187" i="17"/>
  <c r="G187" i="17"/>
  <c r="H187" i="17"/>
  <c r="I187" i="17"/>
  <c r="J187" i="17"/>
  <c r="K187" i="17"/>
  <c r="L187" i="17"/>
  <c r="M187" i="17"/>
  <c r="N187" i="17"/>
  <c r="O187" i="17"/>
  <c r="P187" i="17"/>
  <c r="Q187" i="17"/>
  <c r="R187" i="17"/>
  <c r="S187" i="17"/>
  <c r="T187" i="17"/>
  <c r="U187" i="17"/>
  <c r="V187" i="17"/>
  <c r="W187" i="17"/>
  <c r="X187" i="17"/>
  <c r="Y187" i="17"/>
  <c r="Z187" i="17"/>
  <c r="AA187" i="17"/>
  <c r="AB187" i="17"/>
  <c r="AC187" i="17"/>
  <c r="AD187" i="17"/>
  <c r="C188" i="17"/>
  <c r="D188" i="17"/>
  <c r="E188" i="17"/>
  <c r="F188" i="17"/>
  <c r="G188" i="17"/>
  <c r="H188" i="17"/>
  <c r="I188" i="17"/>
  <c r="J188" i="17"/>
  <c r="K188" i="17"/>
  <c r="L188" i="17"/>
  <c r="M188" i="17"/>
  <c r="N188" i="17"/>
  <c r="O188" i="17"/>
  <c r="P188" i="17"/>
  <c r="Q188" i="17"/>
  <c r="R188" i="17"/>
  <c r="S188" i="17"/>
  <c r="T188" i="17"/>
  <c r="U188" i="17"/>
  <c r="V188" i="17"/>
  <c r="W188" i="17"/>
  <c r="X188" i="17"/>
  <c r="Y188" i="17"/>
  <c r="Z188" i="17"/>
  <c r="AA188" i="17"/>
  <c r="AB188" i="17"/>
  <c r="AC188" i="17"/>
  <c r="AD188" i="17"/>
  <c r="C189" i="17"/>
  <c r="D189" i="17"/>
  <c r="E189" i="17"/>
  <c r="F189" i="17"/>
  <c r="G189" i="17"/>
  <c r="H189" i="17"/>
  <c r="I189" i="17"/>
  <c r="J189" i="17"/>
  <c r="K189" i="17"/>
  <c r="L189" i="17"/>
  <c r="M189" i="17"/>
  <c r="N189" i="17"/>
  <c r="O189" i="17"/>
  <c r="P189" i="17"/>
  <c r="Q189" i="17"/>
  <c r="R189" i="17"/>
  <c r="S189" i="17"/>
  <c r="T189" i="17"/>
  <c r="U189" i="17"/>
  <c r="V189" i="17"/>
  <c r="W189" i="17"/>
  <c r="X189" i="17"/>
  <c r="Y189" i="17"/>
  <c r="Z189" i="17"/>
  <c r="AA189" i="17"/>
  <c r="AB189" i="17"/>
  <c r="AC189" i="17"/>
  <c r="AD189" i="17"/>
  <c r="C190" i="17"/>
  <c r="D190" i="17"/>
  <c r="E190" i="17"/>
  <c r="F190" i="17"/>
  <c r="G190" i="17"/>
  <c r="H190" i="17"/>
  <c r="I190" i="17"/>
  <c r="J190" i="17"/>
  <c r="K190" i="17"/>
  <c r="L190" i="17"/>
  <c r="M190" i="17"/>
  <c r="N190" i="17"/>
  <c r="O190" i="17"/>
  <c r="P190" i="17"/>
  <c r="Q190" i="17"/>
  <c r="R190" i="17"/>
  <c r="S190" i="17"/>
  <c r="T190" i="17"/>
  <c r="U190" i="17"/>
  <c r="V190" i="17"/>
  <c r="W190" i="17"/>
  <c r="X190" i="17"/>
  <c r="Y190" i="17"/>
  <c r="Z190" i="17"/>
  <c r="AA190" i="17"/>
  <c r="AB190" i="17"/>
  <c r="AC190" i="17"/>
  <c r="AD190" i="17"/>
  <c r="C191" i="17"/>
  <c r="D191" i="17"/>
  <c r="E191" i="17"/>
  <c r="F191" i="17"/>
  <c r="G191" i="17"/>
  <c r="H191" i="17"/>
  <c r="I191" i="17"/>
  <c r="J191" i="17"/>
  <c r="K191" i="17"/>
  <c r="L191" i="17"/>
  <c r="M191" i="17"/>
  <c r="N191" i="17"/>
  <c r="O191" i="17"/>
  <c r="P191" i="17"/>
  <c r="Q191" i="17"/>
  <c r="R191" i="17"/>
  <c r="S191" i="17"/>
  <c r="T191" i="17"/>
  <c r="U191" i="17"/>
  <c r="V191" i="17"/>
  <c r="W191" i="17"/>
  <c r="X191" i="17"/>
  <c r="Y191" i="17"/>
  <c r="Z191" i="17"/>
  <c r="AA191" i="17"/>
  <c r="AB191" i="17"/>
  <c r="AC191" i="17"/>
  <c r="AD191" i="17"/>
  <c r="C192" i="17"/>
  <c r="D192" i="17"/>
  <c r="E192" i="17"/>
  <c r="F192" i="17"/>
  <c r="G192" i="17"/>
  <c r="H192" i="17"/>
  <c r="I192" i="17"/>
  <c r="J192" i="17"/>
  <c r="K192" i="17"/>
  <c r="L192" i="17"/>
  <c r="M192" i="17"/>
  <c r="N192" i="17"/>
  <c r="O192" i="17"/>
  <c r="P192" i="17"/>
  <c r="Q192" i="17"/>
  <c r="R192" i="17"/>
  <c r="S192" i="17"/>
  <c r="T192" i="17"/>
  <c r="U192" i="17"/>
  <c r="V192" i="17"/>
  <c r="W192" i="17"/>
  <c r="X192" i="17"/>
  <c r="Y192" i="17"/>
  <c r="Z192" i="17"/>
  <c r="AA192" i="17"/>
  <c r="AB192" i="17"/>
  <c r="AC192" i="17"/>
  <c r="AD192" i="17"/>
  <c r="C193" i="17"/>
  <c r="D193" i="17"/>
  <c r="E193" i="17"/>
  <c r="F193" i="17"/>
  <c r="G193" i="17"/>
  <c r="H193" i="17"/>
  <c r="I193" i="17"/>
  <c r="J193" i="17"/>
  <c r="K193" i="17"/>
  <c r="L193" i="17"/>
  <c r="M193" i="17"/>
  <c r="N193" i="17"/>
  <c r="O193" i="17"/>
  <c r="P193" i="17"/>
  <c r="Q193" i="17"/>
  <c r="R193" i="17"/>
  <c r="S193" i="17"/>
  <c r="T193" i="17"/>
  <c r="U193" i="17"/>
  <c r="V193" i="17"/>
  <c r="W193" i="17"/>
  <c r="X193" i="17"/>
  <c r="Y193" i="17"/>
  <c r="Z193" i="17"/>
  <c r="AA193" i="17"/>
  <c r="AB193" i="17"/>
  <c r="AC193" i="17"/>
  <c r="AD193" i="17"/>
  <c r="C194" i="17"/>
  <c r="D194" i="17"/>
  <c r="E194" i="17"/>
  <c r="F194" i="17"/>
  <c r="G194" i="17"/>
  <c r="H194" i="17"/>
  <c r="I194" i="17"/>
  <c r="J194" i="17"/>
  <c r="K194" i="17"/>
  <c r="L194" i="17"/>
  <c r="M194" i="17"/>
  <c r="N194" i="17"/>
  <c r="O194" i="17"/>
  <c r="P194" i="17"/>
  <c r="Q194" i="17"/>
  <c r="R194" i="17"/>
  <c r="S194" i="17"/>
  <c r="T194" i="17"/>
  <c r="U194" i="17"/>
  <c r="V194" i="17"/>
  <c r="W194" i="17"/>
  <c r="X194" i="17"/>
  <c r="Y194" i="17"/>
  <c r="Z194" i="17"/>
  <c r="AA194" i="17"/>
  <c r="AB194" i="17"/>
  <c r="AC194" i="17"/>
  <c r="AD194" i="17"/>
  <c r="C195" i="17"/>
  <c r="D195" i="17"/>
  <c r="E195" i="17"/>
  <c r="F195" i="17"/>
  <c r="G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C196" i="17"/>
  <c r="D196" i="17"/>
  <c r="E196" i="17"/>
  <c r="F196" i="17"/>
  <c r="G196" i="17"/>
  <c r="H196" i="17"/>
  <c r="I196" i="17"/>
  <c r="J196" i="17"/>
  <c r="K196" i="17"/>
  <c r="L196" i="17"/>
  <c r="M196" i="17"/>
  <c r="N196" i="17"/>
  <c r="O196" i="17"/>
  <c r="P196" i="17"/>
  <c r="Q196" i="17"/>
  <c r="R196" i="17"/>
  <c r="S196" i="17"/>
  <c r="T196" i="17"/>
  <c r="U196" i="17"/>
  <c r="V196" i="17"/>
  <c r="W196" i="17"/>
  <c r="X196" i="17"/>
  <c r="Y196" i="17"/>
  <c r="Z196" i="17"/>
  <c r="AA196" i="17"/>
  <c r="AB196" i="17"/>
  <c r="AC196" i="17"/>
  <c r="AD196" i="17"/>
  <c r="C197" i="17"/>
  <c r="D197" i="17"/>
  <c r="E197" i="17"/>
  <c r="F197" i="17"/>
  <c r="G197" i="17"/>
  <c r="H197" i="17"/>
  <c r="I197" i="17"/>
  <c r="J197" i="17"/>
  <c r="K197" i="17"/>
  <c r="L197" i="17"/>
  <c r="M197" i="17"/>
  <c r="N197" i="17"/>
  <c r="O197" i="17"/>
  <c r="P197" i="17"/>
  <c r="Q197" i="17"/>
  <c r="R197" i="17"/>
  <c r="S197" i="17"/>
  <c r="T197" i="17"/>
  <c r="U197" i="17"/>
  <c r="V197" i="17"/>
  <c r="W197" i="17"/>
  <c r="X197" i="17"/>
  <c r="Y197" i="17"/>
  <c r="Z197" i="17"/>
  <c r="AA197" i="17"/>
  <c r="AB197" i="17"/>
  <c r="AC197" i="17"/>
  <c r="AD197" i="17"/>
  <c r="C198" i="17"/>
  <c r="D198" i="17"/>
  <c r="E198" i="17"/>
  <c r="F198" i="17"/>
  <c r="G198" i="17"/>
  <c r="H198" i="17"/>
  <c r="I198" i="17"/>
  <c r="J198" i="17"/>
  <c r="K198" i="17"/>
  <c r="L198" i="17"/>
  <c r="M198" i="17"/>
  <c r="N198" i="17"/>
  <c r="O198" i="17"/>
  <c r="P198" i="17"/>
  <c r="Q198" i="17"/>
  <c r="R198" i="17"/>
  <c r="S198" i="17"/>
  <c r="T198" i="17"/>
  <c r="U198" i="17"/>
  <c r="V198" i="17"/>
  <c r="W198" i="17"/>
  <c r="X198" i="17"/>
  <c r="Y198" i="17"/>
  <c r="Z198" i="17"/>
  <c r="AA198" i="17"/>
  <c r="AB198" i="17"/>
  <c r="AC198" i="17"/>
  <c r="AD198" i="17"/>
  <c r="C199" i="17"/>
  <c r="D199" i="17"/>
  <c r="E199" i="17"/>
  <c r="F199" i="17"/>
  <c r="G199" i="17"/>
  <c r="H199" i="17"/>
  <c r="I199" i="17"/>
  <c r="J199" i="17"/>
  <c r="K199" i="17"/>
  <c r="L199" i="17"/>
  <c r="M199" i="17"/>
  <c r="N199" i="17"/>
  <c r="O199" i="17"/>
  <c r="P199" i="17"/>
  <c r="Q199" i="17"/>
  <c r="R199" i="17"/>
  <c r="S199" i="17"/>
  <c r="T199" i="17"/>
  <c r="U199" i="17"/>
  <c r="V199" i="17"/>
  <c r="W199" i="17"/>
  <c r="X199" i="17"/>
  <c r="Y199" i="17"/>
  <c r="Z199" i="17"/>
  <c r="AA199" i="17"/>
  <c r="AB199" i="17"/>
  <c r="AC199" i="17"/>
  <c r="AD199" i="17"/>
  <c r="C200" i="17"/>
  <c r="D200" i="17"/>
  <c r="E200" i="17"/>
  <c r="F200" i="17"/>
  <c r="G200" i="17"/>
  <c r="H200" i="17"/>
  <c r="I200" i="17"/>
  <c r="J200" i="17"/>
  <c r="K200" i="17"/>
  <c r="L200" i="17"/>
  <c r="M200" i="17"/>
  <c r="N200" i="17"/>
  <c r="O200" i="17"/>
  <c r="P200" i="17"/>
  <c r="Q200" i="17"/>
  <c r="R200" i="17"/>
  <c r="S200" i="17"/>
  <c r="T200" i="17"/>
  <c r="U200" i="17"/>
  <c r="V200" i="17"/>
  <c r="W200" i="17"/>
  <c r="X200" i="17"/>
  <c r="Y200" i="17"/>
  <c r="Z200" i="17"/>
  <c r="AA200" i="17"/>
  <c r="AB200" i="17"/>
  <c r="AC200" i="17"/>
  <c r="AD200" i="17"/>
  <c r="C201" i="17"/>
  <c r="D201" i="17"/>
  <c r="E201" i="17"/>
  <c r="F201" i="17"/>
  <c r="G201" i="17"/>
  <c r="H201" i="17"/>
  <c r="I201" i="17"/>
  <c r="J201" i="17"/>
  <c r="K201" i="17"/>
  <c r="L201" i="17"/>
  <c r="M201" i="17"/>
  <c r="N201" i="17"/>
  <c r="O201" i="17"/>
  <c r="P201" i="17"/>
  <c r="Q201" i="17"/>
  <c r="R201" i="17"/>
  <c r="S201" i="17"/>
  <c r="T201" i="17"/>
  <c r="U201" i="17"/>
  <c r="V201" i="17"/>
  <c r="W201" i="17"/>
  <c r="X201" i="17"/>
  <c r="Y201" i="17"/>
  <c r="Z201" i="17"/>
  <c r="AA201" i="17"/>
  <c r="AB201" i="17"/>
  <c r="AC201" i="17"/>
  <c r="AD201" i="17"/>
  <c r="C202" i="17"/>
  <c r="D202" i="17"/>
  <c r="E202" i="17"/>
  <c r="F202" i="17"/>
  <c r="G202" i="17"/>
  <c r="H202" i="17"/>
  <c r="I202" i="17"/>
  <c r="J202" i="17"/>
  <c r="K202" i="17"/>
  <c r="L202" i="17"/>
  <c r="M202" i="17"/>
  <c r="N202" i="17"/>
  <c r="O202" i="17"/>
  <c r="P202" i="17"/>
  <c r="Q202" i="17"/>
  <c r="R202" i="17"/>
  <c r="S202" i="17"/>
  <c r="T202" i="17"/>
  <c r="U202" i="17"/>
  <c r="V202" i="17"/>
  <c r="W202" i="17"/>
  <c r="X202" i="17"/>
  <c r="Y202" i="17"/>
  <c r="Z202" i="17"/>
  <c r="AA202" i="17"/>
  <c r="AB202" i="17"/>
  <c r="AC202" i="17"/>
  <c r="AD202" i="17"/>
  <c r="C203" i="17"/>
  <c r="D203" i="17"/>
  <c r="E203" i="17"/>
  <c r="F203" i="17"/>
  <c r="G203" i="17"/>
  <c r="H203" i="17"/>
  <c r="I203" i="17"/>
  <c r="J203" i="17"/>
  <c r="K203" i="17"/>
  <c r="L203" i="17"/>
  <c r="M203" i="17"/>
  <c r="N203" i="17"/>
  <c r="O203" i="17"/>
  <c r="P203" i="17"/>
  <c r="Q203" i="17"/>
  <c r="R203" i="17"/>
  <c r="S203" i="17"/>
  <c r="T203" i="17"/>
  <c r="U203" i="17"/>
  <c r="V203" i="17"/>
  <c r="W203" i="17"/>
  <c r="X203" i="17"/>
  <c r="Y203" i="17"/>
  <c r="Z203" i="17"/>
  <c r="AA203" i="17"/>
  <c r="AB203" i="17"/>
  <c r="AC203" i="17"/>
  <c r="AD203" i="17"/>
  <c r="C204" i="17"/>
  <c r="D204" i="17"/>
  <c r="E204" i="17"/>
  <c r="F204" i="17"/>
  <c r="G204" i="17"/>
  <c r="H204" i="17"/>
  <c r="I204" i="17"/>
  <c r="J204" i="17"/>
  <c r="K204" i="17"/>
  <c r="L204" i="17"/>
  <c r="M204" i="17"/>
  <c r="N204" i="17"/>
  <c r="O204" i="17"/>
  <c r="P204" i="17"/>
  <c r="Q204" i="17"/>
  <c r="R204" i="17"/>
  <c r="S204" i="17"/>
  <c r="T204" i="17"/>
  <c r="U204" i="17"/>
  <c r="V204" i="17"/>
  <c r="W204" i="17"/>
  <c r="X204" i="17"/>
  <c r="Y204" i="17"/>
  <c r="Z204" i="17"/>
  <c r="AA204" i="17"/>
  <c r="AB204" i="17"/>
  <c r="AC204" i="17"/>
  <c r="AD204" i="17"/>
  <c r="C205" i="17"/>
  <c r="D205" i="17"/>
  <c r="E205" i="17"/>
  <c r="F205" i="17"/>
  <c r="G205" i="17"/>
  <c r="H205" i="17"/>
  <c r="I205" i="17"/>
  <c r="J205" i="17"/>
  <c r="K205" i="17"/>
  <c r="L205" i="17"/>
  <c r="M205" i="17"/>
  <c r="N205" i="17"/>
  <c r="O205" i="17"/>
  <c r="P205" i="17"/>
  <c r="Q205" i="17"/>
  <c r="R205" i="17"/>
  <c r="S205" i="17"/>
  <c r="T205" i="17"/>
  <c r="U205" i="17"/>
  <c r="V205" i="17"/>
  <c r="W205" i="17"/>
  <c r="X205" i="17"/>
  <c r="Y205" i="17"/>
  <c r="Z205" i="17"/>
  <c r="AA205" i="17"/>
  <c r="AB205" i="17"/>
  <c r="AC205" i="17"/>
  <c r="AD205" i="17"/>
  <c r="C206" i="17"/>
  <c r="D206" i="17"/>
  <c r="E206" i="17"/>
  <c r="F206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C207" i="17"/>
  <c r="D207" i="17"/>
  <c r="E207" i="17"/>
  <c r="F207" i="17"/>
  <c r="G207" i="17"/>
  <c r="H207" i="17"/>
  <c r="I207" i="17"/>
  <c r="J207" i="17"/>
  <c r="K207" i="17"/>
  <c r="L207" i="17"/>
  <c r="M207" i="17"/>
  <c r="N207" i="17"/>
  <c r="O207" i="17"/>
  <c r="P207" i="17"/>
  <c r="Q207" i="17"/>
  <c r="R207" i="17"/>
  <c r="S207" i="17"/>
  <c r="T207" i="17"/>
  <c r="U207" i="17"/>
  <c r="V207" i="17"/>
  <c r="W207" i="17"/>
  <c r="X207" i="17"/>
  <c r="Y207" i="17"/>
  <c r="Z207" i="17"/>
  <c r="AA207" i="17"/>
  <c r="AB207" i="17"/>
  <c r="AC207" i="17"/>
  <c r="AD207" i="17"/>
  <c r="C208" i="17"/>
  <c r="D208" i="17"/>
  <c r="E208" i="17"/>
  <c r="F208" i="17"/>
  <c r="G208" i="17"/>
  <c r="H208" i="17"/>
  <c r="I208" i="17"/>
  <c r="J208" i="17"/>
  <c r="K208" i="17"/>
  <c r="L208" i="17"/>
  <c r="M208" i="17"/>
  <c r="N208" i="17"/>
  <c r="O208" i="17"/>
  <c r="P208" i="17"/>
  <c r="Q208" i="17"/>
  <c r="R208" i="17"/>
  <c r="S208" i="17"/>
  <c r="T208" i="17"/>
  <c r="U208" i="17"/>
  <c r="V208" i="17"/>
  <c r="W208" i="17"/>
  <c r="X208" i="17"/>
  <c r="Y208" i="17"/>
  <c r="Z208" i="17"/>
  <c r="AA208" i="17"/>
  <c r="AB208" i="17"/>
  <c r="AC208" i="17"/>
  <c r="AD208" i="17"/>
  <c r="C209" i="17"/>
  <c r="D209" i="17"/>
  <c r="E209" i="17"/>
  <c r="F209" i="17"/>
  <c r="G209" i="17"/>
  <c r="H209" i="17"/>
  <c r="I209" i="17"/>
  <c r="J209" i="17"/>
  <c r="K209" i="17"/>
  <c r="L209" i="17"/>
  <c r="M209" i="17"/>
  <c r="N209" i="17"/>
  <c r="O209" i="17"/>
  <c r="P209" i="17"/>
  <c r="Q209" i="17"/>
  <c r="R209" i="17"/>
  <c r="S209" i="17"/>
  <c r="T209" i="17"/>
  <c r="U209" i="17"/>
  <c r="V209" i="17"/>
  <c r="W209" i="17"/>
  <c r="X209" i="17"/>
  <c r="Y209" i="17"/>
  <c r="Z209" i="17"/>
  <c r="AA209" i="17"/>
  <c r="AB209" i="17"/>
  <c r="AC209" i="17"/>
  <c r="AD209" i="17"/>
  <c r="C210" i="17"/>
  <c r="D210" i="17"/>
  <c r="E210" i="17"/>
  <c r="F210" i="17"/>
  <c r="G210" i="17"/>
  <c r="H210" i="17"/>
  <c r="I210" i="17"/>
  <c r="J210" i="17"/>
  <c r="K210" i="17"/>
  <c r="L210" i="17"/>
  <c r="M210" i="17"/>
  <c r="N210" i="17"/>
  <c r="O210" i="17"/>
  <c r="P210" i="17"/>
  <c r="Q210" i="17"/>
  <c r="R210" i="17"/>
  <c r="S210" i="17"/>
  <c r="T210" i="17"/>
  <c r="U210" i="17"/>
  <c r="V210" i="17"/>
  <c r="W210" i="17"/>
  <c r="X210" i="17"/>
  <c r="Y210" i="17"/>
  <c r="Z210" i="17"/>
  <c r="AA210" i="17"/>
  <c r="AB210" i="17"/>
  <c r="AC210" i="17"/>
  <c r="AD210" i="17"/>
  <c r="C211" i="17"/>
  <c r="D211" i="17"/>
  <c r="E211" i="17"/>
  <c r="F211" i="17"/>
  <c r="G211" i="17"/>
  <c r="H211" i="17"/>
  <c r="I211" i="17"/>
  <c r="J211" i="17"/>
  <c r="K211" i="17"/>
  <c r="L211" i="17"/>
  <c r="M211" i="17"/>
  <c r="N211" i="17"/>
  <c r="O211" i="17"/>
  <c r="P211" i="17"/>
  <c r="Q211" i="17"/>
  <c r="R211" i="17"/>
  <c r="S211" i="17"/>
  <c r="T211" i="17"/>
  <c r="U211" i="17"/>
  <c r="V211" i="17"/>
  <c r="W211" i="17"/>
  <c r="X211" i="17"/>
  <c r="Y211" i="17"/>
  <c r="Z211" i="17"/>
  <c r="AA211" i="17"/>
  <c r="AB211" i="17"/>
  <c r="AC211" i="17"/>
  <c r="AD211" i="17"/>
  <c r="C212" i="17"/>
  <c r="D212" i="17"/>
  <c r="E212" i="17"/>
  <c r="F212" i="17"/>
  <c r="G212" i="17"/>
  <c r="H212" i="17"/>
  <c r="I212" i="17"/>
  <c r="J212" i="17"/>
  <c r="K212" i="17"/>
  <c r="L212" i="17"/>
  <c r="M212" i="17"/>
  <c r="N212" i="17"/>
  <c r="O212" i="17"/>
  <c r="P212" i="17"/>
  <c r="Q212" i="17"/>
  <c r="R212" i="17"/>
  <c r="S212" i="17"/>
  <c r="T212" i="17"/>
  <c r="U212" i="17"/>
  <c r="V212" i="17"/>
  <c r="W212" i="17"/>
  <c r="X212" i="17"/>
  <c r="Y212" i="17"/>
  <c r="Z212" i="17"/>
  <c r="AA212" i="17"/>
  <c r="AB212" i="17"/>
  <c r="AC212" i="17"/>
  <c r="AD212" i="17"/>
  <c r="C213" i="17"/>
  <c r="D213" i="17"/>
  <c r="E213" i="17"/>
  <c r="F213" i="17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C214" i="17"/>
  <c r="D214" i="17"/>
  <c r="E214" i="17"/>
  <c r="F214" i="17"/>
  <c r="G214" i="17"/>
  <c r="H214" i="17"/>
  <c r="I214" i="17"/>
  <c r="J214" i="17"/>
  <c r="K214" i="17"/>
  <c r="L214" i="17"/>
  <c r="M214" i="17"/>
  <c r="N214" i="17"/>
  <c r="O214" i="17"/>
  <c r="P214" i="17"/>
  <c r="Q214" i="17"/>
  <c r="R214" i="17"/>
  <c r="S214" i="17"/>
  <c r="T214" i="17"/>
  <c r="U214" i="17"/>
  <c r="V214" i="17"/>
  <c r="W214" i="17"/>
  <c r="X214" i="17"/>
  <c r="Y214" i="17"/>
  <c r="Z214" i="17"/>
  <c r="AA214" i="17"/>
  <c r="AB214" i="17"/>
  <c r="AC214" i="17"/>
  <c r="AD214" i="17"/>
  <c r="C215" i="17"/>
  <c r="D215" i="17"/>
  <c r="E215" i="17"/>
  <c r="F215" i="17"/>
  <c r="G215" i="17"/>
  <c r="H215" i="17"/>
  <c r="I215" i="17"/>
  <c r="J215" i="17"/>
  <c r="K215" i="17"/>
  <c r="L215" i="17"/>
  <c r="M215" i="17"/>
  <c r="N215" i="17"/>
  <c r="O215" i="17"/>
  <c r="P215" i="17"/>
  <c r="Q215" i="17"/>
  <c r="R215" i="17"/>
  <c r="S215" i="17"/>
  <c r="T215" i="17"/>
  <c r="U215" i="17"/>
  <c r="V215" i="17"/>
  <c r="W215" i="17"/>
  <c r="X215" i="17"/>
  <c r="Y215" i="17"/>
  <c r="Z215" i="17"/>
  <c r="AA215" i="17"/>
  <c r="AB215" i="17"/>
  <c r="AC215" i="17"/>
  <c r="AD215" i="17"/>
  <c r="C216" i="17"/>
  <c r="D216" i="17"/>
  <c r="E216" i="17"/>
  <c r="F216" i="17"/>
  <c r="G216" i="17"/>
  <c r="H216" i="17"/>
  <c r="I216" i="17"/>
  <c r="J216" i="17"/>
  <c r="K216" i="17"/>
  <c r="L216" i="17"/>
  <c r="M216" i="17"/>
  <c r="N216" i="17"/>
  <c r="O216" i="17"/>
  <c r="P216" i="17"/>
  <c r="Q216" i="17"/>
  <c r="R216" i="17"/>
  <c r="S216" i="17"/>
  <c r="T216" i="17"/>
  <c r="U216" i="17"/>
  <c r="V216" i="17"/>
  <c r="W216" i="17"/>
  <c r="X216" i="17"/>
  <c r="Y216" i="17"/>
  <c r="Z216" i="17"/>
  <c r="AA216" i="17"/>
  <c r="AB216" i="17"/>
  <c r="AC216" i="17"/>
  <c r="AD216" i="17"/>
  <c r="C217" i="17"/>
  <c r="D217" i="17"/>
  <c r="E217" i="17"/>
  <c r="F217" i="17"/>
  <c r="G217" i="17"/>
  <c r="H217" i="17"/>
  <c r="I217" i="17"/>
  <c r="J217" i="17"/>
  <c r="K217" i="17"/>
  <c r="L217" i="17"/>
  <c r="M217" i="17"/>
  <c r="N217" i="17"/>
  <c r="O217" i="17"/>
  <c r="P217" i="17"/>
  <c r="Q217" i="17"/>
  <c r="R217" i="17"/>
  <c r="S217" i="17"/>
  <c r="T217" i="17"/>
  <c r="U217" i="17"/>
  <c r="V217" i="17"/>
  <c r="W217" i="17"/>
  <c r="X217" i="17"/>
  <c r="Y217" i="17"/>
  <c r="Z217" i="17"/>
  <c r="AA217" i="17"/>
  <c r="AB217" i="17"/>
  <c r="AC217" i="17"/>
  <c r="AD217" i="17"/>
  <c r="C218" i="17"/>
  <c r="D218" i="17"/>
  <c r="E218" i="17"/>
  <c r="F218" i="17"/>
  <c r="G218" i="17"/>
  <c r="H218" i="17"/>
  <c r="I218" i="17"/>
  <c r="J218" i="17"/>
  <c r="K218" i="17"/>
  <c r="L218" i="17"/>
  <c r="M218" i="17"/>
  <c r="N218" i="17"/>
  <c r="O218" i="17"/>
  <c r="P218" i="17"/>
  <c r="Q218" i="17"/>
  <c r="R218" i="17"/>
  <c r="S218" i="17"/>
  <c r="T218" i="17"/>
  <c r="U218" i="17"/>
  <c r="V218" i="17"/>
  <c r="W218" i="17"/>
  <c r="X218" i="17"/>
  <c r="Y218" i="17"/>
  <c r="Z218" i="17"/>
  <c r="AA218" i="17"/>
  <c r="AB218" i="17"/>
  <c r="AC218" i="17"/>
  <c r="AD218" i="17"/>
  <c r="C219" i="17"/>
  <c r="D219" i="17"/>
  <c r="E219" i="17"/>
  <c r="F219" i="17"/>
  <c r="G219" i="17"/>
  <c r="H219" i="17"/>
  <c r="I219" i="17"/>
  <c r="J219" i="17"/>
  <c r="K219" i="17"/>
  <c r="L219" i="17"/>
  <c r="M219" i="17"/>
  <c r="N219" i="17"/>
  <c r="O219" i="17"/>
  <c r="P219" i="17"/>
  <c r="Q219" i="17"/>
  <c r="R219" i="17"/>
  <c r="S219" i="17"/>
  <c r="T219" i="17"/>
  <c r="U219" i="17"/>
  <c r="V219" i="17"/>
  <c r="W219" i="17"/>
  <c r="X219" i="17"/>
  <c r="Y219" i="17"/>
  <c r="Z219" i="17"/>
  <c r="AA219" i="17"/>
  <c r="AB219" i="17"/>
  <c r="AC219" i="17"/>
  <c r="AD219" i="17"/>
  <c r="C220" i="17"/>
  <c r="D220" i="17"/>
  <c r="E220" i="17"/>
  <c r="F220" i="17"/>
  <c r="G220" i="17"/>
  <c r="H220" i="17"/>
  <c r="I220" i="17"/>
  <c r="J220" i="17"/>
  <c r="K220" i="17"/>
  <c r="L220" i="17"/>
  <c r="M220" i="17"/>
  <c r="N220" i="17"/>
  <c r="O220" i="17"/>
  <c r="P220" i="17"/>
  <c r="Q220" i="17"/>
  <c r="R220" i="17"/>
  <c r="S220" i="17"/>
  <c r="T220" i="17"/>
  <c r="U220" i="17"/>
  <c r="V220" i="17"/>
  <c r="W220" i="17"/>
  <c r="X220" i="17"/>
  <c r="Y220" i="17"/>
  <c r="Z220" i="17"/>
  <c r="AA220" i="17"/>
  <c r="AB220" i="17"/>
  <c r="AC220" i="17"/>
  <c r="AD220" i="17"/>
  <c r="C221" i="17"/>
  <c r="D221" i="17"/>
  <c r="E221" i="17"/>
  <c r="F221" i="17"/>
  <c r="G221" i="17"/>
  <c r="H221" i="17"/>
  <c r="I221" i="17"/>
  <c r="J221" i="17"/>
  <c r="K221" i="17"/>
  <c r="L221" i="17"/>
  <c r="M221" i="17"/>
  <c r="N221" i="17"/>
  <c r="O221" i="17"/>
  <c r="P221" i="17"/>
  <c r="Q221" i="17"/>
  <c r="R221" i="17"/>
  <c r="S221" i="17"/>
  <c r="T221" i="17"/>
  <c r="U221" i="17"/>
  <c r="V221" i="17"/>
  <c r="W221" i="17"/>
  <c r="X221" i="17"/>
  <c r="Y221" i="17"/>
  <c r="Z221" i="17"/>
  <c r="AA221" i="17"/>
  <c r="AB221" i="17"/>
  <c r="AC221" i="17"/>
  <c r="AD221" i="17"/>
  <c r="C222" i="17"/>
  <c r="D222" i="17"/>
  <c r="E222" i="17"/>
  <c r="F222" i="17"/>
  <c r="G222" i="17"/>
  <c r="H222" i="17"/>
  <c r="I222" i="17"/>
  <c r="J222" i="17"/>
  <c r="K222" i="17"/>
  <c r="L222" i="17"/>
  <c r="M222" i="17"/>
  <c r="N222" i="17"/>
  <c r="O222" i="17"/>
  <c r="P222" i="17"/>
  <c r="Q222" i="17"/>
  <c r="R222" i="17"/>
  <c r="S222" i="17"/>
  <c r="T222" i="17"/>
  <c r="U222" i="17"/>
  <c r="V222" i="17"/>
  <c r="W222" i="17"/>
  <c r="X222" i="17"/>
  <c r="Y222" i="17"/>
  <c r="Z222" i="17"/>
  <c r="AA222" i="17"/>
  <c r="AB222" i="17"/>
  <c r="AC222" i="17"/>
  <c r="AD222" i="17"/>
  <c r="C223" i="17"/>
  <c r="D223" i="17"/>
  <c r="E223" i="17"/>
  <c r="F223" i="17"/>
  <c r="G223" i="17"/>
  <c r="H223" i="17"/>
  <c r="I223" i="17"/>
  <c r="J223" i="17"/>
  <c r="K223" i="17"/>
  <c r="L223" i="17"/>
  <c r="M223" i="17"/>
  <c r="N223" i="17"/>
  <c r="O223" i="17"/>
  <c r="P223" i="17"/>
  <c r="Q223" i="17"/>
  <c r="R223" i="17"/>
  <c r="S223" i="17"/>
  <c r="T223" i="17"/>
  <c r="U223" i="17"/>
  <c r="V223" i="17"/>
  <c r="W223" i="17"/>
  <c r="X223" i="17"/>
  <c r="Y223" i="17"/>
  <c r="Z223" i="17"/>
  <c r="AA223" i="17"/>
  <c r="AB223" i="17"/>
  <c r="AC223" i="17"/>
  <c r="AD223" i="17"/>
  <c r="C224" i="17"/>
  <c r="D224" i="17"/>
  <c r="E224" i="17"/>
  <c r="F224" i="17"/>
  <c r="G224" i="17"/>
  <c r="H224" i="17"/>
  <c r="I224" i="17"/>
  <c r="J224" i="17"/>
  <c r="K224" i="17"/>
  <c r="L224" i="17"/>
  <c r="M224" i="17"/>
  <c r="N224" i="17"/>
  <c r="O224" i="17"/>
  <c r="P224" i="17"/>
  <c r="Q224" i="17"/>
  <c r="R224" i="17"/>
  <c r="S224" i="17"/>
  <c r="T224" i="17"/>
  <c r="U224" i="17"/>
  <c r="V224" i="17"/>
  <c r="W224" i="17"/>
  <c r="X224" i="17"/>
  <c r="Y224" i="17"/>
  <c r="Z224" i="17"/>
  <c r="AA224" i="17"/>
  <c r="AB224" i="17"/>
  <c r="AC224" i="17"/>
  <c r="AD224" i="17"/>
  <c r="C225" i="17"/>
  <c r="D225" i="17"/>
  <c r="E225" i="17"/>
  <c r="F225" i="17"/>
  <c r="G225" i="17"/>
  <c r="H225" i="17"/>
  <c r="I225" i="17"/>
  <c r="J225" i="17"/>
  <c r="K225" i="17"/>
  <c r="L225" i="17"/>
  <c r="M225" i="17"/>
  <c r="N225" i="17"/>
  <c r="O225" i="17"/>
  <c r="P225" i="17"/>
  <c r="Q225" i="17"/>
  <c r="R225" i="17"/>
  <c r="S225" i="17"/>
  <c r="T225" i="17"/>
  <c r="U225" i="17"/>
  <c r="V225" i="17"/>
  <c r="W225" i="17"/>
  <c r="X225" i="17"/>
  <c r="Y225" i="17"/>
  <c r="Z225" i="17"/>
  <c r="AA225" i="17"/>
  <c r="AB225" i="17"/>
  <c r="AC225" i="17"/>
  <c r="AD225" i="17"/>
  <c r="C226" i="17"/>
  <c r="D226" i="17"/>
  <c r="E226" i="17"/>
  <c r="F226" i="17"/>
  <c r="G226" i="17"/>
  <c r="H226" i="17"/>
  <c r="I226" i="17"/>
  <c r="J226" i="17"/>
  <c r="K226" i="17"/>
  <c r="L226" i="17"/>
  <c r="M226" i="17"/>
  <c r="N226" i="17"/>
  <c r="O226" i="17"/>
  <c r="P226" i="17"/>
  <c r="Q226" i="17"/>
  <c r="R226" i="17"/>
  <c r="S226" i="17"/>
  <c r="T226" i="17"/>
  <c r="U226" i="17"/>
  <c r="V226" i="17"/>
  <c r="W226" i="17"/>
  <c r="X226" i="17"/>
  <c r="Y226" i="17"/>
  <c r="Z226" i="17"/>
  <c r="AA226" i="17"/>
  <c r="AB226" i="17"/>
  <c r="AC226" i="17"/>
  <c r="AD226" i="17"/>
  <c r="C227" i="17"/>
  <c r="D227" i="17"/>
  <c r="E227" i="17"/>
  <c r="F227" i="17"/>
  <c r="G227" i="17"/>
  <c r="H227" i="17"/>
  <c r="I227" i="17"/>
  <c r="J227" i="17"/>
  <c r="K227" i="17"/>
  <c r="L227" i="17"/>
  <c r="M227" i="17"/>
  <c r="N227" i="17"/>
  <c r="O227" i="17"/>
  <c r="P227" i="17"/>
  <c r="Q227" i="17"/>
  <c r="R227" i="17"/>
  <c r="S227" i="17"/>
  <c r="T227" i="17"/>
  <c r="U227" i="17"/>
  <c r="V227" i="17"/>
  <c r="W227" i="17"/>
  <c r="X227" i="17"/>
  <c r="Y227" i="17"/>
  <c r="Z227" i="17"/>
  <c r="AA227" i="17"/>
  <c r="AB227" i="17"/>
  <c r="AC227" i="17"/>
  <c r="AD227" i="17"/>
  <c r="C228" i="17"/>
  <c r="D228" i="17"/>
  <c r="E228" i="17"/>
  <c r="F228" i="17"/>
  <c r="G228" i="17"/>
  <c r="H228" i="17"/>
  <c r="I228" i="17"/>
  <c r="J228" i="17"/>
  <c r="K228" i="17"/>
  <c r="L228" i="17"/>
  <c r="M228" i="17"/>
  <c r="N228" i="17"/>
  <c r="O228" i="17"/>
  <c r="P228" i="17"/>
  <c r="Q228" i="17"/>
  <c r="R228" i="17"/>
  <c r="S228" i="17"/>
  <c r="T228" i="17"/>
  <c r="U228" i="17"/>
  <c r="V228" i="17"/>
  <c r="W228" i="17"/>
  <c r="X228" i="17"/>
  <c r="Y228" i="17"/>
  <c r="Z228" i="17"/>
  <c r="AA228" i="17"/>
  <c r="AB228" i="17"/>
  <c r="AC228" i="17"/>
  <c r="AD228" i="17"/>
  <c r="C229" i="17"/>
  <c r="D229" i="17"/>
  <c r="E229" i="17"/>
  <c r="F229" i="17"/>
  <c r="G229" i="17"/>
  <c r="H229" i="17"/>
  <c r="I229" i="17"/>
  <c r="J229" i="17"/>
  <c r="K229" i="17"/>
  <c r="L229" i="17"/>
  <c r="M229" i="17"/>
  <c r="N229" i="17"/>
  <c r="O229" i="17"/>
  <c r="P229" i="17"/>
  <c r="Q229" i="17"/>
  <c r="R229" i="17"/>
  <c r="S229" i="17"/>
  <c r="T229" i="17"/>
  <c r="U229" i="17"/>
  <c r="V229" i="17"/>
  <c r="W229" i="17"/>
  <c r="X229" i="17"/>
  <c r="Y229" i="17"/>
  <c r="Z229" i="17"/>
  <c r="AA229" i="17"/>
  <c r="AB229" i="17"/>
  <c r="AC229" i="17"/>
  <c r="AD229" i="17"/>
  <c r="C230" i="17"/>
  <c r="D230" i="17"/>
  <c r="E230" i="17"/>
  <c r="F230" i="17"/>
  <c r="G230" i="17"/>
  <c r="H230" i="17"/>
  <c r="I230" i="17"/>
  <c r="J230" i="17"/>
  <c r="K230" i="17"/>
  <c r="L230" i="17"/>
  <c r="M230" i="17"/>
  <c r="N230" i="17"/>
  <c r="O230" i="17"/>
  <c r="P230" i="17"/>
  <c r="Q230" i="17"/>
  <c r="R230" i="17"/>
  <c r="S230" i="17"/>
  <c r="T230" i="17"/>
  <c r="U230" i="17"/>
  <c r="V230" i="17"/>
  <c r="W230" i="17"/>
  <c r="X230" i="17"/>
  <c r="Y230" i="17"/>
  <c r="Z230" i="17"/>
  <c r="AA230" i="17"/>
  <c r="AB230" i="17"/>
  <c r="AC230" i="17"/>
  <c r="AD230" i="17"/>
  <c r="C231" i="17"/>
  <c r="D231" i="17"/>
  <c r="E231" i="17"/>
  <c r="F231" i="17"/>
  <c r="G231" i="17"/>
  <c r="H231" i="17"/>
  <c r="I231" i="17"/>
  <c r="J231" i="17"/>
  <c r="K231" i="17"/>
  <c r="L231" i="17"/>
  <c r="M231" i="17"/>
  <c r="N231" i="17"/>
  <c r="O231" i="17"/>
  <c r="P231" i="17"/>
  <c r="Q231" i="17"/>
  <c r="R231" i="17"/>
  <c r="S231" i="17"/>
  <c r="T231" i="17"/>
  <c r="U231" i="17"/>
  <c r="V231" i="17"/>
  <c r="W231" i="17"/>
  <c r="X231" i="17"/>
  <c r="Y231" i="17"/>
  <c r="Z231" i="17"/>
  <c r="AA231" i="17"/>
  <c r="AB231" i="17"/>
  <c r="AC231" i="17"/>
  <c r="AD231" i="17"/>
  <c r="C232" i="17"/>
  <c r="D232" i="17"/>
  <c r="E232" i="17"/>
  <c r="F232" i="17"/>
  <c r="G232" i="17"/>
  <c r="H232" i="17"/>
  <c r="I232" i="17"/>
  <c r="J232" i="17"/>
  <c r="K232" i="17"/>
  <c r="L232" i="17"/>
  <c r="M232" i="17"/>
  <c r="N232" i="17"/>
  <c r="O232" i="17"/>
  <c r="P232" i="17"/>
  <c r="Q232" i="17"/>
  <c r="R232" i="17"/>
  <c r="S232" i="17"/>
  <c r="T232" i="17"/>
  <c r="U232" i="17"/>
  <c r="V232" i="17"/>
  <c r="W232" i="17"/>
  <c r="X232" i="17"/>
  <c r="Y232" i="17"/>
  <c r="Z232" i="17"/>
  <c r="AA232" i="17"/>
  <c r="AB232" i="17"/>
  <c r="AC232" i="17"/>
  <c r="AD232" i="17"/>
  <c r="C233" i="17"/>
  <c r="D233" i="17"/>
  <c r="E233" i="17"/>
  <c r="F233" i="17"/>
  <c r="G233" i="17"/>
  <c r="H233" i="17"/>
  <c r="I233" i="17"/>
  <c r="J233" i="17"/>
  <c r="K233" i="17"/>
  <c r="L233" i="17"/>
  <c r="M233" i="17"/>
  <c r="N233" i="17"/>
  <c r="O233" i="17"/>
  <c r="P233" i="17"/>
  <c r="Q233" i="17"/>
  <c r="R233" i="17"/>
  <c r="S233" i="17"/>
  <c r="T233" i="17"/>
  <c r="U233" i="17"/>
  <c r="V233" i="17"/>
  <c r="W233" i="17"/>
  <c r="X233" i="17"/>
  <c r="Y233" i="17"/>
  <c r="Z233" i="17"/>
  <c r="AA233" i="17"/>
  <c r="AB233" i="17"/>
  <c r="AC233" i="17"/>
  <c r="AD233" i="17"/>
  <c r="C234" i="17"/>
  <c r="D234" i="17"/>
  <c r="E234" i="17"/>
  <c r="F234" i="17"/>
  <c r="G234" i="17"/>
  <c r="H234" i="17"/>
  <c r="I234" i="17"/>
  <c r="J234" i="17"/>
  <c r="K234" i="17"/>
  <c r="L234" i="17"/>
  <c r="M234" i="17"/>
  <c r="N234" i="17"/>
  <c r="O234" i="17"/>
  <c r="P234" i="17"/>
  <c r="Q234" i="17"/>
  <c r="R234" i="17"/>
  <c r="S234" i="17"/>
  <c r="T234" i="17"/>
  <c r="U234" i="17"/>
  <c r="V234" i="17"/>
  <c r="W234" i="17"/>
  <c r="X234" i="17"/>
  <c r="Y234" i="17"/>
  <c r="Z234" i="17"/>
  <c r="AA234" i="17"/>
  <c r="AB234" i="17"/>
  <c r="AC234" i="17"/>
  <c r="AD234" i="17"/>
  <c r="C235" i="17"/>
  <c r="D235" i="17"/>
  <c r="E235" i="17"/>
  <c r="F235" i="17"/>
  <c r="G235" i="17"/>
  <c r="H235" i="17"/>
  <c r="I235" i="17"/>
  <c r="J235" i="17"/>
  <c r="K235" i="17"/>
  <c r="L235" i="17"/>
  <c r="M235" i="17"/>
  <c r="N235" i="17"/>
  <c r="O235" i="17"/>
  <c r="P235" i="17"/>
  <c r="Q235" i="17"/>
  <c r="R235" i="17"/>
  <c r="S235" i="17"/>
  <c r="T235" i="17"/>
  <c r="U235" i="17"/>
  <c r="V235" i="17"/>
  <c r="W235" i="17"/>
  <c r="X235" i="17"/>
  <c r="Y235" i="17"/>
  <c r="Z235" i="17"/>
  <c r="AA235" i="17"/>
  <c r="AB235" i="17"/>
  <c r="AC235" i="17"/>
  <c r="AD235" i="17"/>
  <c r="C236" i="17"/>
  <c r="D236" i="17"/>
  <c r="E236" i="17"/>
  <c r="F236" i="17"/>
  <c r="G236" i="17"/>
  <c r="H236" i="17"/>
  <c r="I236" i="17"/>
  <c r="J236" i="17"/>
  <c r="K236" i="17"/>
  <c r="L236" i="17"/>
  <c r="M236" i="17"/>
  <c r="N236" i="17"/>
  <c r="O236" i="17"/>
  <c r="P236" i="17"/>
  <c r="Q236" i="17"/>
  <c r="R236" i="17"/>
  <c r="S236" i="17"/>
  <c r="T236" i="17"/>
  <c r="U236" i="17"/>
  <c r="V236" i="17"/>
  <c r="W236" i="17"/>
  <c r="X236" i="17"/>
  <c r="Y236" i="17"/>
  <c r="Z236" i="17"/>
  <c r="AA236" i="17"/>
  <c r="AB236" i="17"/>
  <c r="AC236" i="17"/>
  <c r="AD236" i="17"/>
  <c r="C237" i="17"/>
  <c r="D237" i="17"/>
  <c r="E237" i="17"/>
  <c r="F237" i="17"/>
  <c r="G237" i="17"/>
  <c r="H237" i="17"/>
  <c r="I237" i="17"/>
  <c r="J237" i="17"/>
  <c r="K237" i="17"/>
  <c r="L237" i="17"/>
  <c r="M237" i="17"/>
  <c r="N237" i="17"/>
  <c r="O237" i="17"/>
  <c r="P237" i="17"/>
  <c r="Q237" i="17"/>
  <c r="R237" i="17"/>
  <c r="S237" i="17"/>
  <c r="T237" i="17"/>
  <c r="U237" i="17"/>
  <c r="V237" i="17"/>
  <c r="W237" i="17"/>
  <c r="X237" i="17"/>
  <c r="Y237" i="17"/>
  <c r="Z237" i="17"/>
  <c r="AA237" i="17"/>
  <c r="AB237" i="17"/>
  <c r="AC237" i="17"/>
  <c r="AD237" i="17"/>
  <c r="C238" i="17"/>
  <c r="D238" i="17"/>
  <c r="E238" i="17"/>
  <c r="F238" i="17"/>
  <c r="G238" i="17"/>
  <c r="H238" i="17"/>
  <c r="I238" i="17"/>
  <c r="J238" i="17"/>
  <c r="K238" i="17"/>
  <c r="L238" i="17"/>
  <c r="M238" i="17"/>
  <c r="N238" i="17"/>
  <c r="O238" i="17"/>
  <c r="P238" i="17"/>
  <c r="Q238" i="17"/>
  <c r="R238" i="17"/>
  <c r="S238" i="17"/>
  <c r="T238" i="17"/>
  <c r="U238" i="17"/>
  <c r="V238" i="17"/>
  <c r="W238" i="17"/>
  <c r="X238" i="17"/>
  <c r="Y238" i="17"/>
  <c r="Z238" i="17"/>
  <c r="AA238" i="17"/>
  <c r="AB238" i="17"/>
  <c r="AC238" i="17"/>
  <c r="AD238" i="17"/>
  <c r="C239" i="17"/>
  <c r="D239" i="17"/>
  <c r="E239" i="17"/>
  <c r="F239" i="17"/>
  <c r="G239" i="17"/>
  <c r="H239" i="17"/>
  <c r="I239" i="17"/>
  <c r="J239" i="17"/>
  <c r="K239" i="17"/>
  <c r="L239" i="17"/>
  <c r="M239" i="17"/>
  <c r="N239" i="17"/>
  <c r="O239" i="17"/>
  <c r="P239" i="17"/>
  <c r="Q239" i="17"/>
  <c r="R239" i="17"/>
  <c r="S239" i="17"/>
  <c r="T239" i="17"/>
  <c r="U239" i="17"/>
  <c r="V239" i="17"/>
  <c r="W239" i="17"/>
  <c r="X239" i="17"/>
  <c r="Y239" i="17"/>
  <c r="Z239" i="17"/>
  <c r="AA239" i="17"/>
  <c r="AB239" i="17"/>
  <c r="AC239" i="17"/>
  <c r="AD239" i="17"/>
  <c r="C240" i="17"/>
  <c r="D240" i="17"/>
  <c r="E240" i="17"/>
  <c r="F240" i="17"/>
  <c r="G240" i="17"/>
  <c r="H240" i="17"/>
  <c r="I240" i="17"/>
  <c r="J240" i="17"/>
  <c r="K240" i="17"/>
  <c r="L240" i="17"/>
  <c r="M240" i="17"/>
  <c r="N240" i="17"/>
  <c r="O240" i="17"/>
  <c r="P240" i="17"/>
  <c r="Q240" i="17"/>
  <c r="R240" i="17"/>
  <c r="S240" i="17"/>
  <c r="T240" i="17"/>
  <c r="U240" i="17"/>
  <c r="V240" i="17"/>
  <c r="W240" i="17"/>
  <c r="X240" i="17"/>
  <c r="Y240" i="17"/>
  <c r="Z240" i="17"/>
  <c r="AA240" i="17"/>
  <c r="AB240" i="17"/>
  <c r="AC240" i="17"/>
  <c r="AD240" i="17"/>
  <c r="C241" i="17"/>
  <c r="D241" i="17"/>
  <c r="E241" i="17"/>
  <c r="F241" i="17"/>
  <c r="G241" i="17"/>
  <c r="H241" i="17"/>
  <c r="I241" i="17"/>
  <c r="J241" i="17"/>
  <c r="K241" i="17"/>
  <c r="L241" i="17"/>
  <c r="M241" i="17"/>
  <c r="N241" i="17"/>
  <c r="O241" i="17"/>
  <c r="P241" i="17"/>
  <c r="Q241" i="17"/>
  <c r="R241" i="17"/>
  <c r="S241" i="17"/>
  <c r="T241" i="17"/>
  <c r="U241" i="17"/>
  <c r="V241" i="17"/>
  <c r="W241" i="17"/>
  <c r="X241" i="17"/>
  <c r="Y241" i="17"/>
  <c r="Z241" i="17"/>
  <c r="AA241" i="17"/>
  <c r="AB241" i="17"/>
  <c r="AC241" i="17"/>
  <c r="AD241" i="17"/>
  <c r="C242" i="17"/>
  <c r="D242" i="17"/>
  <c r="E242" i="17"/>
  <c r="F242" i="17"/>
  <c r="G242" i="17"/>
  <c r="H242" i="17"/>
  <c r="I242" i="17"/>
  <c r="J242" i="17"/>
  <c r="K242" i="17"/>
  <c r="L242" i="17"/>
  <c r="M242" i="17"/>
  <c r="N242" i="17"/>
  <c r="O242" i="17"/>
  <c r="P242" i="17"/>
  <c r="Q242" i="17"/>
  <c r="R242" i="17"/>
  <c r="S242" i="17"/>
  <c r="T242" i="17"/>
  <c r="U242" i="17"/>
  <c r="V242" i="17"/>
  <c r="W242" i="17"/>
  <c r="X242" i="17"/>
  <c r="Y242" i="17"/>
  <c r="Z242" i="17"/>
  <c r="AA242" i="17"/>
  <c r="AB242" i="17"/>
  <c r="AC242" i="17"/>
  <c r="AD242" i="17"/>
  <c r="C243" i="17"/>
  <c r="D243" i="17"/>
  <c r="E243" i="17"/>
  <c r="F243" i="17"/>
  <c r="G243" i="17"/>
  <c r="H243" i="17"/>
  <c r="I243" i="17"/>
  <c r="J243" i="17"/>
  <c r="K243" i="17"/>
  <c r="L243" i="17"/>
  <c r="M243" i="17"/>
  <c r="N243" i="17"/>
  <c r="O243" i="17"/>
  <c r="P243" i="17"/>
  <c r="Q243" i="17"/>
  <c r="R243" i="17"/>
  <c r="S243" i="17"/>
  <c r="T243" i="17"/>
  <c r="U243" i="17"/>
  <c r="V243" i="17"/>
  <c r="W243" i="17"/>
  <c r="X243" i="17"/>
  <c r="Y243" i="17"/>
  <c r="Z243" i="17"/>
  <c r="AA243" i="17"/>
  <c r="AB243" i="17"/>
  <c r="AC243" i="17"/>
  <c r="AD243" i="17"/>
  <c r="C244" i="17"/>
  <c r="D244" i="17"/>
  <c r="E244" i="17"/>
  <c r="F244" i="17"/>
  <c r="G244" i="17"/>
  <c r="H244" i="17"/>
  <c r="I244" i="17"/>
  <c r="J244" i="17"/>
  <c r="K244" i="17"/>
  <c r="L244" i="17"/>
  <c r="M244" i="17"/>
  <c r="N244" i="17"/>
  <c r="O244" i="17"/>
  <c r="P244" i="17"/>
  <c r="Q244" i="17"/>
  <c r="R244" i="17"/>
  <c r="S244" i="17"/>
  <c r="T244" i="17"/>
  <c r="U244" i="17"/>
  <c r="V244" i="17"/>
  <c r="W244" i="17"/>
  <c r="X244" i="17"/>
  <c r="Y244" i="17"/>
  <c r="Z244" i="17"/>
  <c r="AA244" i="17"/>
  <c r="AB244" i="17"/>
  <c r="AC244" i="17"/>
  <c r="AD244" i="17"/>
  <c r="C245" i="17"/>
  <c r="D245" i="17"/>
  <c r="E245" i="17"/>
  <c r="F245" i="17"/>
  <c r="G245" i="17"/>
  <c r="H245" i="17"/>
  <c r="I245" i="17"/>
  <c r="J245" i="17"/>
  <c r="K245" i="17"/>
  <c r="L245" i="17"/>
  <c r="M245" i="17"/>
  <c r="N245" i="17"/>
  <c r="O245" i="17"/>
  <c r="P245" i="17"/>
  <c r="Q245" i="17"/>
  <c r="R245" i="17"/>
  <c r="S245" i="17"/>
  <c r="T245" i="17"/>
  <c r="U245" i="17"/>
  <c r="V245" i="17"/>
  <c r="W245" i="17"/>
  <c r="X245" i="17"/>
  <c r="Y245" i="17"/>
  <c r="Z245" i="17"/>
  <c r="AA245" i="17"/>
  <c r="AB245" i="17"/>
  <c r="AC245" i="17"/>
  <c r="AD245" i="17"/>
  <c r="C246" i="17"/>
  <c r="D246" i="17"/>
  <c r="E246" i="17"/>
  <c r="F246" i="17"/>
  <c r="G246" i="17"/>
  <c r="H246" i="17"/>
  <c r="I246" i="17"/>
  <c r="J246" i="17"/>
  <c r="K246" i="17"/>
  <c r="L246" i="17"/>
  <c r="M246" i="17"/>
  <c r="N246" i="17"/>
  <c r="O246" i="17"/>
  <c r="P246" i="17"/>
  <c r="Q246" i="17"/>
  <c r="R246" i="17"/>
  <c r="S246" i="17"/>
  <c r="T246" i="17"/>
  <c r="U246" i="17"/>
  <c r="V246" i="17"/>
  <c r="W246" i="17"/>
  <c r="X246" i="17"/>
  <c r="Y246" i="17"/>
  <c r="Z246" i="17"/>
  <c r="AA246" i="17"/>
  <c r="AB246" i="17"/>
  <c r="AC246" i="17"/>
  <c r="AD246" i="17"/>
  <c r="C247" i="17"/>
  <c r="D247" i="17"/>
  <c r="E247" i="17"/>
  <c r="F247" i="17"/>
  <c r="G247" i="17"/>
  <c r="H247" i="17"/>
  <c r="I247" i="17"/>
  <c r="J247" i="17"/>
  <c r="K247" i="17"/>
  <c r="L247" i="17"/>
  <c r="M247" i="17"/>
  <c r="N247" i="17"/>
  <c r="O247" i="17"/>
  <c r="P247" i="17"/>
  <c r="Q247" i="17"/>
  <c r="R247" i="17"/>
  <c r="S247" i="17"/>
  <c r="T247" i="17"/>
  <c r="U247" i="17"/>
  <c r="V247" i="17"/>
  <c r="W247" i="17"/>
  <c r="X247" i="17"/>
  <c r="Y247" i="17"/>
  <c r="Z247" i="17"/>
  <c r="AA247" i="17"/>
  <c r="AB247" i="17"/>
  <c r="AC247" i="17"/>
  <c r="AD247" i="17"/>
  <c r="C248" i="17"/>
  <c r="D248" i="17"/>
  <c r="E248" i="17"/>
  <c r="F248" i="17"/>
  <c r="G248" i="17"/>
  <c r="H248" i="17"/>
  <c r="I248" i="17"/>
  <c r="J248" i="17"/>
  <c r="K248" i="17"/>
  <c r="L248" i="17"/>
  <c r="M248" i="17"/>
  <c r="N248" i="17"/>
  <c r="O248" i="17"/>
  <c r="P248" i="17"/>
  <c r="Q248" i="17"/>
  <c r="R248" i="17"/>
  <c r="S248" i="17"/>
  <c r="T248" i="17"/>
  <c r="U248" i="17"/>
  <c r="V248" i="17"/>
  <c r="W248" i="17"/>
  <c r="X248" i="17"/>
  <c r="Y248" i="17"/>
  <c r="Z248" i="17"/>
  <c r="AA248" i="17"/>
  <c r="AB248" i="17"/>
  <c r="AC248" i="17"/>
  <c r="AD248" i="17"/>
  <c r="C249" i="17"/>
  <c r="D249" i="17"/>
  <c r="E249" i="17"/>
  <c r="F249" i="17"/>
  <c r="G249" i="17"/>
  <c r="H249" i="17"/>
  <c r="I249" i="17"/>
  <c r="J249" i="17"/>
  <c r="K249" i="17"/>
  <c r="L249" i="17"/>
  <c r="M249" i="17"/>
  <c r="N249" i="17"/>
  <c r="O249" i="17"/>
  <c r="P249" i="17"/>
  <c r="Q249" i="17"/>
  <c r="R249" i="17"/>
  <c r="S249" i="17"/>
  <c r="T249" i="17"/>
  <c r="U249" i="17"/>
  <c r="V249" i="17"/>
  <c r="W249" i="17"/>
  <c r="X249" i="17"/>
  <c r="Y249" i="17"/>
  <c r="Z249" i="17"/>
  <c r="AA249" i="17"/>
  <c r="AB249" i="17"/>
  <c r="AC249" i="17"/>
  <c r="AD249" i="17"/>
  <c r="C250" i="17"/>
  <c r="D250" i="17"/>
  <c r="E250" i="17"/>
  <c r="F250" i="17"/>
  <c r="G250" i="17"/>
  <c r="H250" i="17"/>
  <c r="I250" i="17"/>
  <c r="J250" i="17"/>
  <c r="K250" i="17"/>
  <c r="L250" i="17"/>
  <c r="M250" i="17"/>
  <c r="N250" i="17"/>
  <c r="O250" i="17"/>
  <c r="P250" i="17"/>
  <c r="Q250" i="17"/>
  <c r="R250" i="17"/>
  <c r="S250" i="17"/>
  <c r="T250" i="17"/>
  <c r="U250" i="17"/>
  <c r="V250" i="17"/>
  <c r="W250" i="17"/>
  <c r="X250" i="17"/>
  <c r="Y250" i="17"/>
  <c r="Z250" i="17"/>
  <c r="AA250" i="17"/>
  <c r="AB250" i="17"/>
  <c r="AC250" i="17"/>
  <c r="AD250" i="17"/>
  <c r="C251" i="17"/>
  <c r="D251" i="17"/>
  <c r="E251" i="17"/>
  <c r="F251" i="17"/>
  <c r="G251" i="17"/>
  <c r="H251" i="17"/>
  <c r="I251" i="17"/>
  <c r="J251" i="17"/>
  <c r="K251" i="17"/>
  <c r="L251" i="17"/>
  <c r="M251" i="17"/>
  <c r="N251" i="17"/>
  <c r="O251" i="17"/>
  <c r="P251" i="17"/>
  <c r="Q251" i="17"/>
  <c r="R251" i="17"/>
  <c r="S251" i="17"/>
  <c r="T251" i="17"/>
  <c r="U251" i="17"/>
  <c r="V251" i="17"/>
  <c r="W251" i="17"/>
  <c r="X251" i="17"/>
  <c r="Y251" i="17"/>
  <c r="Z251" i="17"/>
  <c r="AA251" i="17"/>
  <c r="AB251" i="17"/>
  <c r="AC251" i="17"/>
  <c r="AD251" i="17"/>
  <c r="C252" i="17"/>
  <c r="D252" i="17"/>
  <c r="E252" i="17"/>
  <c r="F252" i="17"/>
  <c r="G252" i="17"/>
  <c r="H252" i="17"/>
  <c r="I252" i="17"/>
  <c r="J252" i="17"/>
  <c r="K252" i="17"/>
  <c r="L252" i="17"/>
  <c r="M252" i="17"/>
  <c r="N252" i="17"/>
  <c r="O252" i="17"/>
  <c r="P252" i="17"/>
  <c r="Q252" i="17"/>
  <c r="R252" i="17"/>
  <c r="S252" i="17"/>
  <c r="T252" i="17"/>
  <c r="U252" i="17"/>
  <c r="V252" i="17"/>
  <c r="W252" i="17"/>
  <c r="X252" i="17"/>
  <c r="Y252" i="17"/>
  <c r="Z252" i="17"/>
  <c r="AA252" i="17"/>
  <c r="AB252" i="17"/>
  <c r="AC252" i="17"/>
  <c r="AD252" i="17"/>
  <c r="C253" i="17"/>
  <c r="D253" i="17"/>
  <c r="E253" i="17"/>
  <c r="F253" i="17"/>
  <c r="G253" i="17"/>
  <c r="H253" i="17"/>
  <c r="I253" i="17"/>
  <c r="J253" i="17"/>
  <c r="K253" i="17"/>
  <c r="L253" i="17"/>
  <c r="M253" i="17"/>
  <c r="N253" i="17"/>
  <c r="O253" i="17"/>
  <c r="P253" i="17"/>
  <c r="Q253" i="17"/>
  <c r="R253" i="17"/>
  <c r="S253" i="17"/>
  <c r="T253" i="17"/>
  <c r="U253" i="17"/>
  <c r="V253" i="17"/>
  <c r="W253" i="17"/>
  <c r="X253" i="17"/>
  <c r="Y253" i="17"/>
  <c r="Z253" i="17"/>
  <c r="AA253" i="17"/>
  <c r="AB253" i="17"/>
  <c r="AC253" i="17"/>
  <c r="AD253" i="17"/>
  <c r="C254" i="17"/>
  <c r="D254" i="17"/>
  <c r="E254" i="17"/>
  <c r="F254" i="17"/>
  <c r="G254" i="17"/>
  <c r="H254" i="17"/>
  <c r="I254" i="17"/>
  <c r="J254" i="17"/>
  <c r="K254" i="17"/>
  <c r="L254" i="17"/>
  <c r="M254" i="17"/>
  <c r="N254" i="17"/>
  <c r="O254" i="17"/>
  <c r="P254" i="17"/>
  <c r="Q254" i="17"/>
  <c r="R254" i="17"/>
  <c r="S254" i="17"/>
  <c r="T254" i="17"/>
  <c r="U254" i="17"/>
  <c r="V254" i="17"/>
  <c r="W254" i="17"/>
  <c r="X254" i="17"/>
  <c r="Y254" i="17"/>
  <c r="Z254" i="17"/>
  <c r="AA254" i="17"/>
  <c r="AB254" i="17"/>
  <c r="AC254" i="17"/>
  <c r="AD254" i="17"/>
  <c r="C255" i="17"/>
  <c r="D255" i="17"/>
  <c r="E255" i="17"/>
  <c r="F255" i="17"/>
  <c r="G255" i="17"/>
  <c r="H255" i="17"/>
  <c r="I255" i="17"/>
  <c r="J255" i="17"/>
  <c r="K255" i="17"/>
  <c r="L255" i="17"/>
  <c r="M255" i="17"/>
  <c r="N255" i="17"/>
  <c r="O255" i="17"/>
  <c r="P255" i="17"/>
  <c r="Q255" i="17"/>
  <c r="R255" i="17"/>
  <c r="S255" i="17"/>
  <c r="T255" i="17"/>
  <c r="U255" i="17"/>
  <c r="V255" i="17"/>
  <c r="W255" i="17"/>
  <c r="X255" i="17"/>
  <c r="Y255" i="17"/>
  <c r="Z255" i="17"/>
  <c r="AA255" i="17"/>
  <c r="AB255" i="17"/>
  <c r="AC255" i="17"/>
  <c r="AD255" i="17"/>
  <c r="C256" i="17"/>
  <c r="D256" i="17"/>
  <c r="E256" i="17"/>
  <c r="F256" i="17"/>
  <c r="G256" i="17"/>
  <c r="H256" i="17"/>
  <c r="I256" i="17"/>
  <c r="J256" i="17"/>
  <c r="K256" i="17"/>
  <c r="L256" i="17"/>
  <c r="M256" i="17"/>
  <c r="N256" i="17"/>
  <c r="O256" i="17"/>
  <c r="P256" i="17"/>
  <c r="Q256" i="17"/>
  <c r="R256" i="17"/>
  <c r="S256" i="17"/>
  <c r="T256" i="17"/>
  <c r="U256" i="17"/>
  <c r="V256" i="17"/>
  <c r="W256" i="17"/>
  <c r="X256" i="17"/>
  <c r="Y256" i="17"/>
  <c r="Z256" i="17"/>
  <c r="AA256" i="17"/>
  <c r="AB256" i="17"/>
  <c r="AC256" i="17"/>
  <c r="AD256" i="17"/>
  <c r="C257" i="17"/>
  <c r="D257" i="17"/>
  <c r="E257" i="17"/>
  <c r="F257" i="17"/>
  <c r="G257" i="17"/>
  <c r="H257" i="17"/>
  <c r="I257" i="17"/>
  <c r="J257" i="17"/>
  <c r="K257" i="17"/>
  <c r="L257" i="17"/>
  <c r="M257" i="17"/>
  <c r="N257" i="17"/>
  <c r="O257" i="17"/>
  <c r="P257" i="17"/>
  <c r="Q257" i="17"/>
  <c r="R257" i="17"/>
  <c r="S257" i="17"/>
  <c r="T257" i="17"/>
  <c r="U257" i="17"/>
  <c r="V257" i="17"/>
  <c r="W257" i="17"/>
  <c r="X257" i="17"/>
  <c r="Y257" i="17"/>
  <c r="Z257" i="17"/>
  <c r="AA257" i="17"/>
  <c r="AB257" i="17"/>
  <c r="AC257" i="17"/>
  <c r="AD257" i="17"/>
  <c r="C258" i="17"/>
  <c r="D258" i="17"/>
  <c r="E258" i="17"/>
  <c r="F258" i="17"/>
  <c r="G258" i="17"/>
  <c r="H258" i="17"/>
  <c r="I258" i="17"/>
  <c r="J258" i="17"/>
  <c r="K258" i="17"/>
  <c r="L258" i="17"/>
  <c r="M258" i="17"/>
  <c r="N258" i="17"/>
  <c r="O258" i="17"/>
  <c r="P258" i="17"/>
  <c r="Q258" i="17"/>
  <c r="R258" i="17"/>
  <c r="S258" i="17"/>
  <c r="T258" i="17"/>
  <c r="U258" i="17"/>
  <c r="V258" i="17"/>
  <c r="W258" i="17"/>
  <c r="X258" i="17"/>
  <c r="Y258" i="17"/>
  <c r="Z258" i="17"/>
  <c r="AA258" i="17"/>
  <c r="AB258" i="17"/>
  <c r="AC258" i="17"/>
  <c r="AD258" i="17"/>
  <c r="C259" i="17"/>
  <c r="D259" i="17"/>
  <c r="E259" i="17"/>
  <c r="F259" i="17"/>
  <c r="G259" i="17"/>
  <c r="H259" i="17"/>
  <c r="I259" i="17"/>
  <c r="J259" i="17"/>
  <c r="K259" i="17"/>
  <c r="L259" i="17"/>
  <c r="M259" i="17"/>
  <c r="N259" i="17"/>
  <c r="O259" i="17"/>
  <c r="P259" i="17"/>
  <c r="Q259" i="17"/>
  <c r="R259" i="17"/>
  <c r="S259" i="17"/>
  <c r="T259" i="17"/>
  <c r="U259" i="17"/>
  <c r="V259" i="17"/>
  <c r="W259" i="17"/>
  <c r="X259" i="17"/>
  <c r="Y259" i="17"/>
  <c r="Z259" i="17"/>
  <c r="AA259" i="17"/>
  <c r="AB259" i="17"/>
  <c r="AC259" i="17"/>
  <c r="AD259" i="17"/>
  <c r="C260" i="17"/>
  <c r="D260" i="17"/>
  <c r="E260" i="17"/>
  <c r="F260" i="17"/>
  <c r="G260" i="17"/>
  <c r="H260" i="17"/>
  <c r="I260" i="17"/>
  <c r="J260" i="17"/>
  <c r="K260" i="17"/>
  <c r="L260" i="17"/>
  <c r="M260" i="17"/>
  <c r="N260" i="17"/>
  <c r="O260" i="17"/>
  <c r="P260" i="17"/>
  <c r="Q260" i="17"/>
  <c r="R260" i="17"/>
  <c r="S260" i="17"/>
  <c r="T260" i="17"/>
  <c r="U260" i="17"/>
  <c r="V260" i="17"/>
  <c r="W260" i="17"/>
  <c r="X260" i="17"/>
  <c r="Y260" i="17"/>
  <c r="Z260" i="17"/>
  <c r="AA260" i="17"/>
  <c r="AB260" i="17"/>
  <c r="AC260" i="17"/>
  <c r="AD260" i="17"/>
  <c r="C261" i="17"/>
  <c r="D261" i="17"/>
  <c r="E261" i="17"/>
  <c r="F261" i="17"/>
  <c r="G261" i="17"/>
  <c r="H261" i="17"/>
  <c r="I261" i="17"/>
  <c r="J261" i="17"/>
  <c r="K261" i="17"/>
  <c r="L261" i="17"/>
  <c r="M261" i="17"/>
  <c r="N261" i="17"/>
  <c r="O261" i="17"/>
  <c r="P261" i="17"/>
  <c r="Q261" i="17"/>
  <c r="R261" i="17"/>
  <c r="S261" i="17"/>
  <c r="T261" i="17"/>
  <c r="U261" i="17"/>
  <c r="V261" i="17"/>
  <c r="W261" i="17"/>
  <c r="X261" i="17"/>
  <c r="Y261" i="17"/>
  <c r="Z261" i="17"/>
  <c r="AA261" i="17"/>
  <c r="AB261" i="17"/>
  <c r="AC261" i="17"/>
  <c r="AD261" i="17"/>
  <c r="C262" i="17"/>
  <c r="D262" i="17"/>
  <c r="E262" i="17"/>
  <c r="F262" i="17"/>
  <c r="G262" i="17"/>
  <c r="H262" i="17"/>
  <c r="I262" i="17"/>
  <c r="J262" i="17"/>
  <c r="K262" i="17"/>
  <c r="L262" i="17"/>
  <c r="M262" i="17"/>
  <c r="N262" i="17"/>
  <c r="O262" i="17"/>
  <c r="P262" i="17"/>
  <c r="Q262" i="17"/>
  <c r="R262" i="17"/>
  <c r="S262" i="17"/>
  <c r="T262" i="17"/>
  <c r="U262" i="17"/>
  <c r="V262" i="17"/>
  <c r="W262" i="17"/>
  <c r="X262" i="17"/>
  <c r="Y262" i="17"/>
  <c r="Z262" i="17"/>
  <c r="AA262" i="17"/>
  <c r="AB262" i="17"/>
  <c r="AC262" i="17"/>
  <c r="AD262" i="17"/>
  <c r="C263" i="17"/>
  <c r="D263" i="17"/>
  <c r="E263" i="17"/>
  <c r="F263" i="17"/>
  <c r="G263" i="17"/>
  <c r="H263" i="17"/>
  <c r="I263" i="17"/>
  <c r="J263" i="17"/>
  <c r="K263" i="17"/>
  <c r="L263" i="17"/>
  <c r="M263" i="17"/>
  <c r="N263" i="17"/>
  <c r="O263" i="17"/>
  <c r="P263" i="17"/>
  <c r="Q263" i="17"/>
  <c r="R263" i="17"/>
  <c r="S263" i="17"/>
  <c r="T263" i="17"/>
  <c r="U263" i="17"/>
  <c r="V263" i="17"/>
  <c r="W263" i="17"/>
  <c r="X263" i="17"/>
  <c r="Y263" i="17"/>
  <c r="Z263" i="17"/>
  <c r="AA263" i="17"/>
  <c r="AB263" i="17"/>
  <c r="AC263" i="17"/>
  <c r="AD263" i="17"/>
  <c r="C264" i="17"/>
  <c r="D264" i="17"/>
  <c r="E264" i="17"/>
  <c r="F264" i="17"/>
  <c r="G264" i="17"/>
  <c r="H264" i="17"/>
  <c r="I264" i="17"/>
  <c r="J264" i="17"/>
  <c r="K264" i="17"/>
  <c r="L264" i="17"/>
  <c r="M264" i="17"/>
  <c r="N264" i="17"/>
  <c r="O264" i="17"/>
  <c r="P264" i="17"/>
  <c r="Q264" i="17"/>
  <c r="R264" i="17"/>
  <c r="S264" i="17"/>
  <c r="T264" i="17"/>
  <c r="U264" i="17"/>
  <c r="V264" i="17"/>
  <c r="W264" i="17"/>
  <c r="X264" i="17"/>
  <c r="Y264" i="17"/>
  <c r="Z264" i="17"/>
  <c r="AA264" i="17"/>
  <c r="AB264" i="17"/>
  <c r="AC264" i="17"/>
  <c r="AD264" i="17"/>
  <c r="C265" i="17"/>
  <c r="D265" i="17"/>
  <c r="E265" i="17"/>
  <c r="F265" i="17"/>
  <c r="G265" i="17"/>
  <c r="H265" i="17"/>
  <c r="I265" i="17"/>
  <c r="J265" i="17"/>
  <c r="K265" i="17"/>
  <c r="L265" i="17"/>
  <c r="M265" i="17"/>
  <c r="N265" i="17"/>
  <c r="O265" i="17"/>
  <c r="P265" i="17"/>
  <c r="Q265" i="17"/>
  <c r="R265" i="17"/>
  <c r="S265" i="17"/>
  <c r="T265" i="17"/>
  <c r="U265" i="17"/>
  <c r="V265" i="17"/>
  <c r="W265" i="17"/>
  <c r="X265" i="17"/>
  <c r="Y265" i="17"/>
  <c r="Z265" i="17"/>
  <c r="AA265" i="17"/>
  <c r="AB265" i="17"/>
  <c r="AC265" i="17"/>
  <c r="AD265" i="17"/>
  <c r="C266" i="17"/>
  <c r="D266" i="17"/>
  <c r="E266" i="17"/>
  <c r="F266" i="17"/>
  <c r="G266" i="17"/>
  <c r="H266" i="17"/>
  <c r="I266" i="17"/>
  <c r="J266" i="17"/>
  <c r="K266" i="17"/>
  <c r="L266" i="17"/>
  <c r="M266" i="17"/>
  <c r="N266" i="17"/>
  <c r="O266" i="17"/>
  <c r="P266" i="17"/>
  <c r="Q266" i="17"/>
  <c r="R266" i="17"/>
  <c r="S266" i="17"/>
  <c r="T266" i="17"/>
  <c r="U266" i="17"/>
  <c r="V266" i="17"/>
  <c r="W266" i="17"/>
  <c r="X266" i="17"/>
  <c r="Y266" i="17"/>
  <c r="Z266" i="17"/>
  <c r="AA266" i="17"/>
  <c r="AB266" i="17"/>
  <c r="AC266" i="17"/>
  <c r="AD266" i="17"/>
  <c r="C267" i="17"/>
  <c r="D267" i="17"/>
  <c r="E267" i="17"/>
  <c r="F267" i="17"/>
  <c r="G267" i="17"/>
  <c r="H267" i="17"/>
  <c r="I267" i="17"/>
  <c r="J267" i="17"/>
  <c r="K267" i="17"/>
  <c r="L267" i="17"/>
  <c r="M267" i="17"/>
  <c r="N267" i="17"/>
  <c r="O267" i="17"/>
  <c r="P267" i="17"/>
  <c r="Q267" i="17"/>
  <c r="R267" i="17"/>
  <c r="S267" i="17"/>
  <c r="T267" i="17"/>
  <c r="U267" i="17"/>
  <c r="V267" i="17"/>
  <c r="W267" i="17"/>
  <c r="X267" i="17"/>
  <c r="Y267" i="17"/>
  <c r="Z267" i="17"/>
  <c r="AA267" i="17"/>
  <c r="AB267" i="17"/>
  <c r="AC267" i="17"/>
  <c r="AD267" i="17"/>
  <c r="C268" i="17"/>
  <c r="D268" i="17"/>
  <c r="E268" i="17"/>
  <c r="F268" i="17"/>
  <c r="G268" i="17"/>
  <c r="H268" i="17"/>
  <c r="I268" i="17"/>
  <c r="J268" i="17"/>
  <c r="K268" i="17"/>
  <c r="L268" i="17"/>
  <c r="M268" i="17"/>
  <c r="N268" i="17"/>
  <c r="O268" i="17"/>
  <c r="P268" i="17"/>
  <c r="Q268" i="17"/>
  <c r="R268" i="17"/>
  <c r="S268" i="17"/>
  <c r="T268" i="17"/>
  <c r="U268" i="17"/>
  <c r="V268" i="17"/>
  <c r="W268" i="17"/>
  <c r="X268" i="17"/>
  <c r="Y268" i="17"/>
  <c r="Z268" i="17"/>
  <c r="AA268" i="17"/>
  <c r="AB268" i="17"/>
  <c r="AC268" i="17"/>
  <c r="AD268" i="17"/>
  <c r="C269" i="17"/>
  <c r="D269" i="17"/>
  <c r="E269" i="17"/>
  <c r="F269" i="17"/>
  <c r="G269" i="17"/>
  <c r="H269" i="17"/>
  <c r="I269" i="17"/>
  <c r="J269" i="17"/>
  <c r="K269" i="17"/>
  <c r="L269" i="17"/>
  <c r="M269" i="17"/>
  <c r="N269" i="17"/>
  <c r="O269" i="17"/>
  <c r="P269" i="17"/>
  <c r="Q269" i="17"/>
  <c r="R269" i="17"/>
  <c r="S269" i="17"/>
  <c r="T269" i="17"/>
  <c r="U269" i="17"/>
  <c r="V269" i="17"/>
  <c r="W269" i="17"/>
  <c r="X269" i="17"/>
  <c r="Y269" i="17"/>
  <c r="Z269" i="17"/>
  <c r="AA269" i="17"/>
  <c r="AB269" i="17"/>
  <c r="AC269" i="17"/>
  <c r="AD269" i="17"/>
  <c r="C270" i="17"/>
  <c r="D270" i="17"/>
  <c r="E270" i="17"/>
  <c r="F270" i="17"/>
  <c r="G270" i="17"/>
  <c r="H270" i="17"/>
  <c r="I270" i="17"/>
  <c r="J270" i="17"/>
  <c r="K270" i="17"/>
  <c r="L270" i="17"/>
  <c r="M270" i="17"/>
  <c r="N270" i="17"/>
  <c r="O270" i="17"/>
  <c r="P270" i="17"/>
  <c r="Q270" i="17"/>
  <c r="R270" i="17"/>
  <c r="S270" i="17"/>
  <c r="T270" i="17"/>
  <c r="U270" i="17"/>
  <c r="V270" i="17"/>
  <c r="W270" i="17"/>
  <c r="X270" i="17"/>
  <c r="Y270" i="17"/>
  <c r="Z270" i="17"/>
  <c r="AA270" i="17"/>
  <c r="AB270" i="17"/>
  <c r="AC270" i="17"/>
  <c r="AD270" i="17"/>
  <c r="C271" i="17"/>
  <c r="D271" i="17"/>
  <c r="E271" i="17"/>
  <c r="F271" i="17"/>
  <c r="G271" i="17"/>
  <c r="H271" i="17"/>
  <c r="I271" i="17"/>
  <c r="J271" i="17"/>
  <c r="K271" i="17"/>
  <c r="L271" i="17"/>
  <c r="M271" i="17"/>
  <c r="N271" i="17"/>
  <c r="O271" i="17"/>
  <c r="P271" i="17"/>
  <c r="Q271" i="17"/>
  <c r="R271" i="17"/>
  <c r="S271" i="17"/>
  <c r="T271" i="17"/>
  <c r="U271" i="17"/>
  <c r="V271" i="17"/>
  <c r="W271" i="17"/>
  <c r="X271" i="17"/>
  <c r="Y271" i="17"/>
  <c r="Z271" i="17"/>
  <c r="AA271" i="17"/>
  <c r="AB271" i="17"/>
  <c r="AC271" i="17"/>
  <c r="AD271" i="17"/>
  <c r="C272" i="17"/>
  <c r="D272" i="17"/>
  <c r="E272" i="17"/>
  <c r="F272" i="17"/>
  <c r="G272" i="17"/>
  <c r="H272" i="17"/>
  <c r="I272" i="17"/>
  <c r="J272" i="17"/>
  <c r="K272" i="17"/>
  <c r="L272" i="17"/>
  <c r="M272" i="17"/>
  <c r="N272" i="17"/>
  <c r="O272" i="17"/>
  <c r="P272" i="17"/>
  <c r="Q272" i="17"/>
  <c r="R272" i="17"/>
  <c r="S272" i="17"/>
  <c r="T272" i="17"/>
  <c r="U272" i="17"/>
  <c r="V272" i="17"/>
  <c r="W272" i="17"/>
  <c r="X272" i="17"/>
  <c r="Y272" i="17"/>
  <c r="Z272" i="17"/>
  <c r="AA272" i="17"/>
  <c r="AB272" i="17"/>
  <c r="AC272" i="17"/>
  <c r="AD272" i="17"/>
  <c r="C273" i="17"/>
  <c r="D273" i="17"/>
  <c r="E273" i="17"/>
  <c r="F273" i="17"/>
  <c r="G273" i="17"/>
  <c r="H273" i="17"/>
  <c r="I273" i="17"/>
  <c r="J273" i="17"/>
  <c r="K273" i="17"/>
  <c r="L273" i="17"/>
  <c r="M273" i="17"/>
  <c r="N273" i="17"/>
  <c r="O273" i="17"/>
  <c r="P273" i="17"/>
  <c r="Q273" i="17"/>
  <c r="R273" i="17"/>
  <c r="S273" i="17"/>
  <c r="T273" i="17"/>
  <c r="U273" i="17"/>
  <c r="V273" i="17"/>
  <c r="W273" i="17"/>
  <c r="X273" i="17"/>
  <c r="Y273" i="17"/>
  <c r="Z273" i="17"/>
  <c r="AA273" i="17"/>
  <c r="AB273" i="17"/>
  <c r="AC273" i="17"/>
  <c r="AD273" i="17"/>
  <c r="C274" i="17"/>
  <c r="D274" i="17"/>
  <c r="E274" i="17"/>
  <c r="F274" i="17"/>
  <c r="G274" i="17"/>
  <c r="H274" i="17"/>
  <c r="I274" i="17"/>
  <c r="J274" i="17"/>
  <c r="K274" i="17"/>
  <c r="L274" i="17"/>
  <c r="M274" i="17"/>
  <c r="N274" i="17"/>
  <c r="O274" i="17"/>
  <c r="P274" i="17"/>
  <c r="Q274" i="17"/>
  <c r="R274" i="17"/>
  <c r="S274" i="17"/>
  <c r="T274" i="17"/>
  <c r="U274" i="17"/>
  <c r="V274" i="17"/>
  <c r="W274" i="17"/>
  <c r="X274" i="17"/>
  <c r="Y274" i="17"/>
  <c r="Z274" i="17"/>
  <c r="AA274" i="17"/>
  <c r="AB274" i="17"/>
  <c r="AC274" i="17"/>
  <c r="AD274" i="17"/>
  <c r="C275" i="17"/>
  <c r="D275" i="17"/>
  <c r="E275" i="17"/>
  <c r="F275" i="17"/>
  <c r="G275" i="17"/>
  <c r="H275" i="17"/>
  <c r="I275" i="17"/>
  <c r="J275" i="17"/>
  <c r="K275" i="17"/>
  <c r="L275" i="17"/>
  <c r="M275" i="17"/>
  <c r="N275" i="17"/>
  <c r="O275" i="17"/>
  <c r="P275" i="17"/>
  <c r="Q275" i="17"/>
  <c r="R275" i="17"/>
  <c r="S275" i="17"/>
  <c r="T275" i="17"/>
  <c r="U275" i="17"/>
  <c r="V275" i="17"/>
  <c r="W275" i="17"/>
  <c r="X275" i="17"/>
  <c r="Y275" i="17"/>
  <c r="Z275" i="17"/>
  <c r="AA275" i="17"/>
  <c r="AB275" i="17"/>
  <c r="AC275" i="17"/>
  <c r="AD275" i="17"/>
  <c r="C276" i="17"/>
  <c r="D276" i="17"/>
  <c r="E276" i="17"/>
  <c r="F276" i="17"/>
  <c r="G276" i="17"/>
  <c r="H276" i="17"/>
  <c r="I276" i="17"/>
  <c r="J276" i="17"/>
  <c r="K276" i="17"/>
  <c r="L276" i="17"/>
  <c r="M276" i="17"/>
  <c r="N276" i="17"/>
  <c r="O276" i="17"/>
  <c r="P276" i="17"/>
  <c r="Q276" i="17"/>
  <c r="R276" i="17"/>
  <c r="S276" i="17"/>
  <c r="T276" i="17"/>
  <c r="U276" i="17"/>
  <c r="V276" i="17"/>
  <c r="W276" i="17"/>
  <c r="X276" i="17"/>
  <c r="Y276" i="17"/>
  <c r="Z276" i="17"/>
  <c r="AA276" i="17"/>
  <c r="AB276" i="17"/>
  <c r="AC276" i="17"/>
  <c r="AD276" i="17"/>
  <c r="C277" i="17"/>
  <c r="D277" i="17"/>
  <c r="E277" i="17"/>
  <c r="F277" i="17"/>
  <c r="G277" i="17"/>
  <c r="H277" i="17"/>
  <c r="I277" i="17"/>
  <c r="J277" i="17"/>
  <c r="K277" i="17"/>
  <c r="L277" i="17"/>
  <c r="M277" i="17"/>
  <c r="N277" i="17"/>
  <c r="O277" i="17"/>
  <c r="P277" i="17"/>
  <c r="Q277" i="17"/>
  <c r="R277" i="17"/>
  <c r="S277" i="17"/>
  <c r="T277" i="17"/>
  <c r="U277" i="17"/>
  <c r="V277" i="17"/>
  <c r="W277" i="17"/>
  <c r="X277" i="17"/>
  <c r="Y277" i="17"/>
  <c r="Z277" i="17"/>
  <c r="AA277" i="17"/>
  <c r="AB277" i="17"/>
  <c r="AC277" i="17"/>
  <c r="AD277" i="17"/>
  <c r="C278" i="17"/>
  <c r="D278" i="17"/>
  <c r="E278" i="17"/>
  <c r="F278" i="17"/>
  <c r="G278" i="17"/>
  <c r="H278" i="17"/>
  <c r="I278" i="17"/>
  <c r="J278" i="17"/>
  <c r="K278" i="17"/>
  <c r="L278" i="17"/>
  <c r="M278" i="17"/>
  <c r="N278" i="17"/>
  <c r="O278" i="17"/>
  <c r="P278" i="17"/>
  <c r="Q278" i="17"/>
  <c r="R278" i="17"/>
  <c r="S278" i="17"/>
  <c r="T278" i="17"/>
  <c r="U278" i="17"/>
  <c r="V278" i="17"/>
  <c r="W278" i="17"/>
  <c r="X278" i="17"/>
  <c r="Y278" i="17"/>
  <c r="Z278" i="17"/>
  <c r="AA278" i="17"/>
  <c r="AB278" i="17"/>
  <c r="AC278" i="17"/>
  <c r="AD278" i="17"/>
  <c r="C279" i="17"/>
  <c r="D279" i="17"/>
  <c r="E279" i="17"/>
  <c r="F279" i="17"/>
  <c r="G279" i="17"/>
  <c r="H279" i="17"/>
  <c r="I279" i="17"/>
  <c r="J279" i="17"/>
  <c r="K279" i="17"/>
  <c r="L279" i="17"/>
  <c r="M279" i="17"/>
  <c r="N279" i="17"/>
  <c r="O279" i="17"/>
  <c r="P279" i="17"/>
  <c r="Q279" i="17"/>
  <c r="R279" i="17"/>
  <c r="S279" i="17"/>
  <c r="T279" i="17"/>
  <c r="U279" i="17"/>
  <c r="V279" i="17"/>
  <c r="W279" i="17"/>
  <c r="X279" i="17"/>
  <c r="Y279" i="17"/>
  <c r="Z279" i="17"/>
  <c r="AA279" i="17"/>
  <c r="AB279" i="17"/>
  <c r="AC279" i="17"/>
  <c r="AD279" i="17"/>
  <c r="C280" i="17"/>
  <c r="D280" i="17"/>
  <c r="E280" i="17"/>
  <c r="F280" i="17"/>
  <c r="G280" i="17"/>
  <c r="H280" i="17"/>
  <c r="I280" i="17"/>
  <c r="J280" i="17"/>
  <c r="K280" i="17"/>
  <c r="L280" i="17"/>
  <c r="M280" i="17"/>
  <c r="N280" i="17"/>
  <c r="O280" i="17"/>
  <c r="P280" i="17"/>
  <c r="Q280" i="17"/>
  <c r="R280" i="17"/>
  <c r="S280" i="17"/>
  <c r="T280" i="17"/>
  <c r="U280" i="17"/>
  <c r="V280" i="17"/>
  <c r="W280" i="17"/>
  <c r="X280" i="17"/>
  <c r="Y280" i="17"/>
  <c r="Z280" i="17"/>
  <c r="AA280" i="17"/>
  <c r="AB280" i="17"/>
  <c r="AC280" i="17"/>
  <c r="AD280" i="17"/>
  <c r="C281" i="17"/>
  <c r="D281" i="17"/>
  <c r="E281" i="17"/>
  <c r="F281" i="17"/>
  <c r="G281" i="17"/>
  <c r="H281" i="17"/>
  <c r="I281" i="17"/>
  <c r="J281" i="17"/>
  <c r="K281" i="17"/>
  <c r="L281" i="17"/>
  <c r="M281" i="17"/>
  <c r="N281" i="17"/>
  <c r="O281" i="17"/>
  <c r="P281" i="17"/>
  <c r="Q281" i="17"/>
  <c r="R281" i="17"/>
  <c r="S281" i="17"/>
  <c r="T281" i="17"/>
  <c r="U281" i="17"/>
  <c r="V281" i="17"/>
  <c r="W281" i="17"/>
  <c r="X281" i="17"/>
  <c r="Y281" i="17"/>
  <c r="Z281" i="17"/>
  <c r="AA281" i="17"/>
  <c r="AB281" i="17"/>
  <c r="AC281" i="17"/>
  <c r="AD281" i="17"/>
  <c r="C282" i="17"/>
  <c r="D282" i="17"/>
  <c r="E282" i="17"/>
  <c r="F282" i="17"/>
  <c r="G282" i="17"/>
  <c r="H282" i="17"/>
  <c r="I282" i="17"/>
  <c r="J282" i="17"/>
  <c r="K282" i="17"/>
  <c r="L282" i="17"/>
  <c r="M282" i="17"/>
  <c r="N282" i="17"/>
  <c r="O282" i="17"/>
  <c r="P282" i="17"/>
  <c r="Q282" i="17"/>
  <c r="R282" i="17"/>
  <c r="S282" i="17"/>
  <c r="T282" i="17"/>
  <c r="U282" i="17"/>
  <c r="V282" i="17"/>
  <c r="W282" i="17"/>
  <c r="X282" i="17"/>
  <c r="Y282" i="17"/>
  <c r="Z282" i="17"/>
  <c r="AA282" i="17"/>
  <c r="AB282" i="17"/>
  <c r="AC282" i="17"/>
  <c r="AD282" i="17"/>
  <c r="C283" i="17"/>
  <c r="D283" i="17"/>
  <c r="E283" i="17"/>
  <c r="F283" i="17"/>
  <c r="G283" i="17"/>
  <c r="H283" i="17"/>
  <c r="I283" i="17"/>
  <c r="J283" i="17"/>
  <c r="K283" i="17"/>
  <c r="L283" i="17"/>
  <c r="M283" i="17"/>
  <c r="N283" i="17"/>
  <c r="O283" i="17"/>
  <c r="P283" i="17"/>
  <c r="Q283" i="17"/>
  <c r="R283" i="17"/>
  <c r="S283" i="17"/>
  <c r="T283" i="17"/>
  <c r="U283" i="17"/>
  <c r="V283" i="17"/>
  <c r="W283" i="17"/>
  <c r="X283" i="17"/>
  <c r="Y283" i="17"/>
  <c r="Z283" i="17"/>
  <c r="AA283" i="17"/>
  <c r="AB283" i="17"/>
  <c r="AC283" i="17"/>
  <c r="AD283" i="17"/>
  <c r="C284" i="17"/>
  <c r="D284" i="17"/>
  <c r="E284" i="17"/>
  <c r="F284" i="17"/>
  <c r="G284" i="17"/>
  <c r="H284" i="17"/>
  <c r="I284" i="17"/>
  <c r="J284" i="17"/>
  <c r="K284" i="17"/>
  <c r="L284" i="17"/>
  <c r="M284" i="17"/>
  <c r="N284" i="17"/>
  <c r="O284" i="17"/>
  <c r="P284" i="17"/>
  <c r="Q284" i="17"/>
  <c r="R284" i="17"/>
  <c r="S284" i="17"/>
  <c r="T284" i="17"/>
  <c r="U284" i="17"/>
  <c r="V284" i="17"/>
  <c r="W284" i="17"/>
  <c r="X284" i="17"/>
  <c r="Y284" i="17"/>
  <c r="Z284" i="17"/>
  <c r="AA284" i="17"/>
  <c r="AB284" i="17"/>
  <c r="AC284" i="17"/>
  <c r="AD284" i="17"/>
  <c r="C285" i="17"/>
  <c r="D285" i="17"/>
  <c r="E285" i="17"/>
  <c r="F285" i="17"/>
  <c r="G285" i="17"/>
  <c r="H285" i="17"/>
  <c r="I285" i="17"/>
  <c r="J285" i="17"/>
  <c r="K285" i="17"/>
  <c r="L285" i="17"/>
  <c r="M285" i="17"/>
  <c r="N285" i="17"/>
  <c r="O285" i="17"/>
  <c r="P285" i="17"/>
  <c r="Q285" i="17"/>
  <c r="R285" i="17"/>
  <c r="S285" i="17"/>
  <c r="T285" i="17"/>
  <c r="U285" i="17"/>
  <c r="V285" i="17"/>
  <c r="W285" i="17"/>
  <c r="X285" i="17"/>
  <c r="Y285" i="17"/>
  <c r="Z285" i="17"/>
  <c r="AA285" i="17"/>
  <c r="AB285" i="17"/>
  <c r="AC285" i="17"/>
  <c r="AD285" i="17"/>
  <c r="C286" i="17"/>
  <c r="D286" i="17"/>
  <c r="E286" i="17"/>
  <c r="F286" i="17"/>
  <c r="G286" i="17"/>
  <c r="H286" i="17"/>
  <c r="I286" i="17"/>
  <c r="J286" i="17"/>
  <c r="K286" i="17"/>
  <c r="L286" i="17"/>
  <c r="M286" i="17"/>
  <c r="N286" i="17"/>
  <c r="O286" i="17"/>
  <c r="P286" i="17"/>
  <c r="Q286" i="17"/>
  <c r="R286" i="17"/>
  <c r="S286" i="17"/>
  <c r="T286" i="17"/>
  <c r="U286" i="17"/>
  <c r="V286" i="17"/>
  <c r="W286" i="17"/>
  <c r="X286" i="17"/>
  <c r="Y286" i="17"/>
  <c r="Z286" i="17"/>
  <c r="AA286" i="17"/>
  <c r="AB286" i="17"/>
  <c r="AC286" i="17"/>
  <c r="AD286" i="17"/>
  <c r="C287" i="17"/>
  <c r="D287" i="17"/>
  <c r="E287" i="17"/>
  <c r="F287" i="17"/>
  <c r="G287" i="17"/>
  <c r="H287" i="17"/>
  <c r="I287" i="17"/>
  <c r="J287" i="17"/>
  <c r="K287" i="17"/>
  <c r="L287" i="17"/>
  <c r="M287" i="17"/>
  <c r="N287" i="17"/>
  <c r="O287" i="17"/>
  <c r="P287" i="17"/>
  <c r="Q287" i="17"/>
  <c r="R287" i="17"/>
  <c r="S287" i="17"/>
  <c r="T287" i="17"/>
  <c r="U287" i="17"/>
  <c r="V287" i="17"/>
  <c r="W287" i="17"/>
  <c r="X287" i="17"/>
  <c r="Y287" i="17"/>
  <c r="Z287" i="17"/>
  <c r="AA287" i="17"/>
  <c r="AB287" i="17"/>
  <c r="AC287" i="17"/>
  <c r="AD287" i="17"/>
  <c r="C288" i="17"/>
  <c r="D288" i="17"/>
  <c r="E288" i="17"/>
  <c r="F288" i="17"/>
  <c r="G288" i="17"/>
  <c r="H288" i="17"/>
  <c r="I288" i="17"/>
  <c r="J288" i="17"/>
  <c r="K288" i="17"/>
  <c r="L288" i="17"/>
  <c r="M288" i="17"/>
  <c r="N288" i="17"/>
  <c r="O288" i="17"/>
  <c r="P288" i="17"/>
  <c r="Q288" i="17"/>
  <c r="R288" i="17"/>
  <c r="S288" i="17"/>
  <c r="T288" i="17"/>
  <c r="U288" i="17"/>
  <c r="V288" i="17"/>
  <c r="W288" i="17"/>
  <c r="X288" i="17"/>
  <c r="Y288" i="17"/>
  <c r="Z288" i="17"/>
  <c r="AA288" i="17"/>
  <c r="AB288" i="17"/>
  <c r="AC288" i="17"/>
  <c r="AD288" i="17"/>
  <c r="C289" i="17"/>
  <c r="D289" i="17"/>
  <c r="E289" i="17"/>
  <c r="F289" i="17"/>
  <c r="G289" i="17"/>
  <c r="H289" i="17"/>
  <c r="I289" i="17"/>
  <c r="J289" i="17"/>
  <c r="K289" i="17"/>
  <c r="L289" i="17"/>
  <c r="M289" i="17"/>
  <c r="N289" i="17"/>
  <c r="O289" i="17"/>
  <c r="P289" i="17"/>
  <c r="Q289" i="17"/>
  <c r="R289" i="17"/>
  <c r="S289" i="17"/>
  <c r="T289" i="17"/>
  <c r="U289" i="17"/>
  <c r="V289" i="17"/>
  <c r="W289" i="17"/>
  <c r="X289" i="17"/>
  <c r="Y289" i="17"/>
  <c r="Z289" i="17"/>
  <c r="AA289" i="17"/>
  <c r="AB289" i="17"/>
  <c r="AC289" i="17"/>
  <c r="AD289" i="17"/>
  <c r="C290" i="17"/>
  <c r="D290" i="17"/>
  <c r="E290" i="17"/>
  <c r="F290" i="17"/>
  <c r="G290" i="17"/>
  <c r="H290" i="17"/>
  <c r="I290" i="17"/>
  <c r="J290" i="17"/>
  <c r="K290" i="17"/>
  <c r="L290" i="17"/>
  <c r="M290" i="17"/>
  <c r="N290" i="17"/>
  <c r="O290" i="17"/>
  <c r="P290" i="17"/>
  <c r="Q290" i="17"/>
  <c r="R290" i="17"/>
  <c r="S290" i="17"/>
  <c r="T290" i="17"/>
  <c r="U290" i="17"/>
  <c r="V290" i="17"/>
  <c r="W290" i="17"/>
  <c r="X290" i="17"/>
  <c r="Y290" i="17"/>
  <c r="Z290" i="17"/>
  <c r="AA290" i="17"/>
  <c r="AB290" i="17"/>
  <c r="AC290" i="17"/>
  <c r="AD290" i="17"/>
  <c r="C291" i="17"/>
  <c r="D291" i="17"/>
  <c r="E291" i="17"/>
  <c r="F291" i="17"/>
  <c r="G291" i="17"/>
  <c r="H291" i="17"/>
  <c r="I291" i="17"/>
  <c r="J291" i="17"/>
  <c r="K291" i="17"/>
  <c r="L291" i="17"/>
  <c r="M291" i="17"/>
  <c r="N291" i="17"/>
  <c r="O291" i="17"/>
  <c r="P291" i="17"/>
  <c r="Q291" i="17"/>
  <c r="R291" i="17"/>
  <c r="S291" i="17"/>
  <c r="T291" i="17"/>
  <c r="U291" i="17"/>
  <c r="V291" i="17"/>
  <c r="W291" i="17"/>
  <c r="X291" i="17"/>
  <c r="Y291" i="17"/>
  <c r="Z291" i="17"/>
  <c r="AA291" i="17"/>
  <c r="AB291" i="17"/>
  <c r="AC291" i="17"/>
  <c r="AD291" i="17"/>
  <c r="C292" i="17"/>
  <c r="D292" i="17"/>
  <c r="E292" i="17"/>
  <c r="F292" i="17"/>
  <c r="G292" i="17"/>
  <c r="H292" i="17"/>
  <c r="I292" i="17"/>
  <c r="J292" i="17"/>
  <c r="K292" i="17"/>
  <c r="L292" i="17"/>
  <c r="M292" i="17"/>
  <c r="N292" i="17"/>
  <c r="O292" i="17"/>
  <c r="P292" i="17"/>
  <c r="Q292" i="17"/>
  <c r="R292" i="17"/>
  <c r="S292" i="17"/>
  <c r="T292" i="17"/>
  <c r="U292" i="17"/>
  <c r="V292" i="17"/>
  <c r="W292" i="17"/>
  <c r="X292" i="17"/>
  <c r="Y292" i="17"/>
  <c r="Z292" i="17"/>
  <c r="AA292" i="17"/>
  <c r="AB292" i="17"/>
  <c r="AC292" i="17"/>
  <c r="AD292" i="17"/>
  <c r="C293" i="17"/>
  <c r="D293" i="17"/>
  <c r="E293" i="17"/>
  <c r="F293" i="17"/>
  <c r="G293" i="17"/>
  <c r="H293" i="17"/>
  <c r="I293" i="17"/>
  <c r="J293" i="17"/>
  <c r="K293" i="17"/>
  <c r="L293" i="17"/>
  <c r="M293" i="17"/>
  <c r="N293" i="17"/>
  <c r="O293" i="17"/>
  <c r="P293" i="17"/>
  <c r="Q293" i="17"/>
  <c r="R293" i="17"/>
  <c r="S293" i="17"/>
  <c r="T293" i="17"/>
  <c r="U293" i="17"/>
  <c r="V293" i="17"/>
  <c r="W293" i="17"/>
  <c r="X293" i="17"/>
  <c r="Y293" i="17"/>
  <c r="Z293" i="17"/>
  <c r="AA293" i="17"/>
  <c r="AB293" i="17"/>
  <c r="AC293" i="17"/>
  <c r="AD293" i="17"/>
  <c r="C294" i="17"/>
  <c r="D294" i="17"/>
  <c r="E294" i="17"/>
  <c r="F294" i="17"/>
  <c r="G294" i="17"/>
  <c r="H294" i="17"/>
  <c r="I294" i="17"/>
  <c r="J294" i="17"/>
  <c r="K294" i="17"/>
  <c r="L294" i="17"/>
  <c r="M294" i="17"/>
  <c r="N294" i="17"/>
  <c r="O294" i="17"/>
  <c r="P294" i="17"/>
  <c r="Q294" i="17"/>
  <c r="R294" i="17"/>
  <c r="S294" i="17"/>
  <c r="T294" i="17"/>
  <c r="U294" i="17"/>
  <c r="V294" i="17"/>
  <c r="W294" i="17"/>
  <c r="X294" i="17"/>
  <c r="Y294" i="17"/>
  <c r="Z294" i="17"/>
  <c r="AA294" i="17"/>
  <c r="AB294" i="17"/>
  <c r="AC294" i="17"/>
  <c r="AD294" i="17"/>
  <c r="C295" i="17"/>
  <c r="D295" i="17"/>
  <c r="E295" i="17"/>
  <c r="F295" i="17"/>
  <c r="G295" i="17"/>
  <c r="H295" i="17"/>
  <c r="I295" i="17"/>
  <c r="J295" i="17"/>
  <c r="K295" i="17"/>
  <c r="L295" i="17"/>
  <c r="M295" i="17"/>
  <c r="N295" i="17"/>
  <c r="O295" i="17"/>
  <c r="P295" i="17"/>
  <c r="Q295" i="17"/>
  <c r="R295" i="17"/>
  <c r="S295" i="17"/>
  <c r="T295" i="17"/>
  <c r="U295" i="17"/>
  <c r="V295" i="17"/>
  <c r="W295" i="17"/>
  <c r="X295" i="17"/>
  <c r="Y295" i="17"/>
  <c r="Z295" i="17"/>
  <c r="AA295" i="17"/>
  <c r="AB295" i="17"/>
  <c r="AC295" i="17"/>
  <c r="AD295" i="17"/>
  <c r="C296" i="17"/>
  <c r="D296" i="17"/>
  <c r="E296" i="17"/>
  <c r="F296" i="17"/>
  <c r="G296" i="17"/>
  <c r="H296" i="17"/>
  <c r="I296" i="17"/>
  <c r="J296" i="17"/>
  <c r="K296" i="17"/>
  <c r="L296" i="17"/>
  <c r="M296" i="17"/>
  <c r="N296" i="17"/>
  <c r="O296" i="17"/>
  <c r="P296" i="17"/>
  <c r="Q296" i="17"/>
  <c r="R296" i="17"/>
  <c r="S296" i="17"/>
  <c r="T296" i="17"/>
  <c r="U296" i="17"/>
  <c r="V296" i="17"/>
  <c r="W296" i="17"/>
  <c r="X296" i="17"/>
  <c r="Y296" i="17"/>
  <c r="Z296" i="17"/>
  <c r="AA296" i="17"/>
  <c r="AB296" i="17"/>
  <c r="AC296" i="17"/>
  <c r="AD296" i="17"/>
  <c r="C297" i="17"/>
  <c r="D297" i="17"/>
  <c r="E297" i="17"/>
  <c r="F297" i="17"/>
  <c r="G297" i="17"/>
  <c r="H297" i="17"/>
  <c r="I297" i="17"/>
  <c r="J297" i="17"/>
  <c r="K297" i="17"/>
  <c r="L297" i="17"/>
  <c r="M297" i="17"/>
  <c r="N297" i="17"/>
  <c r="O297" i="17"/>
  <c r="P297" i="17"/>
  <c r="Q297" i="17"/>
  <c r="R297" i="17"/>
  <c r="S297" i="17"/>
  <c r="T297" i="17"/>
  <c r="U297" i="17"/>
  <c r="V297" i="17"/>
  <c r="W297" i="17"/>
  <c r="X297" i="17"/>
  <c r="Y297" i="17"/>
  <c r="Z297" i="17"/>
  <c r="AA297" i="17"/>
  <c r="AB297" i="17"/>
  <c r="AC297" i="17"/>
  <c r="AD297" i="17"/>
  <c r="C298" i="17"/>
  <c r="D298" i="17"/>
  <c r="E298" i="17"/>
  <c r="F298" i="17"/>
  <c r="G298" i="17"/>
  <c r="H298" i="17"/>
  <c r="I298" i="17"/>
  <c r="J298" i="17"/>
  <c r="K298" i="17"/>
  <c r="L298" i="17"/>
  <c r="M298" i="17"/>
  <c r="N298" i="17"/>
  <c r="O298" i="17"/>
  <c r="P298" i="17"/>
  <c r="Q298" i="17"/>
  <c r="R298" i="17"/>
  <c r="S298" i="17"/>
  <c r="T298" i="17"/>
  <c r="U298" i="17"/>
  <c r="V298" i="17"/>
  <c r="W298" i="17"/>
  <c r="X298" i="17"/>
  <c r="Y298" i="17"/>
  <c r="Z298" i="17"/>
  <c r="AA298" i="17"/>
  <c r="AB298" i="17"/>
  <c r="AC298" i="17"/>
  <c r="AD298" i="17"/>
  <c r="C299" i="17"/>
  <c r="D299" i="17"/>
  <c r="E299" i="17"/>
  <c r="F299" i="17"/>
  <c r="G299" i="17"/>
  <c r="H299" i="17"/>
  <c r="I299" i="17"/>
  <c r="J299" i="17"/>
  <c r="K299" i="17"/>
  <c r="L299" i="17"/>
  <c r="M299" i="17"/>
  <c r="N299" i="17"/>
  <c r="O299" i="17"/>
  <c r="P299" i="17"/>
  <c r="Q299" i="17"/>
  <c r="R299" i="17"/>
  <c r="S299" i="17"/>
  <c r="T299" i="17"/>
  <c r="U299" i="17"/>
  <c r="V299" i="17"/>
  <c r="W299" i="17"/>
  <c r="X299" i="17"/>
  <c r="Y299" i="17"/>
  <c r="Z299" i="17"/>
  <c r="AA299" i="17"/>
  <c r="AB299" i="17"/>
  <c r="AC299" i="17"/>
  <c r="AD299" i="17"/>
  <c r="C300" i="17"/>
  <c r="D300" i="17"/>
  <c r="E300" i="17"/>
  <c r="F300" i="17"/>
  <c r="G300" i="17"/>
  <c r="H300" i="17"/>
  <c r="I300" i="17"/>
  <c r="J300" i="17"/>
  <c r="K300" i="17"/>
  <c r="L300" i="17"/>
  <c r="M300" i="17"/>
  <c r="N300" i="17"/>
  <c r="O300" i="17"/>
  <c r="P300" i="17"/>
  <c r="Q300" i="17"/>
  <c r="R300" i="17"/>
  <c r="S300" i="17"/>
  <c r="T300" i="17"/>
  <c r="U300" i="17"/>
  <c r="V300" i="17"/>
  <c r="W300" i="17"/>
  <c r="X300" i="17"/>
  <c r="Y300" i="17"/>
  <c r="Z300" i="17"/>
  <c r="AA300" i="17"/>
  <c r="AB300" i="17"/>
  <c r="AC300" i="17"/>
  <c r="AD300" i="17"/>
  <c r="C301" i="17"/>
  <c r="D301" i="17"/>
  <c r="E301" i="17"/>
  <c r="F301" i="17"/>
  <c r="G301" i="17"/>
  <c r="H301" i="17"/>
  <c r="I301" i="17"/>
  <c r="J301" i="17"/>
  <c r="K301" i="17"/>
  <c r="L301" i="17"/>
  <c r="M301" i="17"/>
  <c r="N301" i="17"/>
  <c r="O301" i="17"/>
  <c r="P301" i="17"/>
  <c r="Q301" i="17"/>
  <c r="R301" i="17"/>
  <c r="S301" i="17"/>
  <c r="T301" i="17"/>
  <c r="U301" i="17"/>
  <c r="V301" i="17"/>
  <c r="W301" i="17"/>
  <c r="X301" i="17"/>
  <c r="Y301" i="17"/>
  <c r="Z301" i="17"/>
  <c r="AA301" i="17"/>
  <c r="AB301" i="17"/>
  <c r="AC301" i="17"/>
  <c r="AD301" i="17"/>
  <c r="C302" i="17"/>
  <c r="D302" i="17"/>
  <c r="E302" i="17"/>
  <c r="F302" i="17"/>
  <c r="G302" i="17"/>
  <c r="H302" i="17"/>
  <c r="I302" i="17"/>
  <c r="J302" i="17"/>
  <c r="K302" i="17"/>
  <c r="L302" i="17"/>
  <c r="M302" i="17"/>
  <c r="N302" i="17"/>
  <c r="O302" i="17"/>
  <c r="P302" i="17"/>
  <c r="Q302" i="17"/>
  <c r="R302" i="17"/>
  <c r="S302" i="17"/>
  <c r="T302" i="17"/>
  <c r="U302" i="17"/>
  <c r="V302" i="17"/>
  <c r="W302" i="17"/>
  <c r="X302" i="17"/>
  <c r="Y302" i="17"/>
  <c r="Z302" i="17"/>
  <c r="AA302" i="17"/>
  <c r="AB302" i="17"/>
  <c r="AC302" i="17"/>
  <c r="AD302" i="17"/>
  <c r="C303" i="17"/>
  <c r="D303" i="17"/>
  <c r="E303" i="17"/>
  <c r="F303" i="17"/>
  <c r="G303" i="17"/>
  <c r="H303" i="17"/>
  <c r="I303" i="17"/>
  <c r="J303" i="17"/>
  <c r="K303" i="17"/>
  <c r="L303" i="17"/>
  <c r="M303" i="17"/>
  <c r="N303" i="17"/>
  <c r="O303" i="17"/>
  <c r="P303" i="17"/>
  <c r="Q303" i="17"/>
  <c r="R303" i="17"/>
  <c r="S303" i="17"/>
  <c r="T303" i="17"/>
  <c r="U303" i="17"/>
  <c r="V303" i="17"/>
  <c r="W303" i="17"/>
  <c r="X303" i="17"/>
  <c r="Y303" i="17"/>
  <c r="Z303" i="17"/>
  <c r="AA303" i="17"/>
  <c r="AB303" i="17"/>
  <c r="AC303" i="17"/>
  <c r="AD303" i="17"/>
  <c r="C304" i="17"/>
  <c r="D304" i="17"/>
  <c r="E304" i="17"/>
  <c r="F304" i="17"/>
  <c r="G304" i="17"/>
  <c r="H304" i="17"/>
  <c r="I304" i="17"/>
  <c r="J304" i="17"/>
  <c r="K304" i="17"/>
  <c r="L304" i="17"/>
  <c r="M304" i="17"/>
  <c r="N304" i="17"/>
  <c r="O304" i="17"/>
  <c r="P304" i="17"/>
  <c r="Q304" i="17"/>
  <c r="R304" i="17"/>
  <c r="S304" i="17"/>
  <c r="T304" i="17"/>
  <c r="U304" i="17"/>
  <c r="V304" i="17"/>
  <c r="W304" i="17"/>
  <c r="X304" i="17"/>
  <c r="Y304" i="17"/>
  <c r="Z304" i="17"/>
  <c r="AA304" i="17"/>
  <c r="AB304" i="17"/>
  <c r="AC304" i="17"/>
  <c r="AD304" i="17"/>
  <c r="C305" i="17"/>
  <c r="D305" i="17"/>
  <c r="E305" i="17"/>
  <c r="F305" i="17"/>
  <c r="G305" i="17"/>
  <c r="H305" i="17"/>
  <c r="I305" i="17"/>
  <c r="J305" i="17"/>
  <c r="K305" i="17"/>
  <c r="L305" i="17"/>
  <c r="M305" i="17"/>
  <c r="N305" i="17"/>
  <c r="O305" i="17"/>
  <c r="P305" i="17"/>
  <c r="Q305" i="17"/>
  <c r="R305" i="17"/>
  <c r="S305" i="17"/>
  <c r="T305" i="17"/>
  <c r="U305" i="17"/>
  <c r="V305" i="17"/>
  <c r="W305" i="17"/>
  <c r="X305" i="17"/>
  <c r="Y305" i="17"/>
  <c r="Z305" i="17"/>
  <c r="AA305" i="17"/>
  <c r="AB305" i="17"/>
  <c r="AC305" i="17"/>
  <c r="AD305" i="17"/>
  <c r="C306" i="17"/>
  <c r="D306" i="17"/>
  <c r="E306" i="17"/>
  <c r="F306" i="17"/>
  <c r="G306" i="17"/>
  <c r="H306" i="17"/>
  <c r="I306" i="17"/>
  <c r="J306" i="17"/>
  <c r="K306" i="17"/>
  <c r="L306" i="17"/>
  <c r="M306" i="17"/>
  <c r="N306" i="17"/>
  <c r="O306" i="17"/>
  <c r="P306" i="17"/>
  <c r="Q306" i="17"/>
  <c r="R306" i="17"/>
  <c r="S306" i="17"/>
  <c r="T306" i="17"/>
  <c r="U306" i="17"/>
  <c r="V306" i="17"/>
  <c r="W306" i="17"/>
  <c r="X306" i="17"/>
  <c r="Y306" i="17"/>
  <c r="Z306" i="17"/>
  <c r="AA306" i="17"/>
  <c r="AB306" i="17"/>
  <c r="AC306" i="17"/>
  <c r="AD306" i="17"/>
  <c r="C307" i="17"/>
  <c r="D307" i="17"/>
  <c r="E307" i="17"/>
  <c r="F307" i="17"/>
  <c r="G307" i="17"/>
  <c r="H307" i="17"/>
  <c r="I307" i="17"/>
  <c r="J307" i="17"/>
  <c r="K307" i="17"/>
  <c r="L307" i="17"/>
  <c r="M307" i="17"/>
  <c r="N307" i="17"/>
  <c r="O307" i="17"/>
  <c r="P307" i="17"/>
  <c r="Q307" i="17"/>
  <c r="R307" i="17"/>
  <c r="S307" i="17"/>
  <c r="T307" i="17"/>
  <c r="U307" i="17"/>
  <c r="V307" i="17"/>
  <c r="W307" i="17"/>
  <c r="X307" i="17"/>
  <c r="Y307" i="17"/>
  <c r="Z307" i="17"/>
  <c r="AA307" i="17"/>
  <c r="AB307" i="17"/>
  <c r="AC307" i="17"/>
  <c r="AD307" i="17"/>
  <c r="C308" i="17"/>
  <c r="D308" i="17"/>
  <c r="E308" i="17"/>
  <c r="F308" i="17"/>
  <c r="G308" i="17"/>
  <c r="H308" i="17"/>
  <c r="I308" i="17"/>
  <c r="J308" i="17"/>
  <c r="K308" i="17"/>
  <c r="L308" i="17"/>
  <c r="M308" i="17"/>
  <c r="N308" i="17"/>
  <c r="O308" i="17"/>
  <c r="P308" i="17"/>
  <c r="Q308" i="17"/>
  <c r="R308" i="17"/>
  <c r="S308" i="17"/>
  <c r="T308" i="17"/>
  <c r="U308" i="17"/>
  <c r="V308" i="17"/>
  <c r="W308" i="17"/>
  <c r="X308" i="17"/>
  <c r="Y308" i="17"/>
  <c r="Z308" i="17"/>
  <c r="AA308" i="17"/>
  <c r="AB308" i="17"/>
  <c r="AC308" i="17"/>
  <c r="AD308" i="17"/>
  <c r="C309" i="17"/>
  <c r="D309" i="17"/>
  <c r="E309" i="17"/>
  <c r="F309" i="17"/>
  <c r="G309" i="17"/>
  <c r="H309" i="17"/>
  <c r="I309" i="17"/>
  <c r="J309" i="17"/>
  <c r="K309" i="17"/>
  <c r="L309" i="17"/>
  <c r="M309" i="17"/>
  <c r="N309" i="17"/>
  <c r="O309" i="17"/>
  <c r="P309" i="17"/>
  <c r="Q309" i="17"/>
  <c r="R309" i="17"/>
  <c r="S309" i="17"/>
  <c r="T309" i="17"/>
  <c r="U309" i="17"/>
  <c r="V309" i="17"/>
  <c r="W309" i="17"/>
  <c r="X309" i="17"/>
  <c r="Y309" i="17"/>
  <c r="Z309" i="17"/>
  <c r="AA309" i="17"/>
  <c r="AB309" i="17"/>
  <c r="AC309" i="17"/>
  <c r="AD309" i="17"/>
  <c r="C310" i="17"/>
  <c r="D310" i="17"/>
  <c r="E310" i="17"/>
  <c r="F310" i="17"/>
  <c r="G310" i="17"/>
  <c r="H310" i="17"/>
  <c r="I310" i="17"/>
  <c r="J310" i="17"/>
  <c r="K310" i="17"/>
  <c r="L310" i="17"/>
  <c r="M310" i="17"/>
  <c r="N310" i="17"/>
  <c r="O310" i="17"/>
  <c r="P310" i="17"/>
  <c r="Q310" i="17"/>
  <c r="R310" i="17"/>
  <c r="S310" i="17"/>
  <c r="T310" i="17"/>
  <c r="U310" i="17"/>
  <c r="V310" i="17"/>
  <c r="W310" i="17"/>
  <c r="X310" i="17"/>
  <c r="Y310" i="17"/>
  <c r="Z310" i="17"/>
  <c r="AA310" i="17"/>
  <c r="AB310" i="17"/>
  <c r="AC310" i="17"/>
  <c r="AD310" i="17"/>
  <c r="C311" i="17"/>
  <c r="D311" i="17"/>
  <c r="E311" i="17"/>
  <c r="F311" i="17"/>
  <c r="G311" i="17"/>
  <c r="H311" i="17"/>
  <c r="I311" i="17"/>
  <c r="J311" i="17"/>
  <c r="K311" i="17"/>
  <c r="L311" i="17"/>
  <c r="M311" i="17"/>
  <c r="N311" i="17"/>
  <c r="O311" i="17"/>
  <c r="P311" i="17"/>
  <c r="Q311" i="17"/>
  <c r="R311" i="17"/>
  <c r="S311" i="17"/>
  <c r="T311" i="17"/>
  <c r="U311" i="17"/>
  <c r="V311" i="17"/>
  <c r="W311" i="17"/>
  <c r="X311" i="17"/>
  <c r="Y311" i="17"/>
  <c r="Z311" i="17"/>
  <c r="AA311" i="17"/>
  <c r="AB311" i="17"/>
  <c r="AC311" i="17"/>
  <c r="AD311" i="17"/>
  <c r="C312" i="17"/>
  <c r="D312" i="17"/>
  <c r="E312" i="17"/>
  <c r="F312" i="17"/>
  <c r="G312" i="17"/>
  <c r="H312" i="17"/>
  <c r="I312" i="17"/>
  <c r="J312" i="17"/>
  <c r="K312" i="17"/>
  <c r="L312" i="17"/>
  <c r="M312" i="17"/>
  <c r="N312" i="17"/>
  <c r="O312" i="17"/>
  <c r="P312" i="17"/>
  <c r="Q312" i="17"/>
  <c r="R312" i="17"/>
  <c r="S312" i="17"/>
  <c r="T312" i="17"/>
  <c r="U312" i="17"/>
  <c r="V312" i="17"/>
  <c r="W312" i="17"/>
  <c r="X312" i="17"/>
  <c r="Y312" i="17"/>
  <c r="Z312" i="17"/>
  <c r="AA312" i="17"/>
  <c r="AB312" i="17"/>
  <c r="AC312" i="17"/>
  <c r="AD312" i="17"/>
  <c r="C313" i="17"/>
  <c r="D313" i="17"/>
  <c r="E313" i="17"/>
  <c r="F313" i="17"/>
  <c r="G313" i="17"/>
  <c r="H313" i="17"/>
  <c r="I313" i="17"/>
  <c r="J313" i="17"/>
  <c r="K313" i="17"/>
  <c r="L313" i="17"/>
  <c r="M313" i="17"/>
  <c r="N313" i="17"/>
  <c r="O313" i="17"/>
  <c r="P313" i="17"/>
  <c r="Q313" i="17"/>
  <c r="R313" i="17"/>
  <c r="S313" i="17"/>
  <c r="T313" i="17"/>
  <c r="U313" i="17"/>
  <c r="V313" i="17"/>
  <c r="W313" i="17"/>
  <c r="X313" i="17"/>
  <c r="Y313" i="17"/>
  <c r="Z313" i="17"/>
  <c r="AA313" i="17"/>
  <c r="AB313" i="17"/>
  <c r="AC313" i="17"/>
  <c r="AD313" i="17"/>
  <c r="C314" i="17"/>
  <c r="D314" i="17"/>
  <c r="E314" i="17"/>
  <c r="F314" i="17"/>
  <c r="G314" i="17"/>
  <c r="H314" i="17"/>
  <c r="I314" i="17"/>
  <c r="J314" i="17"/>
  <c r="K314" i="17"/>
  <c r="L314" i="17"/>
  <c r="M314" i="17"/>
  <c r="N314" i="17"/>
  <c r="O314" i="17"/>
  <c r="P314" i="17"/>
  <c r="Q314" i="17"/>
  <c r="R314" i="17"/>
  <c r="S314" i="17"/>
  <c r="T314" i="17"/>
  <c r="U314" i="17"/>
  <c r="V314" i="17"/>
  <c r="W314" i="17"/>
  <c r="X314" i="17"/>
  <c r="Y314" i="17"/>
  <c r="Z314" i="17"/>
  <c r="AA314" i="17"/>
  <c r="AB314" i="17"/>
  <c r="AC314" i="17"/>
  <c r="AD314" i="17"/>
  <c r="C315" i="17"/>
  <c r="D315" i="17"/>
  <c r="E315" i="17"/>
  <c r="F315" i="17"/>
  <c r="G315" i="17"/>
  <c r="H315" i="17"/>
  <c r="I315" i="17"/>
  <c r="J315" i="17"/>
  <c r="K315" i="17"/>
  <c r="L315" i="17"/>
  <c r="M315" i="17"/>
  <c r="N315" i="17"/>
  <c r="O315" i="17"/>
  <c r="P315" i="17"/>
  <c r="Q315" i="17"/>
  <c r="R315" i="17"/>
  <c r="S315" i="17"/>
  <c r="T315" i="17"/>
  <c r="U315" i="17"/>
  <c r="V315" i="17"/>
  <c r="W315" i="17"/>
  <c r="X315" i="17"/>
  <c r="Y315" i="17"/>
  <c r="Z315" i="17"/>
  <c r="AA315" i="17"/>
  <c r="AB315" i="17"/>
  <c r="AC315" i="17"/>
  <c r="AD315" i="17"/>
  <c r="C316" i="17"/>
  <c r="D316" i="17"/>
  <c r="E316" i="17"/>
  <c r="F316" i="17"/>
  <c r="G316" i="17"/>
  <c r="H316" i="17"/>
  <c r="I316" i="17"/>
  <c r="J316" i="17"/>
  <c r="K316" i="17"/>
  <c r="L316" i="17"/>
  <c r="M316" i="17"/>
  <c r="N316" i="17"/>
  <c r="O316" i="17"/>
  <c r="P316" i="17"/>
  <c r="Q316" i="17"/>
  <c r="R316" i="17"/>
  <c r="S316" i="17"/>
  <c r="T316" i="17"/>
  <c r="U316" i="17"/>
  <c r="V316" i="17"/>
  <c r="W316" i="17"/>
  <c r="X316" i="17"/>
  <c r="Y316" i="17"/>
  <c r="Z316" i="17"/>
  <c r="AA316" i="17"/>
  <c r="AB316" i="17"/>
  <c r="AC316" i="17"/>
  <c r="AD316" i="17"/>
  <c r="C317" i="17"/>
  <c r="D317" i="17"/>
  <c r="E317" i="17"/>
  <c r="F317" i="17"/>
  <c r="G317" i="17"/>
  <c r="H317" i="17"/>
  <c r="I317" i="17"/>
  <c r="J317" i="17"/>
  <c r="K317" i="17"/>
  <c r="L317" i="17"/>
  <c r="M317" i="17"/>
  <c r="N317" i="17"/>
  <c r="O317" i="17"/>
  <c r="P317" i="17"/>
  <c r="Q317" i="17"/>
  <c r="R317" i="17"/>
  <c r="S317" i="17"/>
  <c r="T317" i="17"/>
  <c r="U317" i="17"/>
  <c r="V317" i="17"/>
  <c r="W317" i="17"/>
  <c r="X317" i="17"/>
  <c r="Y317" i="17"/>
  <c r="Z317" i="17"/>
  <c r="AA317" i="17"/>
  <c r="AB317" i="17"/>
  <c r="AC317" i="17"/>
  <c r="AD317" i="17"/>
  <c r="C318" i="17"/>
  <c r="D318" i="17"/>
  <c r="E318" i="17"/>
  <c r="F318" i="17"/>
  <c r="G318" i="17"/>
  <c r="H318" i="17"/>
  <c r="I318" i="17"/>
  <c r="J318" i="17"/>
  <c r="K318" i="17"/>
  <c r="L318" i="17"/>
  <c r="M318" i="17"/>
  <c r="N318" i="17"/>
  <c r="O318" i="17"/>
  <c r="P318" i="17"/>
  <c r="Q318" i="17"/>
  <c r="R318" i="17"/>
  <c r="S318" i="17"/>
  <c r="T318" i="17"/>
  <c r="U318" i="17"/>
  <c r="V318" i="17"/>
  <c r="W318" i="17"/>
  <c r="X318" i="17"/>
  <c r="Y318" i="17"/>
  <c r="Z318" i="17"/>
  <c r="AA318" i="17"/>
  <c r="AB318" i="17"/>
  <c r="AC318" i="17"/>
  <c r="AD318" i="17"/>
  <c r="C319" i="17"/>
  <c r="D319" i="17"/>
  <c r="E319" i="17"/>
  <c r="F319" i="17"/>
  <c r="G319" i="17"/>
  <c r="H319" i="17"/>
  <c r="I319" i="17"/>
  <c r="J319" i="17"/>
  <c r="K319" i="17"/>
  <c r="L319" i="17"/>
  <c r="M319" i="17"/>
  <c r="N319" i="17"/>
  <c r="O319" i="17"/>
  <c r="P319" i="17"/>
  <c r="Q319" i="17"/>
  <c r="R319" i="17"/>
  <c r="S319" i="17"/>
  <c r="T319" i="17"/>
  <c r="U319" i="17"/>
  <c r="V319" i="17"/>
  <c r="W319" i="17"/>
  <c r="X319" i="17"/>
  <c r="Y319" i="17"/>
  <c r="Z319" i="17"/>
  <c r="AA319" i="17"/>
  <c r="AB319" i="17"/>
  <c r="AC319" i="17"/>
  <c r="AD319" i="17"/>
  <c r="C320" i="17"/>
  <c r="D320" i="17"/>
  <c r="E320" i="17"/>
  <c r="F320" i="17"/>
  <c r="G320" i="17"/>
  <c r="H320" i="17"/>
  <c r="I320" i="17"/>
  <c r="J320" i="17"/>
  <c r="K320" i="17"/>
  <c r="L320" i="17"/>
  <c r="M320" i="17"/>
  <c r="N320" i="17"/>
  <c r="O320" i="17"/>
  <c r="P320" i="17"/>
  <c r="Q320" i="17"/>
  <c r="R320" i="17"/>
  <c r="S320" i="17"/>
  <c r="T320" i="17"/>
  <c r="U320" i="17"/>
  <c r="V320" i="17"/>
  <c r="W320" i="17"/>
  <c r="X320" i="17"/>
  <c r="Y320" i="17"/>
  <c r="Z320" i="17"/>
  <c r="AA320" i="17"/>
  <c r="AB320" i="17"/>
  <c r="AC320" i="17"/>
  <c r="AD320" i="17"/>
  <c r="C321" i="17"/>
  <c r="D321" i="17"/>
  <c r="E321" i="17"/>
  <c r="F321" i="17"/>
  <c r="G321" i="17"/>
  <c r="H321" i="17"/>
  <c r="I321" i="17"/>
  <c r="J321" i="17"/>
  <c r="K321" i="17"/>
  <c r="L321" i="17"/>
  <c r="M321" i="17"/>
  <c r="N321" i="17"/>
  <c r="O321" i="17"/>
  <c r="P321" i="17"/>
  <c r="Q321" i="17"/>
  <c r="R321" i="17"/>
  <c r="S321" i="17"/>
  <c r="T321" i="17"/>
  <c r="U321" i="17"/>
  <c r="V321" i="17"/>
  <c r="W321" i="17"/>
  <c r="X321" i="17"/>
  <c r="Y321" i="17"/>
  <c r="Z321" i="17"/>
  <c r="AA321" i="17"/>
  <c r="AB321" i="17"/>
  <c r="AC321" i="17"/>
  <c r="AD321" i="17"/>
  <c r="C322" i="17"/>
  <c r="D322" i="17"/>
  <c r="E322" i="17"/>
  <c r="F322" i="17"/>
  <c r="G322" i="17"/>
  <c r="H322" i="17"/>
  <c r="I322" i="17"/>
  <c r="J322" i="17"/>
  <c r="K322" i="17"/>
  <c r="L322" i="17"/>
  <c r="M322" i="17"/>
  <c r="N322" i="17"/>
  <c r="O322" i="17"/>
  <c r="P322" i="17"/>
  <c r="Q322" i="17"/>
  <c r="R322" i="17"/>
  <c r="S322" i="17"/>
  <c r="T322" i="17"/>
  <c r="U322" i="17"/>
  <c r="V322" i="17"/>
  <c r="W322" i="17"/>
  <c r="X322" i="17"/>
  <c r="Y322" i="17"/>
  <c r="Z322" i="17"/>
  <c r="AA322" i="17"/>
  <c r="AB322" i="17"/>
  <c r="AC322" i="17"/>
  <c r="AD322" i="17"/>
  <c r="C323" i="17"/>
  <c r="D323" i="17"/>
  <c r="E323" i="17"/>
  <c r="F323" i="17"/>
  <c r="G323" i="17"/>
  <c r="H323" i="17"/>
  <c r="I323" i="17"/>
  <c r="J323" i="17"/>
  <c r="K323" i="17"/>
  <c r="L323" i="17"/>
  <c r="M323" i="17"/>
  <c r="N323" i="17"/>
  <c r="O323" i="17"/>
  <c r="P323" i="17"/>
  <c r="Q323" i="17"/>
  <c r="R323" i="17"/>
  <c r="S323" i="17"/>
  <c r="T323" i="17"/>
  <c r="U323" i="17"/>
  <c r="V323" i="17"/>
  <c r="W323" i="17"/>
  <c r="X323" i="17"/>
  <c r="Y323" i="17"/>
  <c r="Z323" i="17"/>
  <c r="AA323" i="17"/>
  <c r="AB323" i="17"/>
  <c r="AC323" i="17"/>
  <c r="AD323" i="17"/>
  <c r="C324" i="17"/>
  <c r="D324" i="17"/>
  <c r="E324" i="17"/>
  <c r="F324" i="17"/>
  <c r="G324" i="17"/>
  <c r="H324" i="17"/>
  <c r="I324" i="17"/>
  <c r="J324" i="17"/>
  <c r="K324" i="17"/>
  <c r="L324" i="17"/>
  <c r="M324" i="17"/>
  <c r="N324" i="17"/>
  <c r="O324" i="17"/>
  <c r="P324" i="17"/>
  <c r="Q324" i="17"/>
  <c r="R324" i="17"/>
  <c r="S324" i="17"/>
  <c r="T324" i="17"/>
  <c r="U324" i="17"/>
  <c r="V324" i="17"/>
  <c r="W324" i="17"/>
  <c r="X324" i="17"/>
  <c r="Y324" i="17"/>
  <c r="Z324" i="17"/>
  <c r="AA324" i="17"/>
  <c r="AB324" i="17"/>
  <c r="AC324" i="17"/>
  <c r="AD324" i="17"/>
  <c r="C325" i="17"/>
  <c r="D325" i="17"/>
  <c r="E325" i="17"/>
  <c r="F325" i="17"/>
  <c r="G325" i="17"/>
  <c r="H325" i="17"/>
  <c r="I325" i="17"/>
  <c r="J325" i="17"/>
  <c r="K325" i="17"/>
  <c r="L325" i="17"/>
  <c r="M325" i="17"/>
  <c r="N325" i="17"/>
  <c r="O325" i="17"/>
  <c r="P325" i="17"/>
  <c r="Q325" i="17"/>
  <c r="R325" i="17"/>
  <c r="S325" i="17"/>
  <c r="T325" i="17"/>
  <c r="U325" i="17"/>
  <c r="V325" i="17"/>
  <c r="W325" i="17"/>
  <c r="X325" i="17"/>
  <c r="Y325" i="17"/>
  <c r="Z325" i="17"/>
  <c r="AA325" i="17"/>
  <c r="AB325" i="17"/>
  <c r="AC325" i="17"/>
  <c r="AD325" i="17"/>
  <c r="C326" i="17"/>
  <c r="D326" i="17"/>
  <c r="E326" i="17"/>
  <c r="F326" i="17"/>
  <c r="G326" i="17"/>
  <c r="H326" i="17"/>
  <c r="I326" i="17"/>
  <c r="J326" i="17"/>
  <c r="K326" i="17"/>
  <c r="L326" i="17"/>
  <c r="M326" i="17"/>
  <c r="N326" i="17"/>
  <c r="O326" i="17"/>
  <c r="P326" i="17"/>
  <c r="Q326" i="17"/>
  <c r="R326" i="17"/>
  <c r="S326" i="17"/>
  <c r="T326" i="17"/>
  <c r="U326" i="17"/>
  <c r="V326" i="17"/>
  <c r="W326" i="17"/>
  <c r="X326" i="17"/>
  <c r="Y326" i="17"/>
  <c r="Z326" i="17"/>
  <c r="AA326" i="17"/>
  <c r="AB326" i="17"/>
  <c r="AC326" i="17"/>
  <c r="AD326" i="17"/>
  <c r="C327" i="17"/>
  <c r="D327" i="17"/>
  <c r="E327" i="17"/>
  <c r="F327" i="17"/>
  <c r="G327" i="17"/>
  <c r="H327" i="17"/>
  <c r="I327" i="17"/>
  <c r="J327" i="17"/>
  <c r="K327" i="17"/>
  <c r="L327" i="17"/>
  <c r="M327" i="17"/>
  <c r="N327" i="17"/>
  <c r="O327" i="17"/>
  <c r="P327" i="17"/>
  <c r="Q327" i="17"/>
  <c r="R327" i="17"/>
  <c r="S327" i="17"/>
  <c r="T327" i="17"/>
  <c r="U327" i="17"/>
  <c r="V327" i="17"/>
  <c r="W327" i="17"/>
  <c r="X327" i="17"/>
  <c r="Y327" i="17"/>
  <c r="Z327" i="17"/>
  <c r="AA327" i="17"/>
  <c r="AB327" i="17"/>
  <c r="AC327" i="17"/>
  <c r="AD327" i="17"/>
  <c r="C328" i="17"/>
  <c r="D328" i="17"/>
  <c r="E328" i="17"/>
  <c r="F328" i="17"/>
  <c r="G328" i="17"/>
  <c r="H328" i="17"/>
  <c r="I328" i="17"/>
  <c r="J328" i="17"/>
  <c r="K328" i="17"/>
  <c r="L328" i="17"/>
  <c r="M328" i="17"/>
  <c r="N328" i="17"/>
  <c r="O328" i="17"/>
  <c r="P328" i="17"/>
  <c r="Q328" i="17"/>
  <c r="R328" i="17"/>
  <c r="S328" i="17"/>
  <c r="T328" i="17"/>
  <c r="U328" i="17"/>
  <c r="V328" i="17"/>
  <c r="W328" i="17"/>
  <c r="X328" i="17"/>
  <c r="Y328" i="17"/>
  <c r="Z328" i="17"/>
  <c r="AA328" i="17"/>
  <c r="AB328" i="17"/>
  <c r="AC328" i="17"/>
  <c r="AD328" i="17"/>
  <c r="C329" i="17"/>
  <c r="D329" i="17"/>
  <c r="E329" i="17"/>
  <c r="F329" i="17"/>
  <c r="G329" i="17"/>
  <c r="H329" i="17"/>
  <c r="I329" i="17"/>
  <c r="J329" i="17"/>
  <c r="K329" i="17"/>
  <c r="L329" i="17"/>
  <c r="M329" i="17"/>
  <c r="N329" i="17"/>
  <c r="O329" i="17"/>
  <c r="P329" i="17"/>
  <c r="Q329" i="17"/>
  <c r="R329" i="17"/>
  <c r="S329" i="17"/>
  <c r="T329" i="17"/>
  <c r="U329" i="17"/>
  <c r="V329" i="17"/>
  <c r="W329" i="17"/>
  <c r="X329" i="17"/>
  <c r="Y329" i="17"/>
  <c r="Z329" i="17"/>
  <c r="AA329" i="17"/>
  <c r="AB329" i="17"/>
  <c r="AC329" i="17"/>
  <c r="AD329" i="17"/>
  <c r="C330" i="17"/>
  <c r="D330" i="17"/>
  <c r="E330" i="17"/>
  <c r="F330" i="17"/>
  <c r="G330" i="17"/>
  <c r="H330" i="17"/>
  <c r="I330" i="17"/>
  <c r="J330" i="17"/>
  <c r="K330" i="17"/>
  <c r="L330" i="17"/>
  <c r="M330" i="17"/>
  <c r="N330" i="17"/>
  <c r="O330" i="17"/>
  <c r="P330" i="17"/>
  <c r="Q330" i="17"/>
  <c r="R330" i="17"/>
  <c r="S330" i="17"/>
  <c r="T330" i="17"/>
  <c r="U330" i="17"/>
  <c r="V330" i="17"/>
  <c r="W330" i="17"/>
  <c r="X330" i="17"/>
  <c r="Y330" i="17"/>
  <c r="Z330" i="17"/>
  <c r="AA330" i="17"/>
  <c r="AB330" i="17"/>
  <c r="AC330" i="17"/>
  <c r="AD330" i="17"/>
  <c r="C331" i="17"/>
  <c r="D331" i="17"/>
  <c r="E331" i="17"/>
  <c r="F331" i="17"/>
  <c r="G331" i="17"/>
  <c r="H331" i="17"/>
  <c r="I331" i="17"/>
  <c r="J331" i="17"/>
  <c r="K331" i="17"/>
  <c r="L331" i="17"/>
  <c r="M331" i="17"/>
  <c r="N331" i="17"/>
  <c r="O331" i="17"/>
  <c r="P331" i="17"/>
  <c r="Q331" i="17"/>
  <c r="R331" i="17"/>
  <c r="S331" i="17"/>
  <c r="T331" i="17"/>
  <c r="U331" i="17"/>
  <c r="V331" i="17"/>
  <c r="W331" i="17"/>
  <c r="X331" i="17"/>
  <c r="Y331" i="17"/>
  <c r="Z331" i="17"/>
  <c r="AA331" i="17"/>
  <c r="AB331" i="17"/>
  <c r="AC331" i="17"/>
  <c r="AD331" i="17"/>
  <c r="C332" i="17"/>
  <c r="D332" i="17"/>
  <c r="E332" i="17"/>
  <c r="F332" i="17"/>
  <c r="G332" i="17"/>
  <c r="H332" i="17"/>
  <c r="I332" i="17"/>
  <c r="J332" i="17"/>
  <c r="K332" i="17"/>
  <c r="L332" i="17"/>
  <c r="M332" i="17"/>
  <c r="N332" i="17"/>
  <c r="O332" i="17"/>
  <c r="P332" i="17"/>
  <c r="Q332" i="17"/>
  <c r="R332" i="17"/>
  <c r="S332" i="17"/>
  <c r="T332" i="17"/>
  <c r="U332" i="17"/>
  <c r="V332" i="17"/>
  <c r="W332" i="17"/>
  <c r="X332" i="17"/>
  <c r="Y332" i="17"/>
  <c r="Z332" i="17"/>
  <c r="AA332" i="17"/>
  <c r="AB332" i="17"/>
  <c r="AC332" i="17"/>
  <c r="AD332" i="17"/>
  <c r="C333" i="17"/>
  <c r="D333" i="17"/>
  <c r="E333" i="17"/>
  <c r="F333" i="17"/>
  <c r="G333" i="17"/>
  <c r="H333" i="17"/>
  <c r="I333" i="17"/>
  <c r="J333" i="17"/>
  <c r="K333" i="17"/>
  <c r="L333" i="17"/>
  <c r="M333" i="17"/>
  <c r="N333" i="17"/>
  <c r="O333" i="17"/>
  <c r="P333" i="17"/>
  <c r="Q333" i="17"/>
  <c r="R333" i="17"/>
  <c r="S333" i="17"/>
  <c r="T333" i="17"/>
  <c r="U333" i="17"/>
  <c r="V333" i="17"/>
  <c r="W333" i="17"/>
  <c r="X333" i="17"/>
  <c r="Y333" i="17"/>
  <c r="Z333" i="17"/>
  <c r="AA333" i="17"/>
  <c r="AB333" i="17"/>
  <c r="AC333" i="17"/>
  <c r="AD333" i="17"/>
  <c r="C334" i="17"/>
  <c r="D334" i="17"/>
  <c r="E334" i="17"/>
  <c r="F334" i="17"/>
  <c r="G334" i="17"/>
  <c r="H334" i="17"/>
  <c r="I334" i="17"/>
  <c r="J334" i="17"/>
  <c r="K334" i="17"/>
  <c r="L334" i="17"/>
  <c r="M334" i="17"/>
  <c r="N334" i="17"/>
  <c r="O334" i="17"/>
  <c r="P334" i="17"/>
  <c r="Q334" i="17"/>
  <c r="R334" i="17"/>
  <c r="S334" i="17"/>
  <c r="T334" i="17"/>
  <c r="U334" i="17"/>
  <c r="V334" i="17"/>
  <c r="W334" i="17"/>
  <c r="X334" i="17"/>
  <c r="Y334" i="17"/>
  <c r="Z334" i="17"/>
  <c r="AA334" i="17"/>
  <c r="AB334" i="17"/>
  <c r="AC334" i="17"/>
  <c r="AD334" i="17"/>
  <c r="C335" i="17"/>
  <c r="D335" i="17"/>
  <c r="E335" i="17"/>
  <c r="F335" i="17"/>
  <c r="G335" i="17"/>
  <c r="H335" i="17"/>
  <c r="I335" i="17"/>
  <c r="J335" i="17"/>
  <c r="K335" i="17"/>
  <c r="L335" i="17"/>
  <c r="M335" i="17"/>
  <c r="N335" i="17"/>
  <c r="O335" i="17"/>
  <c r="P335" i="17"/>
  <c r="Q335" i="17"/>
  <c r="R335" i="17"/>
  <c r="S335" i="17"/>
  <c r="T335" i="17"/>
  <c r="U335" i="17"/>
  <c r="V335" i="17"/>
  <c r="W335" i="17"/>
  <c r="X335" i="17"/>
  <c r="Y335" i="17"/>
  <c r="Z335" i="17"/>
  <c r="AA335" i="17"/>
  <c r="AB335" i="17"/>
  <c r="AC335" i="17"/>
  <c r="AD335" i="17"/>
  <c r="C336" i="17"/>
  <c r="D336" i="17"/>
  <c r="E336" i="17"/>
  <c r="F336" i="17"/>
  <c r="G336" i="17"/>
  <c r="H336" i="17"/>
  <c r="I336" i="17"/>
  <c r="J336" i="17"/>
  <c r="K336" i="17"/>
  <c r="L336" i="17"/>
  <c r="M336" i="17"/>
  <c r="N336" i="17"/>
  <c r="O336" i="17"/>
  <c r="P336" i="17"/>
  <c r="Q336" i="17"/>
  <c r="R336" i="17"/>
  <c r="S336" i="17"/>
  <c r="T336" i="17"/>
  <c r="U336" i="17"/>
  <c r="V336" i="17"/>
  <c r="W336" i="17"/>
  <c r="X336" i="17"/>
  <c r="Y336" i="17"/>
  <c r="Z336" i="17"/>
  <c r="AA336" i="17"/>
  <c r="AB336" i="17"/>
  <c r="AC336" i="17"/>
  <c r="AD336" i="17"/>
  <c r="C337" i="17"/>
  <c r="D337" i="17"/>
  <c r="E337" i="17"/>
  <c r="F337" i="17"/>
  <c r="G337" i="17"/>
  <c r="H337" i="17"/>
  <c r="I337" i="17"/>
  <c r="J337" i="17"/>
  <c r="K337" i="17"/>
  <c r="L337" i="17"/>
  <c r="M337" i="17"/>
  <c r="N337" i="17"/>
  <c r="O337" i="17"/>
  <c r="P337" i="17"/>
  <c r="Q337" i="17"/>
  <c r="R337" i="17"/>
  <c r="S337" i="17"/>
  <c r="T337" i="17"/>
  <c r="U337" i="17"/>
  <c r="V337" i="17"/>
  <c r="W337" i="17"/>
  <c r="X337" i="17"/>
  <c r="Y337" i="17"/>
  <c r="Z337" i="17"/>
  <c r="AA337" i="17"/>
  <c r="AB337" i="17"/>
  <c r="AC337" i="17"/>
  <c r="AD337" i="17"/>
  <c r="C338" i="17"/>
  <c r="D338" i="17"/>
  <c r="E338" i="17"/>
  <c r="F338" i="17"/>
  <c r="G338" i="17"/>
  <c r="H338" i="17"/>
  <c r="I338" i="17"/>
  <c r="J338" i="17"/>
  <c r="K338" i="17"/>
  <c r="L338" i="17"/>
  <c r="M338" i="17"/>
  <c r="N338" i="17"/>
  <c r="O338" i="17"/>
  <c r="P338" i="17"/>
  <c r="Q338" i="17"/>
  <c r="R338" i="17"/>
  <c r="S338" i="17"/>
  <c r="T338" i="17"/>
  <c r="U338" i="17"/>
  <c r="V338" i="17"/>
  <c r="W338" i="17"/>
  <c r="X338" i="17"/>
  <c r="Y338" i="17"/>
  <c r="Z338" i="17"/>
  <c r="AA338" i="17"/>
  <c r="AB338" i="17"/>
  <c r="AC338" i="17"/>
  <c r="AD338" i="17"/>
  <c r="C339" i="17"/>
  <c r="D339" i="17"/>
  <c r="E339" i="17"/>
  <c r="F339" i="17"/>
  <c r="G339" i="17"/>
  <c r="H339" i="17"/>
  <c r="I339" i="17"/>
  <c r="J339" i="17"/>
  <c r="K339" i="17"/>
  <c r="L339" i="17"/>
  <c r="M339" i="17"/>
  <c r="N339" i="17"/>
  <c r="O339" i="17"/>
  <c r="P339" i="17"/>
  <c r="Q339" i="17"/>
  <c r="R339" i="17"/>
  <c r="S339" i="17"/>
  <c r="T339" i="17"/>
  <c r="U339" i="17"/>
  <c r="V339" i="17"/>
  <c r="W339" i="17"/>
  <c r="X339" i="17"/>
  <c r="Y339" i="17"/>
  <c r="Z339" i="17"/>
  <c r="AA339" i="17"/>
  <c r="AB339" i="17"/>
  <c r="AC339" i="17"/>
  <c r="AD339" i="17"/>
  <c r="C340" i="17"/>
  <c r="D340" i="17"/>
  <c r="E340" i="17"/>
  <c r="F340" i="17"/>
  <c r="G340" i="17"/>
  <c r="H340" i="17"/>
  <c r="I340" i="17"/>
  <c r="J340" i="17"/>
  <c r="K340" i="17"/>
  <c r="L340" i="17"/>
  <c r="M340" i="17"/>
  <c r="N340" i="17"/>
  <c r="O340" i="17"/>
  <c r="P340" i="17"/>
  <c r="Q340" i="17"/>
  <c r="R340" i="17"/>
  <c r="S340" i="17"/>
  <c r="T340" i="17"/>
  <c r="U340" i="17"/>
  <c r="V340" i="17"/>
  <c r="W340" i="17"/>
  <c r="X340" i="17"/>
  <c r="Y340" i="17"/>
  <c r="Z340" i="17"/>
  <c r="AA340" i="17"/>
  <c r="AB340" i="17"/>
  <c r="AC340" i="17"/>
  <c r="AD340" i="17"/>
  <c r="C341" i="17"/>
  <c r="D341" i="17"/>
  <c r="E341" i="17"/>
  <c r="F341" i="17"/>
  <c r="G341" i="17"/>
  <c r="H341" i="17"/>
  <c r="I341" i="17"/>
  <c r="J341" i="17"/>
  <c r="K341" i="17"/>
  <c r="L341" i="17"/>
  <c r="M341" i="17"/>
  <c r="N341" i="17"/>
  <c r="O341" i="17"/>
  <c r="P341" i="17"/>
  <c r="Q341" i="17"/>
  <c r="R341" i="17"/>
  <c r="S341" i="17"/>
  <c r="T341" i="17"/>
  <c r="U341" i="17"/>
  <c r="V341" i="17"/>
  <c r="W341" i="17"/>
  <c r="X341" i="17"/>
  <c r="Y341" i="17"/>
  <c r="Z341" i="17"/>
  <c r="AA341" i="17"/>
  <c r="AB341" i="17"/>
  <c r="AC341" i="17"/>
  <c r="AD341" i="17"/>
  <c r="C342" i="17"/>
  <c r="D342" i="17"/>
  <c r="E342" i="17"/>
  <c r="F342" i="17"/>
  <c r="G342" i="17"/>
  <c r="H342" i="17"/>
  <c r="I342" i="17"/>
  <c r="J342" i="17"/>
  <c r="K342" i="17"/>
  <c r="L342" i="17"/>
  <c r="M342" i="17"/>
  <c r="N342" i="17"/>
  <c r="O342" i="17"/>
  <c r="P342" i="17"/>
  <c r="Q342" i="17"/>
  <c r="R342" i="17"/>
  <c r="S342" i="17"/>
  <c r="T342" i="17"/>
  <c r="U342" i="17"/>
  <c r="V342" i="17"/>
  <c r="W342" i="17"/>
  <c r="X342" i="17"/>
  <c r="Y342" i="17"/>
  <c r="Z342" i="17"/>
  <c r="AA342" i="17"/>
  <c r="AB342" i="17"/>
  <c r="AC342" i="17"/>
  <c r="AD342" i="17"/>
  <c r="C343" i="17"/>
  <c r="D343" i="17"/>
  <c r="E343" i="17"/>
  <c r="F343" i="17"/>
  <c r="G343" i="17"/>
  <c r="H343" i="17"/>
  <c r="I343" i="17"/>
  <c r="J343" i="17"/>
  <c r="K343" i="17"/>
  <c r="L343" i="17"/>
  <c r="M343" i="17"/>
  <c r="N343" i="17"/>
  <c r="O343" i="17"/>
  <c r="P343" i="17"/>
  <c r="Q343" i="17"/>
  <c r="R343" i="17"/>
  <c r="S343" i="17"/>
  <c r="T343" i="17"/>
  <c r="U343" i="17"/>
  <c r="V343" i="17"/>
  <c r="W343" i="17"/>
  <c r="X343" i="17"/>
  <c r="Y343" i="17"/>
  <c r="Z343" i="17"/>
  <c r="AA343" i="17"/>
  <c r="AB343" i="17"/>
  <c r="AC343" i="17"/>
  <c r="AD343" i="17"/>
  <c r="C344" i="17"/>
  <c r="D344" i="17"/>
  <c r="E344" i="17"/>
  <c r="F344" i="17"/>
  <c r="G344" i="17"/>
  <c r="H344" i="17"/>
  <c r="I344" i="17"/>
  <c r="J344" i="17"/>
  <c r="K344" i="17"/>
  <c r="L344" i="17"/>
  <c r="M344" i="17"/>
  <c r="N344" i="17"/>
  <c r="O344" i="17"/>
  <c r="P344" i="17"/>
  <c r="Q344" i="17"/>
  <c r="R344" i="17"/>
  <c r="S344" i="17"/>
  <c r="T344" i="17"/>
  <c r="U344" i="17"/>
  <c r="V344" i="17"/>
  <c r="W344" i="17"/>
  <c r="X344" i="17"/>
  <c r="Y344" i="17"/>
  <c r="Z344" i="17"/>
  <c r="AA344" i="17"/>
  <c r="AB344" i="17"/>
  <c r="AC344" i="17"/>
  <c r="AD344" i="17"/>
  <c r="C345" i="17"/>
  <c r="D345" i="17"/>
  <c r="E345" i="17"/>
  <c r="F345" i="17"/>
  <c r="G345" i="17"/>
  <c r="H345" i="17"/>
  <c r="I345" i="17"/>
  <c r="J345" i="17"/>
  <c r="K345" i="17"/>
  <c r="L345" i="17"/>
  <c r="M345" i="17"/>
  <c r="N345" i="17"/>
  <c r="O345" i="17"/>
  <c r="P345" i="17"/>
  <c r="Q345" i="17"/>
  <c r="R345" i="17"/>
  <c r="S345" i="17"/>
  <c r="T345" i="17"/>
  <c r="U345" i="17"/>
  <c r="V345" i="17"/>
  <c r="W345" i="17"/>
  <c r="X345" i="17"/>
  <c r="Y345" i="17"/>
  <c r="Z345" i="17"/>
  <c r="AA345" i="17"/>
  <c r="AB345" i="17"/>
  <c r="AC345" i="17"/>
  <c r="AD345" i="17"/>
  <c r="C346" i="17"/>
  <c r="D346" i="17"/>
  <c r="E346" i="17"/>
  <c r="F346" i="17"/>
  <c r="G346" i="17"/>
  <c r="H346" i="17"/>
  <c r="I346" i="17"/>
  <c r="J346" i="17"/>
  <c r="K346" i="17"/>
  <c r="L346" i="17"/>
  <c r="M346" i="17"/>
  <c r="N346" i="17"/>
  <c r="O346" i="17"/>
  <c r="P346" i="17"/>
  <c r="Q346" i="17"/>
  <c r="R346" i="17"/>
  <c r="S346" i="17"/>
  <c r="T346" i="17"/>
  <c r="U346" i="17"/>
  <c r="V346" i="17"/>
  <c r="W346" i="17"/>
  <c r="X346" i="17"/>
  <c r="Y346" i="17"/>
  <c r="Z346" i="17"/>
  <c r="AA346" i="17"/>
  <c r="AB346" i="17"/>
  <c r="AC346" i="17"/>
  <c r="AD346" i="17"/>
  <c r="C347" i="17"/>
  <c r="D347" i="17"/>
  <c r="E347" i="17"/>
  <c r="F347" i="17"/>
  <c r="G347" i="17"/>
  <c r="H347" i="17"/>
  <c r="I347" i="17"/>
  <c r="J347" i="17"/>
  <c r="K347" i="17"/>
  <c r="L347" i="17"/>
  <c r="M347" i="17"/>
  <c r="N347" i="17"/>
  <c r="O347" i="17"/>
  <c r="P347" i="17"/>
  <c r="Q347" i="17"/>
  <c r="R347" i="17"/>
  <c r="S347" i="17"/>
  <c r="T347" i="17"/>
  <c r="U347" i="17"/>
  <c r="V347" i="17"/>
  <c r="W347" i="17"/>
  <c r="X347" i="17"/>
  <c r="Y347" i="17"/>
  <c r="Z347" i="17"/>
  <c r="AA347" i="17"/>
  <c r="AB347" i="17"/>
  <c r="AC347" i="17"/>
  <c r="AD347" i="17"/>
  <c r="C348" i="17"/>
  <c r="D348" i="17"/>
  <c r="E348" i="17"/>
  <c r="F348" i="17"/>
  <c r="G348" i="17"/>
  <c r="H348" i="17"/>
  <c r="I348" i="17"/>
  <c r="J348" i="17"/>
  <c r="K348" i="17"/>
  <c r="L348" i="17"/>
  <c r="M348" i="17"/>
  <c r="N348" i="17"/>
  <c r="O348" i="17"/>
  <c r="P348" i="17"/>
  <c r="Q348" i="17"/>
  <c r="R348" i="17"/>
  <c r="S348" i="17"/>
  <c r="T348" i="17"/>
  <c r="U348" i="17"/>
  <c r="V348" i="17"/>
  <c r="W348" i="17"/>
  <c r="X348" i="17"/>
  <c r="Y348" i="17"/>
  <c r="Z348" i="17"/>
  <c r="AA348" i="17"/>
  <c r="AB348" i="17"/>
  <c r="AC348" i="17"/>
  <c r="AD348" i="17"/>
  <c r="C349" i="17"/>
  <c r="D349" i="17"/>
  <c r="E349" i="17"/>
  <c r="F349" i="17"/>
  <c r="G349" i="17"/>
  <c r="H349" i="17"/>
  <c r="I349" i="17"/>
  <c r="J349" i="17"/>
  <c r="K349" i="17"/>
  <c r="L349" i="17"/>
  <c r="M349" i="17"/>
  <c r="N349" i="17"/>
  <c r="O349" i="17"/>
  <c r="P349" i="17"/>
  <c r="Q349" i="17"/>
  <c r="R349" i="17"/>
  <c r="S349" i="17"/>
  <c r="T349" i="17"/>
  <c r="U349" i="17"/>
  <c r="V349" i="17"/>
  <c r="W349" i="17"/>
  <c r="X349" i="17"/>
  <c r="Y349" i="17"/>
  <c r="Z349" i="17"/>
  <c r="AA349" i="17"/>
  <c r="AB349" i="17"/>
  <c r="AC349" i="17"/>
  <c r="AD349" i="17"/>
  <c r="C350" i="17"/>
  <c r="D350" i="17"/>
  <c r="E350" i="17"/>
  <c r="F350" i="17"/>
  <c r="G350" i="17"/>
  <c r="H350" i="17"/>
  <c r="I350" i="17"/>
  <c r="J350" i="17"/>
  <c r="K350" i="17"/>
  <c r="L350" i="17"/>
  <c r="M350" i="17"/>
  <c r="N350" i="17"/>
  <c r="O350" i="17"/>
  <c r="P350" i="17"/>
  <c r="Q350" i="17"/>
  <c r="R350" i="17"/>
  <c r="S350" i="17"/>
  <c r="T350" i="17"/>
  <c r="U350" i="17"/>
  <c r="V350" i="17"/>
  <c r="W350" i="17"/>
  <c r="X350" i="17"/>
  <c r="Y350" i="17"/>
  <c r="Z350" i="17"/>
  <c r="AA350" i="17"/>
  <c r="AB350" i="17"/>
  <c r="AC350" i="17"/>
  <c r="AD350" i="17"/>
  <c r="C351" i="17"/>
  <c r="D351" i="17"/>
  <c r="E351" i="17"/>
  <c r="F351" i="17"/>
  <c r="G351" i="17"/>
  <c r="H351" i="17"/>
  <c r="I351" i="17"/>
  <c r="J351" i="17"/>
  <c r="K351" i="17"/>
  <c r="L351" i="17"/>
  <c r="M351" i="17"/>
  <c r="N351" i="17"/>
  <c r="O351" i="17"/>
  <c r="P351" i="17"/>
  <c r="Q351" i="17"/>
  <c r="R351" i="17"/>
  <c r="S351" i="17"/>
  <c r="T351" i="17"/>
  <c r="U351" i="17"/>
  <c r="V351" i="17"/>
  <c r="W351" i="17"/>
  <c r="X351" i="17"/>
  <c r="Y351" i="17"/>
  <c r="Z351" i="17"/>
  <c r="AA351" i="17"/>
  <c r="AB351" i="17"/>
  <c r="AC351" i="17"/>
  <c r="AD351" i="17"/>
  <c r="C352" i="17"/>
  <c r="D352" i="17"/>
  <c r="E352" i="17"/>
  <c r="F352" i="17"/>
  <c r="G352" i="17"/>
  <c r="H352" i="17"/>
  <c r="I352" i="17"/>
  <c r="J352" i="17"/>
  <c r="K352" i="17"/>
  <c r="L352" i="17"/>
  <c r="M352" i="17"/>
  <c r="N352" i="17"/>
  <c r="O352" i="17"/>
  <c r="P352" i="17"/>
  <c r="Q352" i="17"/>
  <c r="R352" i="17"/>
  <c r="S352" i="17"/>
  <c r="T352" i="17"/>
  <c r="U352" i="17"/>
  <c r="V352" i="17"/>
  <c r="W352" i="17"/>
  <c r="X352" i="17"/>
  <c r="Y352" i="17"/>
  <c r="Z352" i="17"/>
  <c r="AA352" i="17"/>
  <c r="AB352" i="17"/>
  <c r="AC352" i="17"/>
  <c r="AD352" i="17"/>
  <c r="C353" i="17"/>
  <c r="D353" i="17"/>
  <c r="E353" i="17"/>
  <c r="F353" i="17"/>
  <c r="G353" i="17"/>
  <c r="H353" i="17"/>
  <c r="I353" i="17"/>
  <c r="J353" i="17"/>
  <c r="K353" i="17"/>
  <c r="L353" i="17"/>
  <c r="M353" i="17"/>
  <c r="N353" i="17"/>
  <c r="O353" i="17"/>
  <c r="P353" i="17"/>
  <c r="Q353" i="17"/>
  <c r="R353" i="17"/>
  <c r="S353" i="17"/>
  <c r="T353" i="17"/>
  <c r="U353" i="17"/>
  <c r="V353" i="17"/>
  <c r="W353" i="17"/>
  <c r="X353" i="17"/>
  <c r="Y353" i="17"/>
  <c r="Z353" i="17"/>
  <c r="AA353" i="17"/>
  <c r="AB353" i="17"/>
  <c r="AC353" i="17"/>
  <c r="AD353" i="17"/>
  <c r="C354" i="17"/>
  <c r="D354" i="17"/>
  <c r="E354" i="17"/>
  <c r="F354" i="17"/>
  <c r="G354" i="17"/>
  <c r="H354" i="17"/>
  <c r="I354" i="17"/>
  <c r="J354" i="17"/>
  <c r="K354" i="17"/>
  <c r="L354" i="17"/>
  <c r="M354" i="17"/>
  <c r="N354" i="17"/>
  <c r="O354" i="17"/>
  <c r="P354" i="17"/>
  <c r="Q354" i="17"/>
  <c r="R354" i="17"/>
  <c r="S354" i="17"/>
  <c r="T354" i="17"/>
  <c r="U354" i="17"/>
  <c r="V354" i="17"/>
  <c r="W354" i="17"/>
  <c r="X354" i="17"/>
  <c r="Y354" i="17"/>
  <c r="Z354" i="17"/>
  <c r="AA354" i="17"/>
  <c r="AB354" i="17"/>
  <c r="AC354" i="17"/>
  <c r="AD354" i="17"/>
  <c r="C355" i="17"/>
  <c r="D355" i="17"/>
  <c r="E355" i="17"/>
  <c r="F355" i="17"/>
  <c r="G355" i="17"/>
  <c r="H355" i="17"/>
  <c r="I355" i="17"/>
  <c r="J355" i="17"/>
  <c r="K355" i="17"/>
  <c r="L355" i="17"/>
  <c r="M355" i="17"/>
  <c r="N355" i="17"/>
  <c r="O355" i="17"/>
  <c r="P355" i="17"/>
  <c r="Q355" i="17"/>
  <c r="R355" i="17"/>
  <c r="S355" i="17"/>
  <c r="T355" i="17"/>
  <c r="U355" i="17"/>
  <c r="V355" i="17"/>
  <c r="W355" i="17"/>
  <c r="X355" i="17"/>
  <c r="Y355" i="17"/>
  <c r="Z355" i="17"/>
  <c r="AA355" i="17"/>
  <c r="AB355" i="17"/>
  <c r="AC355" i="17"/>
  <c r="AD355" i="17"/>
  <c r="C356" i="17"/>
  <c r="D356" i="17"/>
  <c r="E356" i="17"/>
  <c r="F356" i="17"/>
  <c r="G356" i="17"/>
  <c r="H356" i="17"/>
  <c r="I356" i="17"/>
  <c r="J356" i="17"/>
  <c r="K356" i="17"/>
  <c r="L356" i="17"/>
  <c r="M356" i="17"/>
  <c r="N356" i="17"/>
  <c r="O356" i="17"/>
  <c r="P356" i="17"/>
  <c r="Q356" i="17"/>
  <c r="R356" i="17"/>
  <c r="S356" i="17"/>
  <c r="T356" i="17"/>
  <c r="U356" i="17"/>
  <c r="V356" i="17"/>
  <c r="W356" i="17"/>
  <c r="X356" i="17"/>
  <c r="Y356" i="17"/>
  <c r="Z356" i="17"/>
  <c r="AA356" i="17"/>
  <c r="AB356" i="17"/>
  <c r="AC356" i="17"/>
  <c r="AD356" i="17"/>
  <c r="C357" i="17"/>
  <c r="D357" i="17"/>
  <c r="E357" i="17"/>
  <c r="F357" i="17"/>
  <c r="G357" i="17"/>
  <c r="H357" i="17"/>
  <c r="I357" i="17"/>
  <c r="J357" i="17"/>
  <c r="K357" i="17"/>
  <c r="L357" i="17"/>
  <c r="M357" i="17"/>
  <c r="N357" i="17"/>
  <c r="O357" i="17"/>
  <c r="P357" i="17"/>
  <c r="Q357" i="17"/>
  <c r="R357" i="17"/>
  <c r="S357" i="17"/>
  <c r="T357" i="17"/>
  <c r="U357" i="17"/>
  <c r="V357" i="17"/>
  <c r="W357" i="17"/>
  <c r="X357" i="17"/>
  <c r="Y357" i="17"/>
  <c r="Z357" i="17"/>
  <c r="AA357" i="17"/>
  <c r="AB357" i="17"/>
  <c r="AC357" i="17"/>
  <c r="AD357" i="17"/>
  <c r="C358" i="17"/>
  <c r="D358" i="17"/>
  <c r="E358" i="17"/>
  <c r="F358" i="17"/>
  <c r="G358" i="17"/>
  <c r="H358" i="17"/>
  <c r="I358" i="17"/>
  <c r="J358" i="17"/>
  <c r="K358" i="17"/>
  <c r="L358" i="17"/>
  <c r="M358" i="17"/>
  <c r="N358" i="17"/>
  <c r="O358" i="17"/>
  <c r="P358" i="17"/>
  <c r="Q358" i="17"/>
  <c r="R358" i="17"/>
  <c r="S358" i="17"/>
  <c r="T358" i="17"/>
  <c r="U358" i="17"/>
  <c r="V358" i="17"/>
  <c r="W358" i="17"/>
  <c r="X358" i="17"/>
  <c r="Y358" i="17"/>
  <c r="Z358" i="17"/>
  <c r="AA358" i="17"/>
  <c r="AB358" i="17"/>
  <c r="AC358" i="17"/>
  <c r="AD358" i="17"/>
  <c r="C359" i="17"/>
  <c r="D359" i="17"/>
  <c r="E359" i="17"/>
  <c r="F359" i="17"/>
  <c r="G359" i="17"/>
  <c r="H359" i="17"/>
  <c r="I359" i="17"/>
  <c r="J359" i="17"/>
  <c r="K359" i="17"/>
  <c r="L359" i="17"/>
  <c r="M359" i="17"/>
  <c r="N359" i="17"/>
  <c r="O359" i="17"/>
  <c r="P359" i="17"/>
  <c r="Q359" i="17"/>
  <c r="R359" i="17"/>
  <c r="S359" i="17"/>
  <c r="T359" i="17"/>
  <c r="U359" i="17"/>
  <c r="V359" i="17"/>
  <c r="W359" i="17"/>
  <c r="X359" i="17"/>
  <c r="Y359" i="17"/>
  <c r="Z359" i="17"/>
  <c r="AA359" i="17"/>
  <c r="AB359" i="17"/>
  <c r="AC359" i="17"/>
  <c r="AD359" i="17"/>
  <c r="C360" i="17"/>
  <c r="D360" i="17"/>
  <c r="E360" i="17"/>
  <c r="F360" i="17"/>
  <c r="G360" i="17"/>
  <c r="H360" i="17"/>
  <c r="I360" i="17"/>
  <c r="J360" i="17"/>
  <c r="K360" i="17"/>
  <c r="L360" i="17"/>
  <c r="M360" i="17"/>
  <c r="N360" i="17"/>
  <c r="O360" i="17"/>
  <c r="P360" i="17"/>
  <c r="Q360" i="17"/>
  <c r="R360" i="17"/>
  <c r="S360" i="17"/>
  <c r="T360" i="17"/>
  <c r="U360" i="17"/>
  <c r="V360" i="17"/>
  <c r="W360" i="17"/>
  <c r="X360" i="17"/>
  <c r="Y360" i="17"/>
  <c r="Z360" i="17"/>
  <c r="AA360" i="17"/>
  <c r="AB360" i="17"/>
  <c r="AC360" i="17"/>
  <c r="AD360" i="17"/>
  <c r="C361" i="17"/>
  <c r="D361" i="17"/>
  <c r="E361" i="17"/>
  <c r="F361" i="17"/>
  <c r="G361" i="17"/>
  <c r="H361" i="17"/>
  <c r="I361" i="17"/>
  <c r="J361" i="17"/>
  <c r="K361" i="17"/>
  <c r="L361" i="17"/>
  <c r="M361" i="17"/>
  <c r="N361" i="17"/>
  <c r="O361" i="17"/>
  <c r="P361" i="17"/>
  <c r="Q361" i="17"/>
  <c r="R361" i="17"/>
  <c r="S361" i="17"/>
  <c r="T361" i="17"/>
  <c r="U361" i="17"/>
  <c r="V361" i="17"/>
  <c r="W361" i="17"/>
  <c r="X361" i="17"/>
  <c r="Y361" i="17"/>
  <c r="Z361" i="17"/>
  <c r="AA361" i="17"/>
  <c r="AB361" i="17"/>
  <c r="AC361" i="17"/>
  <c r="AD361" i="17"/>
  <c r="C362" i="17"/>
  <c r="D362" i="17"/>
  <c r="E362" i="17"/>
  <c r="F362" i="17"/>
  <c r="G362" i="17"/>
  <c r="H362" i="17"/>
  <c r="I362" i="17"/>
  <c r="J362" i="17"/>
  <c r="K362" i="17"/>
  <c r="L362" i="17"/>
  <c r="M362" i="17"/>
  <c r="N362" i="17"/>
  <c r="O362" i="17"/>
  <c r="P362" i="17"/>
  <c r="Q362" i="17"/>
  <c r="R362" i="17"/>
  <c r="S362" i="17"/>
  <c r="T362" i="17"/>
  <c r="U362" i="17"/>
  <c r="V362" i="17"/>
  <c r="W362" i="17"/>
  <c r="X362" i="17"/>
  <c r="Y362" i="17"/>
  <c r="Z362" i="17"/>
  <c r="AA362" i="17"/>
  <c r="AB362" i="17"/>
  <c r="AC362" i="17"/>
  <c r="AD362" i="17"/>
  <c r="C363" i="17"/>
  <c r="D363" i="17"/>
  <c r="E363" i="17"/>
  <c r="F363" i="17"/>
  <c r="G363" i="17"/>
  <c r="H363" i="17"/>
  <c r="I363" i="17"/>
  <c r="J363" i="17"/>
  <c r="K363" i="17"/>
  <c r="L363" i="17"/>
  <c r="M363" i="17"/>
  <c r="N363" i="17"/>
  <c r="O363" i="17"/>
  <c r="P363" i="17"/>
  <c r="Q363" i="17"/>
  <c r="R363" i="17"/>
  <c r="S363" i="17"/>
  <c r="T363" i="17"/>
  <c r="U363" i="17"/>
  <c r="V363" i="17"/>
  <c r="W363" i="17"/>
  <c r="X363" i="17"/>
  <c r="Y363" i="17"/>
  <c r="Z363" i="17"/>
  <c r="AA363" i="17"/>
  <c r="AB363" i="17"/>
  <c r="AC363" i="17"/>
  <c r="AD363" i="17"/>
  <c r="C364" i="17"/>
  <c r="D364" i="17"/>
  <c r="E364" i="17"/>
  <c r="F364" i="17"/>
  <c r="G364" i="17"/>
  <c r="H364" i="17"/>
  <c r="I364" i="17"/>
  <c r="J364" i="17"/>
  <c r="K364" i="17"/>
  <c r="L364" i="17"/>
  <c r="M364" i="17"/>
  <c r="N364" i="17"/>
  <c r="O364" i="17"/>
  <c r="P364" i="17"/>
  <c r="Q364" i="17"/>
  <c r="R364" i="17"/>
  <c r="S364" i="17"/>
  <c r="T364" i="17"/>
  <c r="U364" i="17"/>
  <c r="V364" i="17"/>
  <c r="W364" i="17"/>
  <c r="X364" i="17"/>
  <c r="Y364" i="17"/>
  <c r="Z364" i="17"/>
  <c r="AA364" i="17"/>
  <c r="AB364" i="17"/>
  <c r="AC364" i="17"/>
  <c r="AD364" i="17"/>
  <c r="C365" i="17"/>
  <c r="D365" i="17"/>
  <c r="E365" i="17"/>
  <c r="F365" i="17"/>
  <c r="G365" i="17"/>
  <c r="H365" i="17"/>
  <c r="I365" i="17"/>
  <c r="J365" i="17"/>
  <c r="K365" i="17"/>
  <c r="L365" i="17"/>
  <c r="M365" i="17"/>
  <c r="N365" i="17"/>
  <c r="O365" i="17"/>
  <c r="P365" i="17"/>
  <c r="Q365" i="17"/>
  <c r="R365" i="17"/>
  <c r="S365" i="17"/>
  <c r="T365" i="17"/>
  <c r="U365" i="17"/>
  <c r="V365" i="17"/>
  <c r="W365" i="17"/>
  <c r="X365" i="17"/>
  <c r="Y365" i="17"/>
  <c r="Z365" i="17"/>
  <c r="AA365" i="17"/>
  <c r="AB365" i="17"/>
  <c r="AC365" i="17"/>
  <c r="AD365" i="17"/>
  <c r="C366" i="17"/>
  <c r="D366" i="17"/>
  <c r="E366" i="17"/>
  <c r="F366" i="17"/>
  <c r="G366" i="17"/>
  <c r="H366" i="17"/>
  <c r="I366" i="17"/>
  <c r="J366" i="17"/>
  <c r="K366" i="17"/>
  <c r="L366" i="17"/>
  <c r="M366" i="17"/>
  <c r="N366" i="17"/>
  <c r="O366" i="17"/>
  <c r="P366" i="17"/>
  <c r="Q366" i="17"/>
  <c r="R366" i="17"/>
  <c r="S366" i="17"/>
  <c r="T366" i="17"/>
  <c r="U366" i="17"/>
  <c r="V366" i="17"/>
  <c r="W366" i="17"/>
  <c r="X366" i="17"/>
  <c r="Y366" i="17"/>
  <c r="Z366" i="17"/>
  <c r="AA366" i="17"/>
  <c r="AB366" i="17"/>
  <c r="AC366" i="17"/>
  <c r="AD366" i="17"/>
  <c r="C367" i="17"/>
  <c r="D367" i="17"/>
  <c r="E367" i="17"/>
  <c r="F367" i="17"/>
  <c r="G367" i="17"/>
  <c r="H367" i="17"/>
  <c r="I367" i="17"/>
  <c r="J367" i="17"/>
  <c r="K367" i="17"/>
  <c r="L367" i="17"/>
  <c r="M367" i="17"/>
  <c r="N367" i="17"/>
  <c r="O367" i="17"/>
  <c r="P367" i="17"/>
  <c r="Q367" i="17"/>
  <c r="R367" i="17"/>
  <c r="S367" i="17"/>
  <c r="T367" i="17"/>
  <c r="U367" i="17"/>
  <c r="V367" i="17"/>
  <c r="W367" i="17"/>
  <c r="X367" i="17"/>
  <c r="Y367" i="17"/>
  <c r="Z367" i="17"/>
  <c r="AA367" i="17"/>
  <c r="AB367" i="17"/>
  <c r="AC367" i="17"/>
  <c r="AD367" i="17"/>
  <c r="C368" i="17"/>
  <c r="D368" i="17"/>
  <c r="E368" i="17"/>
  <c r="F368" i="17"/>
  <c r="G368" i="17"/>
  <c r="H368" i="17"/>
  <c r="I368" i="17"/>
  <c r="J368" i="17"/>
  <c r="K368" i="17"/>
  <c r="L368" i="17"/>
  <c r="M368" i="17"/>
  <c r="N368" i="17"/>
  <c r="O368" i="17"/>
  <c r="P368" i="17"/>
  <c r="Q368" i="17"/>
  <c r="R368" i="17"/>
  <c r="S368" i="17"/>
  <c r="T368" i="17"/>
  <c r="U368" i="17"/>
  <c r="V368" i="17"/>
  <c r="W368" i="17"/>
  <c r="X368" i="17"/>
  <c r="Y368" i="17"/>
  <c r="Z368" i="17"/>
  <c r="AA368" i="17"/>
  <c r="AB368" i="17"/>
  <c r="AC368" i="17"/>
  <c r="AD368" i="17"/>
  <c r="C369" i="17"/>
  <c r="D369" i="17"/>
  <c r="E369" i="17"/>
  <c r="F369" i="17"/>
  <c r="G369" i="17"/>
  <c r="H369" i="17"/>
  <c r="I369" i="17"/>
  <c r="J369" i="17"/>
  <c r="K369" i="17"/>
  <c r="L369" i="17"/>
  <c r="M369" i="17"/>
  <c r="N369" i="17"/>
  <c r="O369" i="17"/>
  <c r="P369" i="17"/>
  <c r="Q369" i="17"/>
  <c r="R369" i="17"/>
  <c r="S369" i="17"/>
  <c r="T369" i="17"/>
  <c r="U369" i="17"/>
  <c r="V369" i="17"/>
  <c r="W369" i="17"/>
  <c r="X369" i="17"/>
  <c r="Y369" i="17"/>
  <c r="Z369" i="17"/>
  <c r="AA369" i="17"/>
  <c r="AB369" i="17"/>
  <c r="AC369" i="17"/>
  <c r="AD369" i="17"/>
  <c r="C370" i="17"/>
  <c r="D370" i="17"/>
  <c r="E370" i="17"/>
  <c r="F370" i="17"/>
  <c r="G370" i="17"/>
  <c r="H370" i="17"/>
  <c r="I370" i="17"/>
  <c r="J370" i="17"/>
  <c r="K370" i="17"/>
  <c r="L370" i="17"/>
  <c r="M370" i="17"/>
  <c r="N370" i="17"/>
  <c r="O370" i="17"/>
  <c r="P370" i="17"/>
  <c r="Q370" i="17"/>
  <c r="R370" i="17"/>
  <c r="S370" i="17"/>
  <c r="T370" i="17"/>
  <c r="U370" i="17"/>
  <c r="V370" i="17"/>
  <c r="W370" i="17"/>
  <c r="X370" i="17"/>
  <c r="Y370" i="17"/>
  <c r="Z370" i="17"/>
  <c r="AA370" i="17"/>
  <c r="AB370" i="17"/>
  <c r="AC370" i="17"/>
  <c r="AD370" i="17"/>
  <c r="C371" i="17"/>
  <c r="D371" i="17"/>
  <c r="E371" i="17"/>
  <c r="F371" i="17"/>
  <c r="G371" i="17"/>
  <c r="H371" i="17"/>
  <c r="I371" i="17"/>
  <c r="J371" i="17"/>
  <c r="K371" i="17"/>
  <c r="L371" i="17"/>
  <c r="M371" i="17"/>
  <c r="N371" i="17"/>
  <c r="O371" i="17"/>
  <c r="P371" i="17"/>
  <c r="Q371" i="17"/>
  <c r="R371" i="17"/>
  <c r="S371" i="17"/>
  <c r="T371" i="17"/>
  <c r="U371" i="17"/>
  <c r="V371" i="17"/>
  <c r="W371" i="17"/>
  <c r="X371" i="17"/>
  <c r="Y371" i="17"/>
  <c r="Z371" i="17"/>
  <c r="AA371" i="17"/>
  <c r="AB371" i="17"/>
  <c r="AC371" i="17"/>
  <c r="AD371" i="17"/>
  <c r="C372" i="17"/>
  <c r="D372" i="17"/>
  <c r="E372" i="17"/>
  <c r="F372" i="17"/>
  <c r="G372" i="17"/>
  <c r="H372" i="17"/>
  <c r="I372" i="17"/>
  <c r="J372" i="17"/>
  <c r="K372" i="17"/>
  <c r="L372" i="17"/>
  <c r="M372" i="17"/>
  <c r="N372" i="17"/>
  <c r="O372" i="17"/>
  <c r="P372" i="17"/>
  <c r="Q372" i="17"/>
  <c r="R372" i="17"/>
  <c r="S372" i="17"/>
  <c r="T372" i="17"/>
  <c r="U372" i="17"/>
  <c r="V372" i="17"/>
  <c r="W372" i="17"/>
  <c r="X372" i="17"/>
  <c r="Y372" i="17"/>
  <c r="Z372" i="17"/>
  <c r="AA372" i="17"/>
  <c r="AB372" i="17"/>
  <c r="AC372" i="17"/>
  <c r="AD372" i="17"/>
  <c r="C373" i="17"/>
  <c r="D373" i="17"/>
  <c r="E373" i="17"/>
  <c r="F373" i="17"/>
  <c r="G373" i="17"/>
  <c r="H373" i="17"/>
  <c r="I373" i="17"/>
  <c r="J373" i="17"/>
  <c r="K373" i="17"/>
  <c r="L373" i="17"/>
  <c r="M373" i="17"/>
  <c r="N373" i="17"/>
  <c r="O373" i="17"/>
  <c r="P373" i="17"/>
  <c r="Q373" i="17"/>
  <c r="R373" i="17"/>
  <c r="S373" i="17"/>
  <c r="T373" i="17"/>
  <c r="U373" i="17"/>
  <c r="V373" i="17"/>
  <c r="W373" i="17"/>
  <c r="X373" i="17"/>
  <c r="Y373" i="17"/>
  <c r="Z373" i="17"/>
  <c r="AA373" i="17"/>
  <c r="AB373" i="17"/>
  <c r="AC373" i="17"/>
  <c r="AD373" i="17"/>
  <c r="C374" i="17"/>
  <c r="D374" i="17"/>
  <c r="E374" i="17"/>
  <c r="F374" i="17"/>
  <c r="G374" i="17"/>
  <c r="H374" i="17"/>
  <c r="I374" i="17"/>
  <c r="J374" i="17"/>
  <c r="K374" i="17"/>
  <c r="L374" i="17"/>
  <c r="M374" i="17"/>
  <c r="N374" i="17"/>
  <c r="O374" i="17"/>
  <c r="P374" i="17"/>
  <c r="Q374" i="17"/>
  <c r="R374" i="17"/>
  <c r="S374" i="17"/>
  <c r="T374" i="17"/>
  <c r="U374" i="17"/>
  <c r="V374" i="17"/>
  <c r="W374" i="17"/>
  <c r="X374" i="17"/>
  <c r="Y374" i="17"/>
  <c r="Z374" i="17"/>
  <c r="AA374" i="17"/>
  <c r="AB374" i="17"/>
  <c r="AC374" i="17"/>
  <c r="AD374" i="17"/>
  <c r="C375" i="17"/>
  <c r="D375" i="17"/>
  <c r="E375" i="17"/>
  <c r="F375" i="17"/>
  <c r="G375" i="17"/>
  <c r="H375" i="17"/>
  <c r="I375" i="17"/>
  <c r="J375" i="17"/>
  <c r="K375" i="17"/>
  <c r="L375" i="17"/>
  <c r="M375" i="17"/>
  <c r="N375" i="17"/>
  <c r="O375" i="17"/>
  <c r="P375" i="17"/>
  <c r="Q375" i="17"/>
  <c r="R375" i="17"/>
  <c r="S375" i="17"/>
  <c r="T375" i="17"/>
  <c r="U375" i="17"/>
  <c r="V375" i="17"/>
  <c r="W375" i="17"/>
  <c r="X375" i="17"/>
  <c r="Y375" i="17"/>
  <c r="Z375" i="17"/>
  <c r="AA375" i="17"/>
  <c r="AB375" i="17"/>
  <c r="AC375" i="17"/>
  <c r="AD375" i="17"/>
  <c r="C376" i="17"/>
  <c r="D376" i="17"/>
  <c r="E376" i="17"/>
  <c r="F376" i="17"/>
  <c r="G376" i="17"/>
  <c r="H376" i="17"/>
  <c r="I376" i="17"/>
  <c r="J376" i="17"/>
  <c r="K376" i="17"/>
  <c r="L376" i="17"/>
  <c r="M376" i="17"/>
  <c r="N376" i="17"/>
  <c r="O376" i="17"/>
  <c r="P376" i="17"/>
  <c r="Q376" i="17"/>
  <c r="R376" i="17"/>
  <c r="S376" i="17"/>
  <c r="T376" i="17"/>
  <c r="U376" i="17"/>
  <c r="V376" i="17"/>
  <c r="W376" i="17"/>
  <c r="X376" i="17"/>
  <c r="Y376" i="17"/>
  <c r="Z376" i="17"/>
  <c r="AA376" i="17"/>
  <c r="AB376" i="17"/>
  <c r="AC376" i="17"/>
  <c r="AD376" i="17"/>
  <c r="C377" i="17"/>
  <c r="D377" i="17"/>
  <c r="E377" i="17"/>
  <c r="F377" i="17"/>
  <c r="G377" i="17"/>
  <c r="H377" i="17"/>
  <c r="I377" i="17"/>
  <c r="J377" i="17"/>
  <c r="K377" i="17"/>
  <c r="L377" i="17"/>
  <c r="M377" i="17"/>
  <c r="N377" i="17"/>
  <c r="O377" i="17"/>
  <c r="P377" i="17"/>
  <c r="Q377" i="17"/>
  <c r="R377" i="17"/>
  <c r="S377" i="17"/>
  <c r="T377" i="17"/>
  <c r="U377" i="17"/>
  <c r="V377" i="17"/>
  <c r="W377" i="17"/>
  <c r="X377" i="17"/>
  <c r="Y377" i="17"/>
  <c r="Z377" i="17"/>
  <c r="AA377" i="17"/>
  <c r="AB377" i="17"/>
  <c r="AC377" i="17"/>
  <c r="AD377" i="17"/>
  <c r="C378" i="17"/>
  <c r="D378" i="17"/>
  <c r="E378" i="17"/>
  <c r="F378" i="17"/>
  <c r="G378" i="17"/>
  <c r="H378" i="17"/>
  <c r="I378" i="17"/>
  <c r="J378" i="17"/>
  <c r="K378" i="17"/>
  <c r="L378" i="17"/>
  <c r="M378" i="17"/>
  <c r="N378" i="17"/>
  <c r="O378" i="17"/>
  <c r="P378" i="17"/>
  <c r="Q378" i="17"/>
  <c r="R378" i="17"/>
  <c r="S378" i="17"/>
  <c r="T378" i="17"/>
  <c r="U378" i="17"/>
  <c r="V378" i="17"/>
  <c r="W378" i="17"/>
  <c r="X378" i="17"/>
  <c r="Y378" i="17"/>
  <c r="Z378" i="17"/>
  <c r="AA378" i="17"/>
  <c r="AB378" i="17"/>
  <c r="AC378" i="17"/>
  <c r="AD378" i="17"/>
  <c r="C379" i="17"/>
  <c r="D379" i="17"/>
  <c r="E379" i="17"/>
  <c r="F379" i="17"/>
  <c r="G379" i="17"/>
  <c r="H379" i="17"/>
  <c r="I379" i="17"/>
  <c r="J379" i="17"/>
  <c r="K379" i="17"/>
  <c r="L379" i="17"/>
  <c r="M379" i="17"/>
  <c r="N379" i="17"/>
  <c r="O379" i="17"/>
  <c r="P379" i="17"/>
  <c r="Q379" i="17"/>
  <c r="R379" i="17"/>
  <c r="S379" i="17"/>
  <c r="T379" i="17"/>
  <c r="U379" i="17"/>
  <c r="V379" i="17"/>
  <c r="W379" i="17"/>
  <c r="X379" i="17"/>
  <c r="Y379" i="17"/>
  <c r="Z379" i="17"/>
  <c r="AA379" i="17"/>
  <c r="AB379" i="17"/>
  <c r="AC379" i="17"/>
  <c r="AD379" i="17"/>
  <c r="C380" i="17"/>
  <c r="D380" i="17"/>
  <c r="E380" i="17"/>
  <c r="F380" i="17"/>
  <c r="G380" i="17"/>
  <c r="H380" i="17"/>
  <c r="I380" i="17"/>
  <c r="J380" i="17"/>
  <c r="K380" i="17"/>
  <c r="L380" i="17"/>
  <c r="M380" i="17"/>
  <c r="N380" i="17"/>
  <c r="O380" i="17"/>
  <c r="P380" i="17"/>
  <c r="Q380" i="17"/>
  <c r="R380" i="17"/>
  <c r="S380" i="17"/>
  <c r="T380" i="17"/>
  <c r="U380" i="17"/>
  <c r="V380" i="17"/>
  <c r="W380" i="17"/>
  <c r="X380" i="17"/>
  <c r="Y380" i="17"/>
  <c r="Z380" i="17"/>
  <c r="AA380" i="17"/>
  <c r="AB380" i="17"/>
  <c r="AC380" i="17"/>
  <c r="AD380" i="17"/>
  <c r="C381" i="17"/>
  <c r="D381" i="17"/>
  <c r="E381" i="17"/>
  <c r="F381" i="17"/>
  <c r="G381" i="17"/>
  <c r="H381" i="17"/>
  <c r="I381" i="17"/>
  <c r="J381" i="17"/>
  <c r="K381" i="17"/>
  <c r="L381" i="17"/>
  <c r="M381" i="17"/>
  <c r="N381" i="17"/>
  <c r="O381" i="17"/>
  <c r="P381" i="17"/>
  <c r="Q381" i="17"/>
  <c r="R381" i="17"/>
  <c r="S381" i="17"/>
  <c r="T381" i="17"/>
  <c r="U381" i="17"/>
  <c r="V381" i="17"/>
  <c r="W381" i="17"/>
  <c r="X381" i="17"/>
  <c r="Y381" i="17"/>
  <c r="Z381" i="17"/>
  <c r="AA381" i="17"/>
  <c r="AB381" i="17"/>
  <c r="AC381" i="17"/>
  <c r="AD381" i="17"/>
  <c r="C382" i="17"/>
  <c r="D382" i="17"/>
  <c r="E382" i="17"/>
  <c r="F382" i="17"/>
  <c r="G382" i="17"/>
  <c r="H382" i="17"/>
  <c r="I382" i="17"/>
  <c r="J382" i="17"/>
  <c r="K382" i="17"/>
  <c r="L382" i="17"/>
  <c r="M382" i="17"/>
  <c r="N382" i="17"/>
  <c r="O382" i="17"/>
  <c r="P382" i="17"/>
  <c r="Q382" i="17"/>
  <c r="R382" i="17"/>
  <c r="S382" i="17"/>
  <c r="T382" i="17"/>
  <c r="U382" i="17"/>
  <c r="V382" i="17"/>
  <c r="W382" i="17"/>
  <c r="X382" i="17"/>
  <c r="Y382" i="17"/>
  <c r="Z382" i="17"/>
  <c r="AA382" i="17"/>
  <c r="AB382" i="17"/>
  <c r="AC382" i="17"/>
  <c r="AD382" i="17"/>
  <c r="C383" i="17"/>
  <c r="D383" i="17"/>
  <c r="E383" i="17"/>
  <c r="F383" i="17"/>
  <c r="G383" i="17"/>
  <c r="H383" i="17"/>
  <c r="I383" i="17"/>
  <c r="J383" i="17"/>
  <c r="K383" i="17"/>
  <c r="L383" i="17"/>
  <c r="M383" i="17"/>
  <c r="N383" i="17"/>
  <c r="O383" i="17"/>
  <c r="P383" i="17"/>
  <c r="Q383" i="17"/>
  <c r="R383" i="17"/>
  <c r="S383" i="17"/>
  <c r="T383" i="17"/>
  <c r="U383" i="17"/>
  <c r="V383" i="17"/>
  <c r="W383" i="17"/>
  <c r="X383" i="17"/>
  <c r="Y383" i="17"/>
  <c r="Z383" i="17"/>
  <c r="AA383" i="17"/>
  <c r="AB383" i="17"/>
  <c r="AC383" i="17"/>
  <c r="AD383" i="17"/>
  <c r="C384" i="17"/>
  <c r="D384" i="17"/>
  <c r="E384" i="17"/>
  <c r="F384" i="17"/>
  <c r="G384" i="17"/>
  <c r="H384" i="17"/>
  <c r="I384" i="17"/>
  <c r="J384" i="17"/>
  <c r="K384" i="17"/>
  <c r="L384" i="17"/>
  <c r="M384" i="17"/>
  <c r="N384" i="17"/>
  <c r="O384" i="17"/>
  <c r="P384" i="17"/>
  <c r="Q384" i="17"/>
  <c r="R384" i="17"/>
  <c r="S384" i="17"/>
  <c r="T384" i="17"/>
  <c r="U384" i="17"/>
  <c r="V384" i="17"/>
  <c r="W384" i="17"/>
  <c r="X384" i="17"/>
  <c r="Y384" i="17"/>
  <c r="Z384" i="17"/>
  <c r="AA384" i="17"/>
  <c r="AB384" i="17"/>
  <c r="AC384" i="17"/>
  <c r="AD384" i="17"/>
  <c r="C385" i="17"/>
  <c r="D385" i="17"/>
  <c r="E385" i="17"/>
  <c r="F385" i="17"/>
  <c r="G385" i="17"/>
  <c r="H385" i="17"/>
  <c r="I385" i="17"/>
  <c r="J385" i="17"/>
  <c r="K385" i="17"/>
  <c r="L385" i="17"/>
  <c r="M385" i="17"/>
  <c r="N385" i="17"/>
  <c r="O385" i="17"/>
  <c r="P385" i="17"/>
  <c r="Q385" i="17"/>
  <c r="R385" i="17"/>
  <c r="S385" i="17"/>
  <c r="T385" i="17"/>
  <c r="U385" i="17"/>
  <c r="V385" i="17"/>
  <c r="W385" i="17"/>
  <c r="X385" i="17"/>
  <c r="Y385" i="17"/>
  <c r="Z385" i="17"/>
  <c r="AA385" i="17"/>
  <c r="AB385" i="17"/>
  <c r="AC385" i="17"/>
  <c r="AD385" i="17"/>
  <c r="C386" i="17"/>
  <c r="D386" i="17"/>
  <c r="E386" i="17"/>
  <c r="F386" i="17"/>
  <c r="G386" i="17"/>
  <c r="H386" i="17"/>
  <c r="I386" i="17"/>
  <c r="J386" i="17"/>
  <c r="K386" i="17"/>
  <c r="L386" i="17"/>
  <c r="M386" i="17"/>
  <c r="N386" i="17"/>
  <c r="O386" i="17"/>
  <c r="P386" i="17"/>
  <c r="Q386" i="17"/>
  <c r="R386" i="17"/>
  <c r="S386" i="17"/>
  <c r="T386" i="17"/>
  <c r="U386" i="17"/>
  <c r="V386" i="17"/>
  <c r="W386" i="17"/>
  <c r="X386" i="17"/>
  <c r="Y386" i="17"/>
  <c r="Z386" i="17"/>
  <c r="AA386" i="17"/>
  <c r="AB386" i="17"/>
  <c r="AC386" i="17"/>
  <c r="AD386" i="17"/>
  <c r="C387" i="17"/>
  <c r="D387" i="17"/>
  <c r="E387" i="17"/>
  <c r="F387" i="17"/>
  <c r="G387" i="17"/>
  <c r="H387" i="17"/>
  <c r="I387" i="17"/>
  <c r="J387" i="17"/>
  <c r="K387" i="17"/>
  <c r="L387" i="17"/>
  <c r="M387" i="17"/>
  <c r="N387" i="17"/>
  <c r="O387" i="17"/>
  <c r="P387" i="17"/>
  <c r="Q387" i="17"/>
  <c r="R387" i="17"/>
  <c r="S387" i="17"/>
  <c r="T387" i="17"/>
  <c r="U387" i="17"/>
  <c r="V387" i="17"/>
  <c r="W387" i="17"/>
  <c r="X387" i="17"/>
  <c r="Y387" i="17"/>
  <c r="Z387" i="17"/>
  <c r="AA387" i="17"/>
  <c r="AB387" i="17"/>
  <c r="AC387" i="17"/>
  <c r="AD387" i="17"/>
  <c r="C388" i="17"/>
  <c r="D388" i="17"/>
  <c r="E388" i="17"/>
  <c r="F388" i="17"/>
  <c r="G388" i="17"/>
  <c r="H388" i="17"/>
  <c r="I388" i="17"/>
  <c r="J388" i="17"/>
  <c r="K388" i="17"/>
  <c r="L388" i="17"/>
  <c r="M388" i="17"/>
  <c r="N388" i="17"/>
  <c r="O388" i="17"/>
  <c r="P388" i="17"/>
  <c r="Q388" i="17"/>
  <c r="R388" i="17"/>
  <c r="S388" i="17"/>
  <c r="T388" i="17"/>
  <c r="U388" i="17"/>
  <c r="V388" i="17"/>
  <c r="W388" i="17"/>
  <c r="X388" i="17"/>
  <c r="Y388" i="17"/>
  <c r="Z388" i="17"/>
  <c r="AA388" i="17"/>
  <c r="AB388" i="17"/>
  <c r="AC388" i="17"/>
  <c r="AD388" i="17"/>
  <c r="C389" i="17"/>
  <c r="D389" i="17"/>
  <c r="E389" i="17"/>
  <c r="F389" i="17"/>
  <c r="G389" i="17"/>
  <c r="H389" i="17"/>
  <c r="I389" i="17"/>
  <c r="J389" i="17"/>
  <c r="K389" i="17"/>
  <c r="L389" i="17"/>
  <c r="M389" i="17"/>
  <c r="N389" i="17"/>
  <c r="O389" i="17"/>
  <c r="P389" i="17"/>
  <c r="Q389" i="17"/>
  <c r="R389" i="17"/>
  <c r="S389" i="17"/>
  <c r="T389" i="17"/>
  <c r="U389" i="17"/>
  <c r="V389" i="17"/>
  <c r="W389" i="17"/>
  <c r="X389" i="17"/>
  <c r="Y389" i="17"/>
  <c r="Z389" i="17"/>
  <c r="AA389" i="17"/>
  <c r="AB389" i="17"/>
  <c r="AC389" i="17"/>
  <c r="AD389" i="17"/>
  <c r="C390" i="17"/>
  <c r="D390" i="17"/>
  <c r="E390" i="17"/>
  <c r="F390" i="17"/>
  <c r="G390" i="17"/>
  <c r="H390" i="17"/>
  <c r="I390" i="17"/>
  <c r="J390" i="17"/>
  <c r="K390" i="17"/>
  <c r="L390" i="17"/>
  <c r="M390" i="17"/>
  <c r="N390" i="17"/>
  <c r="O390" i="17"/>
  <c r="P390" i="17"/>
  <c r="Q390" i="17"/>
  <c r="R390" i="17"/>
  <c r="S390" i="17"/>
  <c r="T390" i="17"/>
  <c r="U390" i="17"/>
  <c r="V390" i="17"/>
  <c r="W390" i="17"/>
  <c r="X390" i="17"/>
  <c r="Y390" i="17"/>
  <c r="Z390" i="17"/>
  <c r="AA390" i="17"/>
  <c r="AB390" i="17"/>
  <c r="AC390" i="17"/>
  <c r="AD390" i="17"/>
  <c r="C391" i="17"/>
  <c r="D391" i="17"/>
  <c r="E391" i="17"/>
  <c r="F391" i="17"/>
  <c r="G391" i="17"/>
  <c r="H391" i="17"/>
  <c r="I391" i="17"/>
  <c r="J391" i="17"/>
  <c r="K391" i="17"/>
  <c r="L391" i="17"/>
  <c r="M391" i="17"/>
  <c r="N391" i="17"/>
  <c r="O391" i="17"/>
  <c r="P391" i="17"/>
  <c r="Q391" i="17"/>
  <c r="R391" i="17"/>
  <c r="S391" i="17"/>
  <c r="T391" i="17"/>
  <c r="U391" i="17"/>
  <c r="V391" i="17"/>
  <c r="W391" i="17"/>
  <c r="X391" i="17"/>
  <c r="Y391" i="17"/>
  <c r="Z391" i="17"/>
  <c r="AA391" i="17"/>
  <c r="AB391" i="17"/>
  <c r="AC391" i="17"/>
  <c r="AD391" i="17"/>
  <c r="C392" i="17"/>
  <c r="D392" i="17"/>
  <c r="E392" i="17"/>
  <c r="F392" i="17"/>
  <c r="G392" i="17"/>
  <c r="H392" i="17"/>
  <c r="I392" i="17"/>
  <c r="J392" i="17"/>
  <c r="K392" i="17"/>
  <c r="L392" i="17"/>
  <c r="M392" i="17"/>
  <c r="N392" i="17"/>
  <c r="O392" i="17"/>
  <c r="P392" i="17"/>
  <c r="Q392" i="17"/>
  <c r="R392" i="17"/>
  <c r="S392" i="17"/>
  <c r="T392" i="17"/>
  <c r="U392" i="17"/>
  <c r="V392" i="17"/>
  <c r="W392" i="17"/>
  <c r="X392" i="17"/>
  <c r="Y392" i="17"/>
  <c r="Z392" i="17"/>
  <c r="AA392" i="17"/>
  <c r="AB392" i="17"/>
  <c r="AC392" i="17"/>
  <c r="AD392" i="17"/>
  <c r="C393" i="17"/>
  <c r="D393" i="17"/>
  <c r="E393" i="17"/>
  <c r="F393" i="17"/>
  <c r="G393" i="17"/>
  <c r="H393" i="17"/>
  <c r="I393" i="17"/>
  <c r="J393" i="17"/>
  <c r="K393" i="17"/>
  <c r="L393" i="17"/>
  <c r="M393" i="17"/>
  <c r="N393" i="17"/>
  <c r="O393" i="17"/>
  <c r="P393" i="17"/>
  <c r="Q393" i="17"/>
  <c r="R393" i="17"/>
  <c r="S393" i="17"/>
  <c r="T393" i="17"/>
  <c r="U393" i="17"/>
  <c r="V393" i="17"/>
  <c r="W393" i="17"/>
  <c r="X393" i="17"/>
  <c r="Y393" i="17"/>
  <c r="Z393" i="17"/>
  <c r="AA393" i="17"/>
  <c r="AB393" i="17"/>
  <c r="AC393" i="17"/>
  <c r="AD393" i="17"/>
  <c r="C394" i="17"/>
  <c r="D394" i="17"/>
  <c r="E394" i="17"/>
  <c r="F394" i="17"/>
  <c r="G394" i="17"/>
  <c r="H394" i="17"/>
  <c r="I394" i="17"/>
  <c r="J394" i="17"/>
  <c r="K394" i="17"/>
  <c r="L394" i="17"/>
  <c r="M394" i="17"/>
  <c r="N394" i="17"/>
  <c r="O394" i="17"/>
  <c r="P394" i="17"/>
  <c r="Q394" i="17"/>
  <c r="R394" i="17"/>
  <c r="S394" i="17"/>
  <c r="T394" i="17"/>
  <c r="U394" i="17"/>
  <c r="V394" i="17"/>
  <c r="W394" i="17"/>
  <c r="X394" i="17"/>
  <c r="Y394" i="17"/>
  <c r="Z394" i="17"/>
  <c r="AA394" i="17"/>
  <c r="AB394" i="17"/>
  <c r="AC394" i="17"/>
  <c r="AD394" i="17"/>
  <c r="C395" i="17"/>
  <c r="D395" i="17"/>
  <c r="E395" i="17"/>
  <c r="F395" i="17"/>
  <c r="G395" i="17"/>
  <c r="H395" i="17"/>
  <c r="I395" i="17"/>
  <c r="J395" i="17"/>
  <c r="K395" i="17"/>
  <c r="L395" i="17"/>
  <c r="M395" i="17"/>
  <c r="N395" i="17"/>
  <c r="O395" i="17"/>
  <c r="P395" i="17"/>
  <c r="Q395" i="17"/>
  <c r="R395" i="17"/>
  <c r="S395" i="17"/>
  <c r="T395" i="17"/>
  <c r="U395" i="17"/>
  <c r="V395" i="17"/>
  <c r="W395" i="17"/>
  <c r="X395" i="17"/>
  <c r="Y395" i="17"/>
  <c r="Z395" i="17"/>
  <c r="AA395" i="17"/>
  <c r="AB395" i="17"/>
  <c r="AC395" i="17"/>
  <c r="AD395" i="17"/>
  <c r="C396" i="17"/>
  <c r="D396" i="17"/>
  <c r="E396" i="17"/>
  <c r="F396" i="17"/>
  <c r="G396" i="17"/>
  <c r="H396" i="17"/>
  <c r="I396" i="17"/>
  <c r="J396" i="17"/>
  <c r="K396" i="17"/>
  <c r="L396" i="17"/>
  <c r="M396" i="17"/>
  <c r="N396" i="17"/>
  <c r="O396" i="17"/>
  <c r="P396" i="17"/>
  <c r="Q396" i="17"/>
  <c r="R396" i="17"/>
  <c r="S396" i="17"/>
  <c r="T396" i="17"/>
  <c r="U396" i="17"/>
  <c r="V396" i="17"/>
  <c r="W396" i="17"/>
  <c r="X396" i="17"/>
  <c r="Y396" i="17"/>
  <c r="Z396" i="17"/>
  <c r="AA396" i="17"/>
  <c r="AB396" i="17"/>
  <c r="AC396" i="17"/>
  <c r="AD396" i="17"/>
  <c r="C397" i="17"/>
  <c r="D397" i="17"/>
  <c r="E397" i="17"/>
  <c r="F397" i="17"/>
  <c r="G397" i="17"/>
  <c r="H397" i="17"/>
  <c r="I397" i="17"/>
  <c r="J397" i="17"/>
  <c r="K397" i="17"/>
  <c r="L397" i="17"/>
  <c r="M397" i="17"/>
  <c r="N397" i="17"/>
  <c r="O397" i="17"/>
  <c r="P397" i="17"/>
  <c r="Q397" i="17"/>
  <c r="R397" i="17"/>
  <c r="S397" i="17"/>
  <c r="T397" i="17"/>
  <c r="U397" i="17"/>
  <c r="V397" i="17"/>
  <c r="W397" i="17"/>
  <c r="X397" i="17"/>
  <c r="Y397" i="17"/>
  <c r="Z397" i="17"/>
  <c r="AA397" i="17"/>
  <c r="AB397" i="17"/>
  <c r="AC397" i="17"/>
  <c r="AD397" i="17"/>
  <c r="C398" i="17"/>
  <c r="D398" i="17"/>
  <c r="E398" i="17"/>
  <c r="F398" i="17"/>
  <c r="G398" i="17"/>
  <c r="H398" i="17"/>
  <c r="I398" i="17"/>
  <c r="J398" i="17"/>
  <c r="K398" i="17"/>
  <c r="L398" i="17"/>
  <c r="M398" i="17"/>
  <c r="N398" i="17"/>
  <c r="O398" i="17"/>
  <c r="P398" i="17"/>
  <c r="Q398" i="17"/>
  <c r="R398" i="17"/>
  <c r="S398" i="17"/>
  <c r="T398" i="17"/>
  <c r="U398" i="17"/>
  <c r="V398" i="17"/>
  <c r="W398" i="17"/>
  <c r="X398" i="17"/>
  <c r="Y398" i="17"/>
  <c r="Z398" i="17"/>
  <c r="AA398" i="17"/>
  <c r="AB398" i="17"/>
  <c r="AC398" i="17"/>
  <c r="AD398" i="17"/>
  <c r="C399" i="17"/>
  <c r="D399" i="17"/>
  <c r="E399" i="17"/>
  <c r="F399" i="17"/>
  <c r="G399" i="17"/>
  <c r="H399" i="17"/>
  <c r="I399" i="17"/>
  <c r="J399" i="17"/>
  <c r="K399" i="17"/>
  <c r="L399" i="17"/>
  <c r="M399" i="17"/>
  <c r="N399" i="17"/>
  <c r="O399" i="17"/>
  <c r="P399" i="17"/>
  <c r="Q399" i="17"/>
  <c r="R399" i="17"/>
  <c r="S399" i="17"/>
  <c r="T399" i="17"/>
  <c r="U399" i="17"/>
  <c r="V399" i="17"/>
  <c r="W399" i="17"/>
  <c r="X399" i="17"/>
  <c r="Y399" i="17"/>
  <c r="Z399" i="17"/>
  <c r="AA399" i="17"/>
  <c r="AB399" i="17"/>
  <c r="AC399" i="17"/>
  <c r="AD399" i="17"/>
  <c r="C400" i="17"/>
  <c r="D400" i="17"/>
  <c r="E400" i="17"/>
  <c r="F400" i="17"/>
  <c r="G400" i="17"/>
  <c r="H400" i="17"/>
  <c r="I400" i="17"/>
  <c r="J400" i="17"/>
  <c r="K400" i="17"/>
  <c r="L400" i="17"/>
  <c r="M400" i="17"/>
  <c r="N400" i="17"/>
  <c r="O400" i="17"/>
  <c r="P400" i="17"/>
  <c r="Q400" i="17"/>
  <c r="R400" i="17"/>
  <c r="S400" i="17"/>
  <c r="T400" i="17"/>
  <c r="U400" i="17"/>
  <c r="V400" i="17"/>
  <c r="W400" i="17"/>
  <c r="X400" i="17"/>
  <c r="Y400" i="17"/>
  <c r="Z400" i="17"/>
  <c r="AA400" i="17"/>
  <c r="AB400" i="17"/>
  <c r="AC400" i="17"/>
  <c r="AD400" i="17"/>
  <c r="C401" i="17"/>
  <c r="D401" i="17"/>
  <c r="E401" i="17"/>
  <c r="F401" i="17"/>
  <c r="G401" i="17"/>
  <c r="H401" i="17"/>
  <c r="I401" i="17"/>
  <c r="J401" i="17"/>
  <c r="K401" i="17"/>
  <c r="L401" i="17"/>
  <c r="M401" i="17"/>
  <c r="N401" i="17"/>
  <c r="O401" i="17"/>
  <c r="P401" i="17"/>
  <c r="Q401" i="17"/>
  <c r="R401" i="17"/>
  <c r="S401" i="17"/>
  <c r="T401" i="17"/>
  <c r="U401" i="17"/>
  <c r="V401" i="17"/>
  <c r="W401" i="17"/>
  <c r="X401" i="17"/>
  <c r="Y401" i="17"/>
  <c r="Z401" i="17"/>
  <c r="AA401" i="17"/>
  <c r="AB401" i="17"/>
  <c r="AC401" i="17"/>
  <c r="AD401" i="17"/>
  <c r="C402" i="17"/>
  <c r="D402" i="17"/>
  <c r="E402" i="17"/>
  <c r="F402" i="17"/>
  <c r="G402" i="17"/>
  <c r="H402" i="17"/>
  <c r="I402" i="17"/>
  <c r="J402" i="17"/>
  <c r="K402" i="17"/>
  <c r="L402" i="17"/>
  <c r="M402" i="17"/>
  <c r="N402" i="17"/>
  <c r="O402" i="17"/>
  <c r="P402" i="17"/>
  <c r="Q402" i="17"/>
  <c r="R402" i="17"/>
  <c r="S402" i="17"/>
  <c r="T402" i="17"/>
  <c r="U402" i="17"/>
  <c r="V402" i="17"/>
  <c r="W402" i="17"/>
  <c r="X402" i="17"/>
  <c r="Y402" i="17"/>
  <c r="Z402" i="17"/>
  <c r="AA402" i="17"/>
  <c r="AB402" i="17"/>
  <c r="AC402" i="17"/>
  <c r="AD402" i="17"/>
  <c r="C403" i="17"/>
  <c r="D403" i="17"/>
  <c r="E403" i="17"/>
  <c r="F403" i="17"/>
  <c r="G403" i="17"/>
  <c r="H403" i="17"/>
  <c r="I403" i="17"/>
  <c r="J403" i="17"/>
  <c r="K403" i="17"/>
  <c r="L403" i="17"/>
  <c r="M403" i="17"/>
  <c r="N403" i="17"/>
  <c r="O403" i="17"/>
  <c r="P403" i="17"/>
  <c r="Q403" i="17"/>
  <c r="R403" i="17"/>
  <c r="S403" i="17"/>
  <c r="T403" i="17"/>
  <c r="U403" i="17"/>
  <c r="V403" i="17"/>
  <c r="W403" i="17"/>
  <c r="X403" i="17"/>
  <c r="Y403" i="17"/>
  <c r="Z403" i="17"/>
  <c r="AA403" i="17"/>
  <c r="AB403" i="17"/>
  <c r="AC403" i="17"/>
  <c r="AD403" i="17"/>
  <c r="C404" i="17"/>
  <c r="D404" i="17"/>
  <c r="E404" i="17"/>
  <c r="F404" i="17"/>
  <c r="G404" i="17"/>
  <c r="H404" i="17"/>
  <c r="I404" i="17"/>
  <c r="J404" i="17"/>
  <c r="K404" i="17"/>
  <c r="L404" i="17"/>
  <c r="M404" i="17"/>
  <c r="N404" i="17"/>
  <c r="O404" i="17"/>
  <c r="P404" i="17"/>
  <c r="Q404" i="17"/>
  <c r="R404" i="17"/>
  <c r="S404" i="17"/>
  <c r="T404" i="17"/>
  <c r="U404" i="17"/>
  <c r="V404" i="17"/>
  <c r="W404" i="17"/>
  <c r="X404" i="17"/>
  <c r="Y404" i="17"/>
  <c r="Z404" i="17"/>
  <c r="AA404" i="17"/>
  <c r="AB404" i="17"/>
  <c r="AC404" i="17"/>
  <c r="AD404" i="17"/>
  <c r="C405" i="17"/>
  <c r="D405" i="17"/>
  <c r="E405" i="17"/>
  <c r="F405" i="17"/>
  <c r="G405" i="17"/>
  <c r="H405" i="17"/>
  <c r="I405" i="17"/>
  <c r="J405" i="17"/>
  <c r="K405" i="17"/>
  <c r="L405" i="17"/>
  <c r="M405" i="17"/>
  <c r="N405" i="17"/>
  <c r="O405" i="17"/>
  <c r="P405" i="17"/>
  <c r="Q405" i="17"/>
  <c r="R405" i="17"/>
  <c r="S405" i="17"/>
  <c r="T405" i="17"/>
  <c r="U405" i="17"/>
  <c r="V405" i="17"/>
  <c r="W405" i="17"/>
  <c r="X405" i="17"/>
  <c r="Y405" i="17"/>
  <c r="Z405" i="17"/>
  <c r="AA405" i="17"/>
  <c r="AB405" i="17"/>
  <c r="AC405" i="17"/>
  <c r="AD405" i="17"/>
  <c r="C406" i="17"/>
  <c r="D406" i="17"/>
  <c r="E406" i="17"/>
  <c r="F406" i="17"/>
  <c r="G406" i="17"/>
  <c r="H406" i="17"/>
  <c r="I406" i="17"/>
  <c r="J406" i="17"/>
  <c r="K406" i="17"/>
  <c r="L406" i="17"/>
  <c r="M406" i="17"/>
  <c r="N406" i="17"/>
  <c r="O406" i="17"/>
  <c r="P406" i="17"/>
  <c r="Q406" i="17"/>
  <c r="R406" i="17"/>
  <c r="S406" i="17"/>
  <c r="T406" i="17"/>
  <c r="U406" i="17"/>
  <c r="V406" i="17"/>
  <c r="W406" i="17"/>
  <c r="X406" i="17"/>
  <c r="Y406" i="17"/>
  <c r="Z406" i="17"/>
  <c r="AA406" i="17"/>
  <c r="AB406" i="17"/>
  <c r="AC406" i="17"/>
  <c r="AD406" i="17"/>
  <c r="C407" i="17"/>
  <c r="D407" i="17"/>
  <c r="E407" i="17"/>
  <c r="F407" i="17"/>
  <c r="G407" i="17"/>
  <c r="H407" i="17"/>
  <c r="I407" i="17"/>
  <c r="J407" i="17"/>
  <c r="K407" i="17"/>
  <c r="L407" i="17"/>
  <c r="M407" i="17"/>
  <c r="N407" i="17"/>
  <c r="O407" i="17"/>
  <c r="P407" i="17"/>
  <c r="Q407" i="17"/>
  <c r="R407" i="17"/>
  <c r="S407" i="17"/>
  <c r="T407" i="17"/>
  <c r="U407" i="17"/>
  <c r="V407" i="17"/>
  <c r="W407" i="17"/>
  <c r="X407" i="17"/>
  <c r="Y407" i="17"/>
  <c r="Z407" i="17"/>
  <c r="AA407" i="17"/>
  <c r="AB407" i="17"/>
  <c r="AC407" i="17"/>
  <c r="AD407" i="17"/>
  <c r="C408" i="17"/>
  <c r="D408" i="17"/>
  <c r="E408" i="17"/>
  <c r="F408" i="17"/>
  <c r="G408" i="17"/>
  <c r="H408" i="17"/>
  <c r="I408" i="17"/>
  <c r="J408" i="17"/>
  <c r="K408" i="17"/>
  <c r="L408" i="17"/>
  <c r="M408" i="17"/>
  <c r="N408" i="17"/>
  <c r="O408" i="17"/>
  <c r="P408" i="17"/>
  <c r="Q408" i="17"/>
  <c r="R408" i="17"/>
  <c r="S408" i="17"/>
  <c r="T408" i="17"/>
  <c r="U408" i="17"/>
  <c r="V408" i="17"/>
  <c r="W408" i="17"/>
  <c r="X408" i="17"/>
  <c r="Y408" i="17"/>
  <c r="Z408" i="17"/>
  <c r="AA408" i="17"/>
  <c r="AB408" i="17"/>
  <c r="AC408" i="17"/>
  <c r="AD408" i="17"/>
  <c r="C409" i="17"/>
  <c r="D409" i="17"/>
  <c r="E409" i="17"/>
  <c r="F409" i="17"/>
  <c r="G409" i="17"/>
  <c r="H409" i="17"/>
  <c r="I409" i="17"/>
  <c r="J409" i="17"/>
  <c r="K409" i="17"/>
  <c r="L409" i="17"/>
  <c r="M409" i="17"/>
  <c r="N409" i="17"/>
  <c r="O409" i="17"/>
  <c r="P409" i="17"/>
  <c r="Q409" i="17"/>
  <c r="R409" i="17"/>
  <c r="S409" i="17"/>
  <c r="T409" i="17"/>
  <c r="U409" i="17"/>
  <c r="V409" i="17"/>
  <c r="W409" i="17"/>
  <c r="X409" i="17"/>
  <c r="Y409" i="17"/>
  <c r="Z409" i="17"/>
  <c r="AA409" i="17"/>
  <c r="AB409" i="17"/>
  <c r="AC409" i="17"/>
  <c r="AD409" i="17"/>
  <c r="C410" i="17"/>
  <c r="D410" i="17"/>
  <c r="E410" i="17"/>
  <c r="F410" i="17"/>
  <c r="G410" i="17"/>
  <c r="H410" i="17"/>
  <c r="I410" i="17"/>
  <c r="J410" i="17"/>
  <c r="K410" i="17"/>
  <c r="L410" i="17"/>
  <c r="M410" i="17"/>
  <c r="N410" i="17"/>
  <c r="O410" i="17"/>
  <c r="P410" i="17"/>
  <c r="Q410" i="17"/>
  <c r="R410" i="17"/>
  <c r="S410" i="17"/>
  <c r="T410" i="17"/>
  <c r="U410" i="17"/>
  <c r="V410" i="17"/>
  <c r="W410" i="17"/>
  <c r="X410" i="17"/>
  <c r="Y410" i="17"/>
  <c r="Z410" i="17"/>
  <c r="AA410" i="17"/>
  <c r="AB410" i="17"/>
  <c r="AC410" i="17"/>
  <c r="AD410" i="17"/>
  <c r="C411" i="17"/>
  <c r="D411" i="17"/>
  <c r="E411" i="17"/>
  <c r="F411" i="17"/>
  <c r="G411" i="17"/>
  <c r="H411" i="17"/>
  <c r="I411" i="17"/>
  <c r="J411" i="17"/>
  <c r="K411" i="17"/>
  <c r="L411" i="17"/>
  <c r="M411" i="17"/>
  <c r="N411" i="17"/>
  <c r="O411" i="17"/>
  <c r="P411" i="17"/>
  <c r="Q411" i="17"/>
  <c r="R411" i="17"/>
  <c r="S411" i="17"/>
  <c r="T411" i="17"/>
  <c r="U411" i="17"/>
  <c r="V411" i="17"/>
  <c r="W411" i="17"/>
  <c r="X411" i="17"/>
  <c r="Y411" i="17"/>
  <c r="Z411" i="17"/>
  <c r="AA411" i="17"/>
  <c r="AB411" i="17"/>
  <c r="AC411" i="17"/>
  <c r="AD411" i="17"/>
  <c r="C412" i="17"/>
  <c r="D412" i="17"/>
  <c r="E412" i="17"/>
  <c r="F412" i="17"/>
  <c r="G412" i="17"/>
  <c r="H412" i="17"/>
  <c r="I412" i="17"/>
  <c r="J412" i="17"/>
  <c r="K412" i="17"/>
  <c r="L412" i="17"/>
  <c r="M412" i="17"/>
  <c r="N412" i="17"/>
  <c r="O412" i="17"/>
  <c r="P412" i="17"/>
  <c r="Q412" i="17"/>
  <c r="R412" i="17"/>
  <c r="S412" i="17"/>
  <c r="T412" i="17"/>
  <c r="U412" i="17"/>
  <c r="V412" i="17"/>
  <c r="W412" i="17"/>
  <c r="X412" i="17"/>
  <c r="Y412" i="17"/>
  <c r="Z412" i="17"/>
  <c r="AA412" i="17"/>
  <c r="AB412" i="17"/>
  <c r="AC412" i="17"/>
  <c r="AD412" i="17"/>
  <c r="C413" i="17"/>
  <c r="D413" i="17"/>
  <c r="E413" i="17"/>
  <c r="F413" i="17"/>
  <c r="G413" i="17"/>
  <c r="H413" i="17"/>
  <c r="I413" i="17"/>
  <c r="J413" i="17"/>
  <c r="K413" i="17"/>
  <c r="L413" i="17"/>
  <c r="M413" i="17"/>
  <c r="N413" i="17"/>
  <c r="O413" i="17"/>
  <c r="P413" i="17"/>
  <c r="Q413" i="17"/>
  <c r="R413" i="17"/>
  <c r="S413" i="17"/>
  <c r="T413" i="17"/>
  <c r="U413" i="17"/>
  <c r="V413" i="17"/>
  <c r="W413" i="17"/>
  <c r="X413" i="17"/>
  <c r="Y413" i="17"/>
  <c r="Z413" i="17"/>
  <c r="AA413" i="17"/>
  <c r="AB413" i="17"/>
  <c r="AC413" i="17"/>
  <c r="AD413" i="17"/>
  <c r="C414" i="17"/>
  <c r="D414" i="17"/>
  <c r="E414" i="17"/>
  <c r="F414" i="17"/>
  <c r="G414" i="17"/>
  <c r="H414" i="17"/>
  <c r="I414" i="17"/>
  <c r="J414" i="17"/>
  <c r="K414" i="17"/>
  <c r="L414" i="17"/>
  <c r="M414" i="17"/>
  <c r="N414" i="17"/>
  <c r="O414" i="17"/>
  <c r="P414" i="17"/>
  <c r="Q414" i="17"/>
  <c r="R414" i="17"/>
  <c r="S414" i="17"/>
  <c r="T414" i="17"/>
  <c r="U414" i="17"/>
  <c r="V414" i="17"/>
  <c r="W414" i="17"/>
  <c r="X414" i="17"/>
  <c r="Y414" i="17"/>
  <c r="Z414" i="17"/>
  <c r="AA414" i="17"/>
  <c r="AB414" i="17"/>
  <c r="AC414" i="17"/>
  <c r="AD414" i="17"/>
  <c r="C415" i="17"/>
  <c r="D415" i="17"/>
  <c r="E415" i="17"/>
  <c r="F415" i="17"/>
  <c r="G415" i="17"/>
  <c r="H415" i="17"/>
  <c r="I415" i="17"/>
  <c r="J415" i="17"/>
  <c r="K415" i="17"/>
  <c r="L415" i="17"/>
  <c r="M415" i="17"/>
  <c r="N415" i="17"/>
  <c r="O415" i="17"/>
  <c r="P415" i="17"/>
  <c r="Q415" i="17"/>
  <c r="R415" i="17"/>
  <c r="S415" i="17"/>
  <c r="T415" i="17"/>
  <c r="U415" i="17"/>
  <c r="V415" i="17"/>
  <c r="W415" i="17"/>
  <c r="X415" i="17"/>
  <c r="Y415" i="17"/>
  <c r="Z415" i="17"/>
  <c r="AA415" i="17"/>
  <c r="AB415" i="17"/>
  <c r="AC415" i="17"/>
  <c r="AD415" i="17"/>
  <c r="C416" i="17"/>
  <c r="D416" i="17"/>
  <c r="E416" i="17"/>
  <c r="F416" i="17"/>
  <c r="G416" i="17"/>
  <c r="H416" i="17"/>
  <c r="I416" i="17"/>
  <c r="J416" i="17"/>
  <c r="K416" i="17"/>
  <c r="L416" i="17"/>
  <c r="M416" i="17"/>
  <c r="N416" i="17"/>
  <c r="O416" i="17"/>
  <c r="P416" i="17"/>
  <c r="Q416" i="17"/>
  <c r="R416" i="17"/>
  <c r="S416" i="17"/>
  <c r="T416" i="17"/>
  <c r="U416" i="17"/>
  <c r="V416" i="17"/>
  <c r="W416" i="17"/>
  <c r="X416" i="17"/>
  <c r="Y416" i="17"/>
  <c r="Z416" i="17"/>
  <c r="AA416" i="17"/>
  <c r="AB416" i="17"/>
  <c r="AC416" i="17"/>
  <c r="AD416" i="17"/>
  <c r="C417" i="17"/>
  <c r="D417" i="17"/>
  <c r="E417" i="17"/>
  <c r="F417" i="17"/>
  <c r="G417" i="17"/>
  <c r="H417" i="17"/>
  <c r="I417" i="17"/>
  <c r="J417" i="17"/>
  <c r="K417" i="17"/>
  <c r="L417" i="17"/>
  <c r="M417" i="17"/>
  <c r="N417" i="17"/>
  <c r="O417" i="17"/>
  <c r="P417" i="17"/>
  <c r="Q417" i="17"/>
  <c r="R417" i="17"/>
  <c r="S417" i="17"/>
  <c r="T417" i="17"/>
  <c r="U417" i="17"/>
  <c r="V417" i="17"/>
  <c r="W417" i="17"/>
  <c r="X417" i="17"/>
  <c r="Y417" i="17"/>
  <c r="Z417" i="17"/>
  <c r="AA417" i="17"/>
  <c r="AB417" i="17"/>
  <c r="AC417" i="17"/>
  <c r="AD417" i="17"/>
  <c r="C418" i="17"/>
  <c r="D418" i="17"/>
  <c r="E418" i="17"/>
  <c r="F418" i="17"/>
  <c r="G418" i="17"/>
  <c r="H418" i="17"/>
  <c r="I418" i="17"/>
  <c r="J418" i="17"/>
  <c r="K418" i="17"/>
  <c r="L418" i="17"/>
  <c r="M418" i="17"/>
  <c r="N418" i="17"/>
  <c r="O418" i="17"/>
  <c r="P418" i="17"/>
  <c r="Q418" i="17"/>
  <c r="R418" i="17"/>
  <c r="S418" i="17"/>
  <c r="T418" i="17"/>
  <c r="U418" i="17"/>
  <c r="V418" i="17"/>
  <c r="W418" i="17"/>
  <c r="X418" i="17"/>
  <c r="Y418" i="17"/>
  <c r="Z418" i="17"/>
  <c r="AA418" i="17"/>
  <c r="AB418" i="17"/>
  <c r="AC418" i="17"/>
  <c r="AD418" i="17"/>
  <c r="C419" i="17"/>
  <c r="D419" i="17"/>
  <c r="E419" i="17"/>
  <c r="F419" i="17"/>
  <c r="G419" i="17"/>
  <c r="H419" i="17"/>
  <c r="I419" i="17"/>
  <c r="J419" i="17"/>
  <c r="K419" i="17"/>
  <c r="L419" i="17"/>
  <c r="M419" i="17"/>
  <c r="N419" i="17"/>
  <c r="O419" i="17"/>
  <c r="P419" i="17"/>
  <c r="Q419" i="17"/>
  <c r="R419" i="17"/>
  <c r="S419" i="17"/>
  <c r="T419" i="17"/>
  <c r="U419" i="17"/>
  <c r="V419" i="17"/>
  <c r="W419" i="17"/>
  <c r="X419" i="17"/>
  <c r="Y419" i="17"/>
  <c r="Z419" i="17"/>
  <c r="AA419" i="17"/>
  <c r="AB419" i="17"/>
  <c r="AC419" i="17"/>
  <c r="AD419" i="17"/>
  <c r="C420" i="17"/>
  <c r="D420" i="17"/>
  <c r="E420" i="17"/>
  <c r="F420" i="17"/>
  <c r="G420" i="17"/>
  <c r="H420" i="17"/>
  <c r="I420" i="17"/>
  <c r="J420" i="17"/>
  <c r="K420" i="17"/>
  <c r="L420" i="17"/>
  <c r="M420" i="17"/>
  <c r="N420" i="17"/>
  <c r="O420" i="17"/>
  <c r="P420" i="17"/>
  <c r="Q420" i="17"/>
  <c r="R420" i="17"/>
  <c r="S420" i="17"/>
  <c r="T420" i="17"/>
  <c r="U420" i="17"/>
  <c r="V420" i="17"/>
  <c r="W420" i="17"/>
  <c r="X420" i="17"/>
  <c r="Y420" i="17"/>
  <c r="Z420" i="17"/>
  <c r="AA420" i="17"/>
  <c r="AB420" i="17"/>
  <c r="AC420" i="17"/>
  <c r="AD420" i="17"/>
  <c r="C421" i="17"/>
  <c r="D421" i="17"/>
  <c r="E421" i="17"/>
  <c r="F421" i="17"/>
  <c r="G421" i="17"/>
  <c r="H421" i="17"/>
  <c r="I421" i="17"/>
  <c r="J421" i="17"/>
  <c r="K421" i="17"/>
  <c r="L421" i="17"/>
  <c r="M421" i="17"/>
  <c r="N421" i="17"/>
  <c r="O421" i="17"/>
  <c r="P421" i="17"/>
  <c r="Q421" i="17"/>
  <c r="R421" i="17"/>
  <c r="S421" i="17"/>
  <c r="T421" i="17"/>
  <c r="U421" i="17"/>
  <c r="V421" i="17"/>
  <c r="W421" i="17"/>
  <c r="X421" i="17"/>
  <c r="Y421" i="17"/>
  <c r="Z421" i="17"/>
  <c r="AA421" i="17"/>
  <c r="AB421" i="17"/>
  <c r="AC421" i="17"/>
  <c r="AD421" i="17"/>
  <c r="C422" i="17"/>
  <c r="D422" i="17"/>
  <c r="E422" i="17"/>
  <c r="F422" i="17"/>
  <c r="G422" i="17"/>
  <c r="H422" i="17"/>
  <c r="I422" i="17"/>
  <c r="J422" i="17"/>
  <c r="K422" i="17"/>
  <c r="L422" i="17"/>
  <c r="M422" i="17"/>
  <c r="N422" i="17"/>
  <c r="O422" i="17"/>
  <c r="P422" i="17"/>
  <c r="Q422" i="17"/>
  <c r="R422" i="17"/>
  <c r="S422" i="17"/>
  <c r="T422" i="17"/>
  <c r="U422" i="17"/>
  <c r="V422" i="17"/>
  <c r="W422" i="17"/>
  <c r="X422" i="17"/>
  <c r="Y422" i="17"/>
  <c r="Z422" i="17"/>
  <c r="AA422" i="17"/>
  <c r="AB422" i="17"/>
  <c r="AC422" i="17"/>
  <c r="AD422" i="17"/>
  <c r="C423" i="17"/>
  <c r="D423" i="17"/>
  <c r="E423" i="17"/>
  <c r="F423" i="17"/>
  <c r="G423" i="17"/>
  <c r="H423" i="17"/>
  <c r="I423" i="17"/>
  <c r="J423" i="17"/>
  <c r="K423" i="17"/>
  <c r="L423" i="17"/>
  <c r="M423" i="17"/>
  <c r="N423" i="17"/>
  <c r="O423" i="17"/>
  <c r="P423" i="17"/>
  <c r="Q423" i="17"/>
  <c r="R423" i="17"/>
  <c r="S423" i="17"/>
  <c r="T423" i="17"/>
  <c r="U423" i="17"/>
  <c r="V423" i="17"/>
  <c r="W423" i="17"/>
  <c r="X423" i="17"/>
  <c r="Y423" i="17"/>
  <c r="Z423" i="17"/>
  <c r="AA423" i="17"/>
  <c r="AB423" i="17"/>
  <c r="AC423" i="17"/>
  <c r="AD423" i="17"/>
  <c r="C424" i="17"/>
  <c r="D424" i="17"/>
  <c r="E424" i="17"/>
  <c r="F424" i="17"/>
  <c r="G424" i="17"/>
  <c r="H424" i="17"/>
  <c r="I424" i="17"/>
  <c r="J424" i="17"/>
  <c r="K424" i="17"/>
  <c r="L424" i="17"/>
  <c r="M424" i="17"/>
  <c r="N424" i="17"/>
  <c r="O424" i="17"/>
  <c r="P424" i="17"/>
  <c r="Q424" i="17"/>
  <c r="R424" i="17"/>
  <c r="S424" i="17"/>
  <c r="T424" i="17"/>
  <c r="U424" i="17"/>
  <c r="V424" i="17"/>
  <c r="W424" i="17"/>
  <c r="X424" i="17"/>
  <c r="Y424" i="17"/>
  <c r="Z424" i="17"/>
  <c r="AA424" i="17"/>
  <c r="AB424" i="17"/>
  <c r="AC424" i="17"/>
  <c r="AD424" i="17"/>
  <c r="C425" i="17"/>
  <c r="D425" i="17"/>
  <c r="E425" i="17"/>
  <c r="F425" i="17"/>
  <c r="G425" i="17"/>
  <c r="H425" i="17"/>
  <c r="I425" i="17"/>
  <c r="J425" i="17"/>
  <c r="K425" i="17"/>
  <c r="L425" i="17"/>
  <c r="M425" i="17"/>
  <c r="N425" i="17"/>
  <c r="O425" i="17"/>
  <c r="P425" i="17"/>
  <c r="Q425" i="17"/>
  <c r="R425" i="17"/>
  <c r="S425" i="17"/>
  <c r="T425" i="17"/>
  <c r="U425" i="17"/>
  <c r="V425" i="17"/>
  <c r="W425" i="17"/>
  <c r="X425" i="17"/>
  <c r="Y425" i="17"/>
  <c r="Z425" i="17"/>
  <c r="AA425" i="17"/>
  <c r="AB425" i="17"/>
  <c r="AC425" i="17"/>
  <c r="AD425" i="17"/>
  <c r="C426" i="17"/>
  <c r="D426" i="17"/>
  <c r="E426" i="17"/>
  <c r="F426" i="17"/>
  <c r="G426" i="17"/>
  <c r="H426" i="17"/>
  <c r="I426" i="17"/>
  <c r="J426" i="17"/>
  <c r="K426" i="17"/>
  <c r="L426" i="17"/>
  <c r="M426" i="17"/>
  <c r="N426" i="17"/>
  <c r="O426" i="17"/>
  <c r="P426" i="17"/>
  <c r="Q426" i="17"/>
  <c r="R426" i="17"/>
  <c r="S426" i="17"/>
  <c r="T426" i="17"/>
  <c r="U426" i="17"/>
  <c r="V426" i="17"/>
  <c r="W426" i="17"/>
  <c r="X426" i="17"/>
  <c r="Y426" i="17"/>
  <c r="Z426" i="17"/>
  <c r="AA426" i="17"/>
  <c r="AB426" i="17"/>
  <c r="AC426" i="17"/>
  <c r="AD426" i="17"/>
  <c r="C427" i="17"/>
  <c r="D427" i="17"/>
  <c r="E427" i="17"/>
  <c r="F427" i="17"/>
  <c r="G427" i="17"/>
  <c r="H427" i="17"/>
  <c r="I427" i="17"/>
  <c r="J427" i="17"/>
  <c r="K427" i="17"/>
  <c r="L427" i="17"/>
  <c r="M427" i="17"/>
  <c r="N427" i="17"/>
  <c r="O427" i="17"/>
  <c r="P427" i="17"/>
  <c r="Q427" i="17"/>
  <c r="R427" i="17"/>
  <c r="S427" i="17"/>
  <c r="T427" i="17"/>
  <c r="U427" i="17"/>
  <c r="V427" i="17"/>
  <c r="W427" i="17"/>
  <c r="X427" i="17"/>
  <c r="Y427" i="17"/>
  <c r="Z427" i="17"/>
  <c r="AA427" i="17"/>
  <c r="AB427" i="17"/>
  <c r="AC427" i="17"/>
  <c r="AD427" i="17"/>
  <c r="C428" i="17"/>
  <c r="D428" i="17"/>
  <c r="E428" i="17"/>
  <c r="F428" i="17"/>
  <c r="G428" i="17"/>
  <c r="H428" i="17"/>
  <c r="I428" i="17"/>
  <c r="J428" i="17"/>
  <c r="K428" i="17"/>
  <c r="L428" i="17"/>
  <c r="M428" i="17"/>
  <c r="N428" i="17"/>
  <c r="O428" i="17"/>
  <c r="P428" i="17"/>
  <c r="Q428" i="17"/>
  <c r="R428" i="17"/>
  <c r="S428" i="17"/>
  <c r="T428" i="17"/>
  <c r="U428" i="17"/>
  <c r="V428" i="17"/>
  <c r="W428" i="17"/>
  <c r="X428" i="17"/>
  <c r="Y428" i="17"/>
  <c r="Z428" i="17"/>
  <c r="AA428" i="17"/>
  <c r="AB428" i="17"/>
  <c r="AC428" i="17"/>
  <c r="AD428" i="17"/>
  <c r="C429" i="17"/>
  <c r="D429" i="17"/>
  <c r="E429" i="17"/>
  <c r="F429" i="17"/>
  <c r="G429" i="17"/>
  <c r="H429" i="17"/>
  <c r="I429" i="17"/>
  <c r="J429" i="17"/>
  <c r="K429" i="17"/>
  <c r="L429" i="17"/>
  <c r="M429" i="17"/>
  <c r="N429" i="17"/>
  <c r="O429" i="17"/>
  <c r="P429" i="17"/>
  <c r="Q429" i="17"/>
  <c r="R429" i="17"/>
  <c r="S429" i="17"/>
  <c r="T429" i="17"/>
  <c r="U429" i="17"/>
  <c r="V429" i="17"/>
  <c r="W429" i="17"/>
  <c r="X429" i="17"/>
  <c r="Y429" i="17"/>
  <c r="Z429" i="17"/>
  <c r="AA429" i="17"/>
  <c r="AB429" i="17"/>
  <c r="AC429" i="17"/>
  <c r="AD429" i="17"/>
  <c r="C430" i="17"/>
  <c r="D430" i="17"/>
  <c r="E430" i="17"/>
  <c r="F430" i="17"/>
  <c r="G430" i="17"/>
  <c r="H430" i="17"/>
  <c r="I430" i="17"/>
  <c r="J430" i="17"/>
  <c r="K430" i="17"/>
  <c r="L430" i="17"/>
  <c r="M430" i="17"/>
  <c r="N430" i="17"/>
  <c r="O430" i="17"/>
  <c r="P430" i="17"/>
  <c r="Q430" i="17"/>
  <c r="R430" i="17"/>
  <c r="S430" i="17"/>
  <c r="T430" i="17"/>
  <c r="U430" i="17"/>
  <c r="V430" i="17"/>
  <c r="W430" i="17"/>
  <c r="X430" i="17"/>
  <c r="Y430" i="17"/>
  <c r="Z430" i="17"/>
  <c r="AA430" i="17"/>
  <c r="AB430" i="17"/>
  <c r="AC430" i="17"/>
  <c r="AD430" i="17"/>
  <c r="C431" i="17"/>
  <c r="D431" i="17"/>
  <c r="E431" i="17"/>
  <c r="F431" i="17"/>
  <c r="G431" i="17"/>
  <c r="H431" i="17"/>
  <c r="I431" i="17"/>
  <c r="J431" i="17"/>
  <c r="K431" i="17"/>
  <c r="L431" i="17"/>
  <c r="M431" i="17"/>
  <c r="N431" i="17"/>
  <c r="O431" i="17"/>
  <c r="P431" i="17"/>
  <c r="Q431" i="17"/>
  <c r="R431" i="17"/>
  <c r="S431" i="17"/>
  <c r="T431" i="17"/>
  <c r="U431" i="17"/>
  <c r="V431" i="17"/>
  <c r="W431" i="17"/>
  <c r="X431" i="17"/>
  <c r="Y431" i="17"/>
  <c r="Z431" i="17"/>
  <c r="AA431" i="17"/>
  <c r="AB431" i="17"/>
  <c r="AC431" i="17"/>
  <c r="AD431" i="17"/>
  <c r="C432" i="17"/>
  <c r="D432" i="17"/>
  <c r="E432" i="17"/>
  <c r="F432" i="17"/>
  <c r="G432" i="17"/>
  <c r="H432" i="17"/>
  <c r="I432" i="17"/>
  <c r="J432" i="17"/>
  <c r="K432" i="17"/>
  <c r="L432" i="17"/>
  <c r="M432" i="17"/>
  <c r="N432" i="17"/>
  <c r="O432" i="17"/>
  <c r="P432" i="17"/>
  <c r="Q432" i="17"/>
  <c r="R432" i="17"/>
  <c r="S432" i="17"/>
  <c r="T432" i="17"/>
  <c r="U432" i="17"/>
  <c r="V432" i="17"/>
  <c r="W432" i="17"/>
  <c r="X432" i="17"/>
  <c r="Y432" i="17"/>
  <c r="Z432" i="17"/>
  <c r="AA432" i="17"/>
  <c r="AB432" i="17"/>
  <c r="AC432" i="17"/>
  <c r="AD432" i="17"/>
  <c r="C433" i="17"/>
  <c r="D433" i="17"/>
  <c r="E433" i="17"/>
  <c r="F433" i="17"/>
  <c r="G433" i="17"/>
  <c r="H433" i="17"/>
  <c r="I433" i="17"/>
  <c r="J433" i="17"/>
  <c r="K433" i="17"/>
  <c r="L433" i="17"/>
  <c r="M433" i="17"/>
  <c r="N433" i="17"/>
  <c r="O433" i="17"/>
  <c r="P433" i="17"/>
  <c r="Q433" i="17"/>
  <c r="R433" i="17"/>
  <c r="S433" i="17"/>
  <c r="T433" i="17"/>
  <c r="U433" i="17"/>
  <c r="V433" i="17"/>
  <c r="W433" i="17"/>
  <c r="X433" i="17"/>
  <c r="Y433" i="17"/>
  <c r="Z433" i="17"/>
  <c r="AA433" i="17"/>
  <c r="AB433" i="17"/>
  <c r="AC433" i="17"/>
  <c r="AD433" i="17"/>
  <c r="C434" i="17"/>
  <c r="D434" i="17"/>
  <c r="E434" i="17"/>
  <c r="F434" i="17"/>
  <c r="G434" i="17"/>
  <c r="H434" i="17"/>
  <c r="I434" i="17"/>
  <c r="J434" i="17"/>
  <c r="K434" i="17"/>
  <c r="L434" i="17"/>
  <c r="M434" i="17"/>
  <c r="N434" i="17"/>
  <c r="O434" i="17"/>
  <c r="P434" i="17"/>
  <c r="Q434" i="17"/>
  <c r="R434" i="17"/>
  <c r="S434" i="17"/>
  <c r="T434" i="17"/>
  <c r="U434" i="17"/>
  <c r="V434" i="17"/>
  <c r="W434" i="17"/>
  <c r="X434" i="17"/>
  <c r="Y434" i="17"/>
  <c r="Z434" i="17"/>
  <c r="AA434" i="17"/>
  <c r="AB434" i="17"/>
  <c r="AC434" i="17"/>
  <c r="AD434" i="17"/>
  <c r="C435" i="17"/>
  <c r="D435" i="17"/>
  <c r="E435" i="17"/>
  <c r="F435" i="17"/>
  <c r="G435" i="17"/>
  <c r="H435" i="17"/>
  <c r="I435" i="17"/>
  <c r="J435" i="17"/>
  <c r="K435" i="17"/>
  <c r="L435" i="17"/>
  <c r="M435" i="17"/>
  <c r="N435" i="17"/>
  <c r="O435" i="17"/>
  <c r="P435" i="17"/>
  <c r="Q435" i="17"/>
  <c r="R435" i="17"/>
  <c r="S435" i="17"/>
  <c r="T435" i="17"/>
  <c r="U435" i="17"/>
  <c r="V435" i="17"/>
  <c r="W435" i="17"/>
  <c r="X435" i="17"/>
  <c r="Y435" i="17"/>
  <c r="Z435" i="17"/>
  <c r="AA435" i="17"/>
  <c r="AB435" i="17"/>
  <c r="AC435" i="17"/>
  <c r="AD435" i="17"/>
  <c r="C436" i="17"/>
  <c r="D436" i="17"/>
  <c r="E436" i="17"/>
  <c r="F436" i="17"/>
  <c r="G436" i="17"/>
  <c r="H436" i="17"/>
  <c r="I436" i="17"/>
  <c r="J436" i="17"/>
  <c r="K436" i="17"/>
  <c r="L436" i="17"/>
  <c r="M436" i="17"/>
  <c r="N436" i="17"/>
  <c r="O436" i="17"/>
  <c r="P436" i="17"/>
  <c r="Q436" i="17"/>
  <c r="R436" i="17"/>
  <c r="S436" i="17"/>
  <c r="T436" i="17"/>
  <c r="U436" i="17"/>
  <c r="V436" i="17"/>
  <c r="W436" i="17"/>
  <c r="X436" i="17"/>
  <c r="Y436" i="17"/>
  <c r="Z436" i="17"/>
  <c r="AA436" i="17"/>
  <c r="AB436" i="17"/>
  <c r="AC436" i="17"/>
  <c r="AD436" i="17"/>
  <c r="C437" i="17"/>
  <c r="D437" i="17"/>
  <c r="E437" i="17"/>
  <c r="F437" i="17"/>
  <c r="G437" i="17"/>
  <c r="H437" i="17"/>
  <c r="I437" i="17"/>
  <c r="J437" i="17"/>
  <c r="K437" i="17"/>
  <c r="L437" i="17"/>
  <c r="M437" i="17"/>
  <c r="N437" i="17"/>
  <c r="O437" i="17"/>
  <c r="P437" i="17"/>
  <c r="Q437" i="17"/>
  <c r="R437" i="17"/>
  <c r="S437" i="17"/>
  <c r="T437" i="17"/>
  <c r="U437" i="17"/>
  <c r="V437" i="17"/>
  <c r="W437" i="17"/>
  <c r="X437" i="17"/>
  <c r="Y437" i="17"/>
  <c r="Z437" i="17"/>
  <c r="AA437" i="17"/>
  <c r="AB437" i="17"/>
  <c r="AC437" i="17"/>
  <c r="AD437" i="17"/>
  <c r="C438" i="17"/>
  <c r="D438" i="17"/>
  <c r="E438" i="17"/>
  <c r="F438" i="17"/>
  <c r="G438" i="17"/>
  <c r="H438" i="17"/>
  <c r="I438" i="17"/>
  <c r="J438" i="17"/>
  <c r="K438" i="17"/>
  <c r="L438" i="17"/>
  <c r="M438" i="17"/>
  <c r="N438" i="17"/>
  <c r="O438" i="17"/>
  <c r="P438" i="17"/>
  <c r="Q438" i="17"/>
  <c r="R438" i="17"/>
  <c r="S438" i="17"/>
  <c r="T438" i="17"/>
  <c r="U438" i="17"/>
  <c r="V438" i="17"/>
  <c r="W438" i="17"/>
  <c r="X438" i="17"/>
  <c r="Y438" i="17"/>
  <c r="Z438" i="17"/>
  <c r="AA438" i="17"/>
  <c r="AB438" i="17"/>
  <c r="AC438" i="17"/>
  <c r="AD438" i="17"/>
  <c r="C439" i="17"/>
  <c r="D439" i="17"/>
  <c r="E439" i="17"/>
  <c r="F439" i="17"/>
  <c r="G439" i="17"/>
  <c r="H439" i="17"/>
  <c r="I439" i="17"/>
  <c r="J439" i="17"/>
  <c r="K439" i="17"/>
  <c r="L439" i="17"/>
  <c r="M439" i="17"/>
  <c r="N439" i="17"/>
  <c r="O439" i="17"/>
  <c r="P439" i="17"/>
  <c r="Q439" i="17"/>
  <c r="R439" i="17"/>
  <c r="S439" i="17"/>
  <c r="T439" i="17"/>
  <c r="U439" i="17"/>
  <c r="V439" i="17"/>
  <c r="W439" i="17"/>
  <c r="X439" i="17"/>
  <c r="Y439" i="17"/>
  <c r="Z439" i="17"/>
  <c r="AA439" i="17"/>
  <c r="AB439" i="17"/>
  <c r="AC439" i="17"/>
  <c r="AD439" i="17"/>
  <c r="C440" i="17"/>
  <c r="D440" i="17"/>
  <c r="E440" i="17"/>
  <c r="F440" i="17"/>
  <c r="G440" i="17"/>
  <c r="H440" i="17"/>
  <c r="I440" i="17"/>
  <c r="J440" i="17"/>
  <c r="K440" i="17"/>
  <c r="L440" i="17"/>
  <c r="M440" i="17"/>
  <c r="N440" i="17"/>
  <c r="O440" i="17"/>
  <c r="P440" i="17"/>
  <c r="Q440" i="17"/>
  <c r="R440" i="17"/>
  <c r="S440" i="17"/>
  <c r="T440" i="17"/>
  <c r="U440" i="17"/>
  <c r="V440" i="17"/>
  <c r="W440" i="17"/>
  <c r="X440" i="17"/>
  <c r="Y440" i="17"/>
  <c r="Z440" i="17"/>
  <c r="AA440" i="17"/>
  <c r="AB440" i="17"/>
  <c r="AC440" i="17"/>
  <c r="AD440" i="17"/>
  <c r="C441" i="17"/>
  <c r="D441" i="17"/>
  <c r="E441" i="17"/>
  <c r="F441" i="17"/>
  <c r="G441" i="17"/>
  <c r="H441" i="17"/>
  <c r="I441" i="17"/>
  <c r="J441" i="17"/>
  <c r="K441" i="17"/>
  <c r="L441" i="17"/>
  <c r="M441" i="17"/>
  <c r="N441" i="17"/>
  <c r="O441" i="17"/>
  <c r="P441" i="17"/>
  <c r="Q441" i="17"/>
  <c r="R441" i="17"/>
  <c r="S441" i="17"/>
  <c r="T441" i="17"/>
  <c r="U441" i="17"/>
  <c r="V441" i="17"/>
  <c r="W441" i="17"/>
  <c r="X441" i="17"/>
  <c r="Y441" i="17"/>
  <c r="Z441" i="17"/>
  <c r="AA441" i="17"/>
  <c r="AB441" i="17"/>
  <c r="AC441" i="17"/>
  <c r="AD441" i="17"/>
  <c r="C442" i="17"/>
  <c r="D442" i="17"/>
  <c r="E442" i="17"/>
  <c r="F442" i="17"/>
  <c r="G442" i="17"/>
  <c r="H442" i="17"/>
  <c r="I442" i="17"/>
  <c r="J442" i="17"/>
  <c r="K442" i="17"/>
  <c r="L442" i="17"/>
  <c r="M442" i="17"/>
  <c r="N442" i="17"/>
  <c r="O442" i="17"/>
  <c r="P442" i="17"/>
  <c r="Q442" i="17"/>
  <c r="R442" i="17"/>
  <c r="S442" i="17"/>
  <c r="T442" i="17"/>
  <c r="U442" i="17"/>
  <c r="V442" i="17"/>
  <c r="W442" i="17"/>
  <c r="X442" i="17"/>
  <c r="Y442" i="17"/>
  <c r="Z442" i="17"/>
  <c r="AA442" i="17"/>
  <c r="AB442" i="17"/>
  <c r="AC442" i="17"/>
  <c r="AD442" i="17"/>
  <c r="C443" i="17"/>
  <c r="D443" i="17"/>
  <c r="E443" i="17"/>
  <c r="F443" i="17"/>
  <c r="G443" i="17"/>
  <c r="H443" i="17"/>
  <c r="I443" i="17"/>
  <c r="J443" i="17"/>
  <c r="K443" i="17"/>
  <c r="L443" i="17"/>
  <c r="M443" i="17"/>
  <c r="N443" i="17"/>
  <c r="O443" i="17"/>
  <c r="P443" i="17"/>
  <c r="Q443" i="17"/>
  <c r="R443" i="17"/>
  <c r="S443" i="17"/>
  <c r="T443" i="17"/>
  <c r="U443" i="17"/>
  <c r="V443" i="17"/>
  <c r="W443" i="17"/>
  <c r="X443" i="17"/>
  <c r="Y443" i="17"/>
  <c r="Z443" i="17"/>
  <c r="AA443" i="17"/>
  <c r="AB443" i="17"/>
  <c r="AC443" i="17"/>
  <c r="AD443" i="17"/>
  <c r="C444" i="17"/>
  <c r="D444" i="17"/>
  <c r="E444" i="17"/>
  <c r="F444" i="17"/>
  <c r="G444" i="17"/>
  <c r="H444" i="17"/>
  <c r="I444" i="17"/>
  <c r="J444" i="17"/>
  <c r="K444" i="17"/>
  <c r="L444" i="17"/>
  <c r="M444" i="17"/>
  <c r="N444" i="17"/>
  <c r="O444" i="17"/>
  <c r="P444" i="17"/>
  <c r="Q444" i="17"/>
  <c r="R444" i="17"/>
  <c r="S444" i="17"/>
  <c r="T444" i="17"/>
  <c r="U444" i="17"/>
  <c r="V444" i="17"/>
  <c r="W444" i="17"/>
  <c r="X444" i="17"/>
  <c r="Y444" i="17"/>
  <c r="Z444" i="17"/>
  <c r="AA444" i="17"/>
  <c r="AB444" i="17"/>
  <c r="AC444" i="17"/>
  <c r="AD444" i="17"/>
  <c r="C445" i="17"/>
  <c r="D445" i="17"/>
  <c r="E445" i="17"/>
  <c r="F445" i="17"/>
  <c r="G445" i="17"/>
  <c r="H445" i="17"/>
  <c r="I445" i="17"/>
  <c r="J445" i="17"/>
  <c r="K445" i="17"/>
  <c r="L445" i="17"/>
  <c r="M445" i="17"/>
  <c r="N445" i="17"/>
  <c r="O445" i="17"/>
  <c r="P445" i="17"/>
  <c r="Q445" i="17"/>
  <c r="R445" i="17"/>
  <c r="S445" i="17"/>
  <c r="T445" i="17"/>
  <c r="U445" i="17"/>
  <c r="V445" i="17"/>
  <c r="W445" i="17"/>
  <c r="X445" i="17"/>
  <c r="Y445" i="17"/>
  <c r="Z445" i="17"/>
  <c r="AA445" i="17"/>
  <c r="AB445" i="17"/>
  <c r="AC445" i="17"/>
  <c r="AD445" i="17"/>
  <c r="C446" i="17"/>
  <c r="D446" i="17"/>
  <c r="E446" i="17"/>
  <c r="F446" i="17"/>
  <c r="G446" i="17"/>
  <c r="H446" i="17"/>
  <c r="I446" i="17"/>
  <c r="J446" i="17"/>
  <c r="K446" i="17"/>
  <c r="L446" i="17"/>
  <c r="M446" i="17"/>
  <c r="N446" i="17"/>
  <c r="O446" i="17"/>
  <c r="P446" i="17"/>
  <c r="Q446" i="17"/>
  <c r="R446" i="17"/>
  <c r="S446" i="17"/>
  <c r="T446" i="17"/>
  <c r="U446" i="17"/>
  <c r="V446" i="17"/>
  <c r="W446" i="17"/>
  <c r="X446" i="17"/>
  <c r="Y446" i="17"/>
  <c r="Z446" i="17"/>
  <c r="AA446" i="17"/>
  <c r="AB446" i="17"/>
  <c r="AC446" i="17"/>
  <c r="AD446" i="17"/>
  <c r="C447" i="17"/>
  <c r="D447" i="17"/>
  <c r="E447" i="17"/>
  <c r="F447" i="17"/>
  <c r="G447" i="17"/>
  <c r="H447" i="17"/>
  <c r="I447" i="17"/>
  <c r="J447" i="17"/>
  <c r="K447" i="17"/>
  <c r="L447" i="17"/>
  <c r="M447" i="17"/>
  <c r="N447" i="17"/>
  <c r="O447" i="17"/>
  <c r="P447" i="17"/>
  <c r="Q447" i="17"/>
  <c r="R447" i="17"/>
  <c r="S447" i="17"/>
  <c r="T447" i="17"/>
  <c r="U447" i="17"/>
  <c r="V447" i="17"/>
  <c r="W447" i="17"/>
  <c r="X447" i="17"/>
  <c r="Y447" i="17"/>
  <c r="Z447" i="17"/>
  <c r="AA447" i="17"/>
  <c r="AB447" i="17"/>
  <c r="AC447" i="17"/>
  <c r="AD447" i="17"/>
  <c r="C448" i="17"/>
  <c r="D448" i="17"/>
  <c r="E448" i="17"/>
  <c r="F448" i="17"/>
  <c r="G448" i="17"/>
  <c r="H448" i="17"/>
  <c r="I448" i="17"/>
  <c r="J448" i="17"/>
  <c r="K448" i="17"/>
  <c r="L448" i="17"/>
  <c r="M448" i="17"/>
  <c r="N448" i="17"/>
  <c r="O448" i="17"/>
  <c r="P448" i="17"/>
  <c r="Q448" i="17"/>
  <c r="R448" i="17"/>
  <c r="S448" i="17"/>
  <c r="T448" i="17"/>
  <c r="U448" i="17"/>
  <c r="V448" i="17"/>
  <c r="W448" i="17"/>
  <c r="X448" i="17"/>
  <c r="Y448" i="17"/>
  <c r="Z448" i="17"/>
  <c r="AA448" i="17"/>
  <c r="AB448" i="17"/>
  <c r="AC448" i="17"/>
  <c r="AD448" i="17"/>
  <c r="C449" i="17"/>
  <c r="D449" i="17"/>
  <c r="E449" i="17"/>
  <c r="F449" i="17"/>
  <c r="G449" i="17"/>
  <c r="H449" i="17"/>
  <c r="I449" i="17"/>
  <c r="J449" i="17"/>
  <c r="K449" i="17"/>
  <c r="L449" i="17"/>
  <c r="M449" i="17"/>
  <c r="N449" i="17"/>
  <c r="O449" i="17"/>
  <c r="P449" i="17"/>
  <c r="Q449" i="17"/>
  <c r="R449" i="17"/>
  <c r="S449" i="17"/>
  <c r="T449" i="17"/>
  <c r="U449" i="17"/>
  <c r="V449" i="17"/>
  <c r="W449" i="17"/>
  <c r="X449" i="17"/>
  <c r="Y449" i="17"/>
  <c r="Z449" i="17"/>
  <c r="AA449" i="17"/>
  <c r="AB449" i="17"/>
  <c r="AC449" i="17"/>
  <c r="AD449" i="17"/>
  <c r="C450" i="17"/>
  <c r="D450" i="17"/>
  <c r="E450" i="17"/>
  <c r="F450" i="17"/>
  <c r="G450" i="17"/>
  <c r="H450" i="17"/>
  <c r="I450" i="17"/>
  <c r="J450" i="17"/>
  <c r="K450" i="17"/>
  <c r="L450" i="17"/>
  <c r="M450" i="17"/>
  <c r="N450" i="17"/>
  <c r="O450" i="17"/>
  <c r="P450" i="17"/>
  <c r="Q450" i="17"/>
  <c r="R450" i="17"/>
  <c r="S450" i="17"/>
  <c r="T450" i="17"/>
  <c r="U450" i="17"/>
  <c r="V450" i="17"/>
  <c r="W450" i="17"/>
  <c r="X450" i="17"/>
  <c r="Y450" i="17"/>
  <c r="Z450" i="17"/>
  <c r="AA450" i="17"/>
  <c r="AB450" i="17"/>
  <c r="AC450" i="17"/>
  <c r="AD450" i="17"/>
  <c r="C451" i="17"/>
  <c r="D451" i="17"/>
  <c r="E451" i="17"/>
  <c r="F451" i="17"/>
  <c r="G451" i="17"/>
  <c r="H451" i="17"/>
  <c r="I451" i="17"/>
  <c r="J451" i="17"/>
  <c r="K451" i="17"/>
  <c r="L451" i="17"/>
  <c r="M451" i="17"/>
  <c r="N451" i="17"/>
  <c r="O451" i="17"/>
  <c r="P451" i="17"/>
  <c r="Q451" i="17"/>
  <c r="R451" i="17"/>
  <c r="S451" i="17"/>
  <c r="T451" i="17"/>
  <c r="U451" i="17"/>
  <c r="V451" i="17"/>
  <c r="W451" i="17"/>
  <c r="X451" i="17"/>
  <c r="Y451" i="17"/>
  <c r="Z451" i="17"/>
  <c r="AA451" i="17"/>
  <c r="AB451" i="17"/>
  <c r="AC451" i="17"/>
  <c r="AD451" i="17"/>
  <c r="C452" i="17"/>
  <c r="D452" i="17"/>
  <c r="E452" i="17"/>
  <c r="F452" i="17"/>
  <c r="G452" i="17"/>
  <c r="H452" i="17"/>
  <c r="I452" i="17"/>
  <c r="J452" i="17"/>
  <c r="K452" i="17"/>
  <c r="L452" i="17"/>
  <c r="M452" i="17"/>
  <c r="N452" i="17"/>
  <c r="O452" i="17"/>
  <c r="P452" i="17"/>
  <c r="Q452" i="17"/>
  <c r="R452" i="17"/>
  <c r="S452" i="17"/>
  <c r="T452" i="17"/>
  <c r="U452" i="17"/>
  <c r="V452" i="17"/>
  <c r="W452" i="17"/>
  <c r="X452" i="17"/>
  <c r="Y452" i="17"/>
  <c r="Z452" i="17"/>
  <c r="AA452" i="17"/>
  <c r="AB452" i="17"/>
  <c r="AC452" i="17"/>
  <c r="AD452" i="17"/>
  <c r="C453" i="17"/>
  <c r="D453" i="17"/>
  <c r="E453" i="17"/>
  <c r="F453" i="17"/>
  <c r="G453" i="17"/>
  <c r="H453" i="17"/>
  <c r="I453" i="17"/>
  <c r="J453" i="17"/>
  <c r="K453" i="17"/>
  <c r="L453" i="17"/>
  <c r="M453" i="17"/>
  <c r="N453" i="17"/>
  <c r="O453" i="17"/>
  <c r="P453" i="17"/>
  <c r="Q453" i="17"/>
  <c r="R453" i="17"/>
  <c r="S453" i="17"/>
  <c r="T453" i="17"/>
  <c r="U453" i="17"/>
  <c r="V453" i="17"/>
  <c r="W453" i="17"/>
  <c r="X453" i="17"/>
  <c r="Y453" i="17"/>
  <c r="Z453" i="17"/>
  <c r="AA453" i="17"/>
  <c r="AB453" i="17"/>
  <c r="AC453" i="17"/>
  <c r="AD453" i="17"/>
  <c r="C454" i="17"/>
  <c r="D454" i="17"/>
  <c r="E454" i="17"/>
  <c r="F454" i="17"/>
  <c r="G454" i="17"/>
  <c r="H454" i="17"/>
  <c r="I454" i="17"/>
  <c r="J454" i="17"/>
  <c r="K454" i="17"/>
  <c r="L454" i="17"/>
  <c r="M454" i="17"/>
  <c r="N454" i="17"/>
  <c r="O454" i="17"/>
  <c r="P454" i="17"/>
  <c r="Q454" i="17"/>
  <c r="R454" i="17"/>
  <c r="S454" i="17"/>
  <c r="T454" i="17"/>
  <c r="U454" i="17"/>
  <c r="V454" i="17"/>
  <c r="W454" i="17"/>
  <c r="X454" i="17"/>
  <c r="Y454" i="17"/>
  <c r="Z454" i="17"/>
  <c r="AA454" i="17"/>
  <c r="AB454" i="17"/>
  <c r="AC454" i="17"/>
  <c r="AD454" i="17"/>
  <c r="C455" i="17"/>
  <c r="D455" i="17"/>
  <c r="E455" i="17"/>
  <c r="F455" i="17"/>
  <c r="G455" i="17"/>
  <c r="H455" i="17"/>
  <c r="I455" i="17"/>
  <c r="J455" i="17"/>
  <c r="K455" i="17"/>
  <c r="L455" i="17"/>
  <c r="M455" i="17"/>
  <c r="N455" i="17"/>
  <c r="O455" i="17"/>
  <c r="P455" i="17"/>
  <c r="Q455" i="17"/>
  <c r="R455" i="17"/>
  <c r="S455" i="17"/>
  <c r="T455" i="17"/>
  <c r="U455" i="17"/>
  <c r="V455" i="17"/>
  <c r="W455" i="17"/>
  <c r="X455" i="17"/>
  <c r="Y455" i="17"/>
  <c r="Z455" i="17"/>
  <c r="AA455" i="17"/>
  <c r="AB455" i="17"/>
  <c r="AC455" i="17"/>
  <c r="AD455" i="17"/>
  <c r="C456" i="17"/>
  <c r="D456" i="17"/>
  <c r="E456" i="17"/>
  <c r="F456" i="17"/>
  <c r="G456" i="17"/>
  <c r="H456" i="17"/>
  <c r="I456" i="17"/>
  <c r="J456" i="17"/>
  <c r="K456" i="17"/>
  <c r="L456" i="17"/>
  <c r="M456" i="17"/>
  <c r="N456" i="17"/>
  <c r="O456" i="17"/>
  <c r="P456" i="17"/>
  <c r="Q456" i="17"/>
  <c r="R456" i="17"/>
  <c r="S456" i="17"/>
  <c r="T456" i="17"/>
  <c r="U456" i="17"/>
  <c r="V456" i="17"/>
  <c r="W456" i="17"/>
  <c r="X456" i="17"/>
  <c r="Y456" i="17"/>
  <c r="Z456" i="17"/>
  <c r="AA456" i="17"/>
  <c r="AB456" i="17"/>
  <c r="AC456" i="17"/>
  <c r="AD456" i="17"/>
  <c r="C457" i="17"/>
  <c r="D457" i="17"/>
  <c r="E457" i="17"/>
  <c r="F457" i="17"/>
  <c r="G457" i="17"/>
  <c r="H457" i="17"/>
  <c r="I457" i="17"/>
  <c r="J457" i="17"/>
  <c r="K457" i="17"/>
  <c r="L457" i="17"/>
  <c r="M457" i="17"/>
  <c r="N457" i="17"/>
  <c r="O457" i="17"/>
  <c r="P457" i="17"/>
  <c r="Q457" i="17"/>
  <c r="R457" i="17"/>
  <c r="S457" i="17"/>
  <c r="T457" i="17"/>
  <c r="U457" i="17"/>
  <c r="V457" i="17"/>
  <c r="W457" i="17"/>
  <c r="X457" i="17"/>
  <c r="Y457" i="17"/>
  <c r="Z457" i="17"/>
  <c r="AA457" i="17"/>
  <c r="AB457" i="17"/>
  <c r="AC457" i="17"/>
  <c r="AD457" i="17"/>
  <c r="C458" i="17"/>
  <c r="D458" i="17"/>
  <c r="E458" i="17"/>
  <c r="F458" i="17"/>
  <c r="G458" i="17"/>
  <c r="H458" i="17"/>
  <c r="I458" i="17"/>
  <c r="J458" i="17"/>
  <c r="K458" i="17"/>
  <c r="L458" i="17"/>
  <c r="M458" i="17"/>
  <c r="N458" i="17"/>
  <c r="O458" i="17"/>
  <c r="P458" i="17"/>
  <c r="Q458" i="17"/>
  <c r="R458" i="17"/>
  <c r="S458" i="17"/>
  <c r="T458" i="17"/>
  <c r="U458" i="17"/>
  <c r="V458" i="17"/>
  <c r="W458" i="17"/>
  <c r="X458" i="17"/>
  <c r="Y458" i="17"/>
  <c r="Z458" i="17"/>
  <c r="AA458" i="17"/>
  <c r="AB458" i="17"/>
  <c r="AC458" i="17"/>
  <c r="AD458" i="17"/>
  <c r="C459" i="17"/>
  <c r="D459" i="17"/>
  <c r="E459" i="17"/>
  <c r="F459" i="17"/>
  <c r="G459" i="17"/>
  <c r="H459" i="17"/>
  <c r="I459" i="17"/>
  <c r="J459" i="17"/>
  <c r="K459" i="17"/>
  <c r="L459" i="17"/>
  <c r="M459" i="17"/>
  <c r="N459" i="17"/>
  <c r="O459" i="17"/>
  <c r="P459" i="17"/>
  <c r="Q459" i="17"/>
  <c r="R459" i="17"/>
  <c r="S459" i="17"/>
  <c r="T459" i="17"/>
  <c r="U459" i="17"/>
  <c r="V459" i="17"/>
  <c r="W459" i="17"/>
  <c r="X459" i="17"/>
  <c r="Y459" i="17"/>
  <c r="Z459" i="17"/>
  <c r="AA459" i="17"/>
  <c r="AB459" i="17"/>
  <c r="AC459" i="17"/>
  <c r="AD459" i="17"/>
  <c r="C460" i="17"/>
  <c r="D460" i="17"/>
  <c r="E460" i="17"/>
  <c r="F460" i="17"/>
  <c r="G460" i="17"/>
  <c r="H460" i="17"/>
  <c r="I460" i="17"/>
  <c r="J460" i="17"/>
  <c r="K460" i="17"/>
  <c r="L460" i="17"/>
  <c r="M460" i="17"/>
  <c r="N460" i="17"/>
  <c r="O460" i="17"/>
  <c r="P460" i="17"/>
  <c r="Q460" i="17"/>
  <c r="R460" i="17"/>
  <c r="S460" i="17"/>
  <c r="T460" i="17"/>
  <c r="U460" i="17"/>
  <c r="V460" i="17"/>
  <c r="W460" i="17"/>
  <c r="X460" i="17"/>
  <c r="Y460" i="17"/>
  <c r="Z460" i="17"/>
  <c r="AA460" i="17"/>
  <c r="AB460" i="17"/>
  <c r="AC460" i="17"/>
  <c r="AD460" i="17"/>
  <c r="C461" i="17"/>
  <c r="D461" i="17"/>
  <c r="E461" i="17"/>
  <c r="F461" i="17"/>
  <c r="G461" i="17"/>
  <c r="H461" i="17"/>
  <c r="I461" i="17"/>
  <c r="J461" i="17"/>
  <c r="K461" i="17"/>
  <c r="L461" i="17"/>
  <c r="M461" i="17"/>
  <c r="N461" i="17"/>
  <c r="O461" i="17"/>
  <c r="P461" i="17"/>
  <c r="Q461" i="17"/>
  <c r="R461" i="17"/>
  <c r="S461" i="17"/>
  <c r="T461" i="17"/>
  <c r="U461" i="17"/>
  <c r="V461" i="17"/>
  <c r="W461" i="17"/>
  <c r="X461" i="17"/>
  <c r="Y461" i="17"/>
  <c r="Z461" i="17"/>
  <c r="AA461" i="17"/>
  <c r="AB461" i="17"/>
  <c r="AC461" i="17"/>
  <c r="AD461" i="17"/>
  <c r="C462" i="17"/>
  <c r="D462" i="17"/>
  <c r="E462" i="17"/>
  <c r="F462" i="17"/>
  <c r="G462" i="17"/>
  <c r="H462" i="17"/>
  <c r="I462" i="17"/>
  <c r="J462" i="17"/>
  <c r="K462" i="17"/>
  <c r="L462" i="17"/>
  <c r="M462" i="17"/>
  <c r="N462" i="17"/>
  <c r="O462" i="17"/>
  <c r="P462" i="17"/>
  <c r="Q462" i="17"/>
  <c r="R462" i="17"/>
  <c r="S462" i="17"/>
  <c r="T462" i="17"/>
  <c r="U462" i="17"/>
  <c r="V462" i="17"/>
  <c r="W462" i="17"/>
  <c r="X462" i="17"/>
  <c r="Y462" i="17"/>
  <c r="Z462" i="17"/>
  <c r="AA462" i="17"/>
  <c r="AB462" i="17"/>
  <c r="AC462" i="17"/>
  <c r="AD462" i="17"/>
  <c r="C463" i="17"/>
  <c r="D463" i="17"/>
  <c r="E463" i="17"/>
  <c r="F463" i="17"/>
  <c r="G463" i="17"/>
  <c r="H463" i="17"/>
  <c r="I463" i="17"/>
  <c r="J463" i="17"/>
  <c r="K463" i="17"/>
  <c r="L463" i="17"/>
  <c r="M463" i="17"/>
  <c r="N463" i="17"/>
  <c r="O463" i="17"/>
  <c r="P463" i="17"/>
  <c r="Q463" i="17"/>
  <c r="R463" i="17"/>
  <c r="S463" i="17"/>
  <c r="T463" i="17"/>
  <c r="U463" i="17"/>
  <c r="V463" i="17"/>
  <c r="W463" i="17"/>
  <c r="X463" i="17"/>
  <c r="Y463" i="17"/>
  <c r="Z463" i="17"/>
  <c r="AA463" i="17"/>
  <c r="AB463" i="17"/>
  <c r="AC463" i="17"/>
  <c r="AD463" i="17"/>
  <c r="C464" i="17"/>
  <c r="D464" i="17"/>
  <c r="E464" i="17"/>
  <c r="F464" i="17"/>
  <c r="G464" i="17"/>
  <c r="H464" i="17"/>
  <c r="I464" i="17"/>
  <c r="J464" i="17"/>
  <c r="K464" i="17"/>
  <c r="L464" i="17"/>
  <c r="M464" i="17"/>
  <c r="N464" i="17"/>
  <c r="O464" i="17"/>
  <c r="P464" i="17"/>
  <c r="Q464" i="17"/>
  <c r="R464" i="17"/>
  <c r="S464" i="17"/>
  <c r="T464" i="17"/>
  <c r="U464" i="17"/>
  <c r="V464" i="17"/>
  <c r="W464" i="17"/>
  <c r="X464" i="17"/>
  <c r="Y464" i="17"/>
  <c r="Z464" i="17"/>
  <c r="AA464" i="17"/>
  <c r="AB464" i="17"/>
  <c r="AC464" i="17"/>
  <c r="AD464" i="17"/>
  <c r="C465" i="17"/>
  <c r="D465" i="17"/>
  <c r="E465" i="17"/>
  <c r="F465" i="17"/>
  <c r="G465" i="17"/>
  <c r="H465" i="17"/>
  <c r="I465" i="17"/>
  <c r="J465" i="17"/>
  <c r="K465" i="17"/>
  <c r="L465" i="17"/>
  <c r="M465" i="17"/>
  <c r="N465" i="17"/>
  <c r="O465" i="17"/>
  <c r="P465" i="17"/>
  <c r="Q465" i="17"/>
  <c r="R465" i="17"/>
  <c r="S465" i="17"/>
  <c r="T465" i="17"/>
  <c r="U465" i="17"/>
  <c r="V465" i="17"/>
  <c r="W465" i="17"/>
  <c r="X465" i="17"/>
  <c r="Y465" i="17"/>
  <c r="Z465" i="17"/>
  <c r="AA465" i="17"/>
  <c r="AB465" i="17"/>
  <c r="AC465" i="17"/>
  <c r="AD465" i="17"/>
  <c r="C466" i="17"/>
  <c r="D466" i="17"/>
  <c r="E466" i="17"/>
  <c r="F466" i="17"/>
  <c r="G466" i="17"/>
  <c r="H466" i="17"/>
  <c r="I466" i="17"/>
  <c r="J466" i="17"/>
  <c r="K466" i="17"/>
  <c r="L466" i="17"/>
  <c r="M466" i="17"/>
  <c r="N466" i="17"/>
  <c r="O466" i="17"/>
  <c r="P466" i="17"/>
  <c r="Q466" i="17"/>
  <c r="R466" i="17"/>
  <c r="S466" i="17"/>
  <c r="T466" i="17"/>
  <c r="U466" i="17"/>
  <c r="V466" i="17"/>
  <c r="W466" i="17"/>
  <c r="X466" i="17"/>
  <c r="Y466" i="17"/>
  <c r="Z466" i="17"/>
  <c r="AA466" i="17"/>
  <c r="AB466" i="17"/>
  <c r="AC466" i="17"/>
  <c r="AD466" i="17"/>
  <c r="C467" i="17"/>
  <c r="D467" i="17"/>
  <c r="E467" i="17"/>
  <c r="F467" i="17"/>
  <c r="G467" i="17"/>
  <c r="H467" i="17"/>
  <c r="I467" i="17"/>
  <c r="J467" i="17"/>
  <c r="K467" i="17"/>
  <c r="L467" i="17"/>
  <c r="M467" i="17"/>
  <c r="N467" i="17"/>
  <c r="O467" i="17"/>
  <c r="P467" i="17"/>
  <c r="Q467" i="17"/>
  <c r="R467" i="17"/>
  <c r="S467" i="17"/>
  <c r="T467" i="17"/>
  <c r="U467" i="17"/>
  <c r="V467" i="17"/>
  <c r="W467" i="17"/>
  <c r="X467" i="17"/>
  <c r="Y467" i="17"/>
  <c r="Z467" i="17"/>
  <c r="AA467" i="17"/>
  <c r="AB467" i="17"/>
  <c r="AC467" i="17"/>
  <c r="AD467" i="17"/>
  <c r="C468" i="17"/>
  <c r="D468" i="17"/>
  <c r="E468" i="17"/>
  <c r="F468" i="17"/>
  <c r="G468" i="17"/>
  <c r="H468" i="17"/>
  <c r="I468" i="17"/>
  <c r="J468" i="17"/>
  <c r="K468" i="17"/>
  <c r="L468" i="17"/>
  <c r="M468" i="17"/>
  <c r="N468" i="17"/>
  <c r="O468" i="17"/>
  <c r="P468" i="17"/>
  <c r="Q468" i="17"/>
  <c r="R468" i="17"/>
  <c r="S468" i="17"/>
  <c r="T468" i="17"/>
  <c r="U468" i="17"/>
  <c r="V468" i="17"/>
  <c r="W468" i="17"/>
  <c r="X468" i="17"/>
  <c r="Y468" i="17"/>
  <c r="Z468" i="17"/>
  <c r="AA468" i="17"/>
  <c r="AB468" i="17"/>
  <c r="AC468" i="17"/>
  <c r="AD468" i="17"/>
  <c r="C469" i="17"/>
  <c r="D469" i="17"/>
  <c r="E469" i="17"/>
  <c r="F469" i="17"/>
  <c r="G469" i="17"/>
  <c r="H469" i="17"/>
  <c r="I469" i="17"/>
  <c r="J469" i="17"/>
  <c r="K469" i="17"/>
  <c r="L469" i="17"/>
  <c r="M469" i="17"/>
  <c r="N469" i="17"/>
  <c r="O469" i="17"/>
  <c r="P469" i="17"/>
  <c r="Q469" i="17"/>
  <c r="R469" i="17"/>
  <c r="S469" i="17"/>
  <c r="T469" i="17"/>
  <c r="U469" i="17"/>
  <c r="V469" i="17"/>
  <c r="W469" i="17"/>
  <c r="X469" i="17"/>
  <c r="Y469" i="17"/>
  <c r="Z469" i="17"/>
  <c r="AA469" i="17"/>
  <c r="AB469" i="17"/>
  <c r="AC469" i="17"/>
  <c r="AD469" i="17"/>
  <c r="C470" i="17"/>
  <c r="D470" i="17"/>
  <c r="E470" i="17"/>
  <c r="F470" i="17"/>
  <c r="G470" i="17"/>
  <c r="H470" i="17"/>
  <c r="I470" i="17"/>
  <c r="J470" i="17"/>
  <c r="K470" i="17"/>
  <c r="L470" i="17"/>
  <c r="M470" i="17"/>
  <c r="N470" i="17"/>
  <c r="O470" i="17"/>
  <c r="P470" i="17"/>
  <c r="Q470" i="17"/>
  <c r="R470" i="17"/>
  <c r="S470" i="17"/>
  <c r="T470" i="17"/>
  <c r="U470" i="17"/>
  <c r="V470" i="17"/>
  <c r="W470" i="17"/>
  <c r="X470" i="17"/>
  <c r="Y470" i="17"/>
  <c r="Z470" i="17"/>
  <c r="AA470" i="17"/>
  <c r="AB470" i="17"/>
  <c r="AC470" i="17"/>
  <c r="AD470" i="17"/>
  <c r="C471" i="17"/>
  <c r="D471" i="17"/>
  <c r="E471" i="17"/>
  <c r="F471" i="17"/>
  <c r="G471" i="17"/>
  <c r="H471" i="17"/>
  <c r="I471" i="17"/>
  <c r="J471" i="17"/>
  <c r="K471" i="17"/>
  <c r="L471" i="17"/>
  <c r="M471" i="17"/>
  <c r="N471" i="17"/>
  <c r="O471" i="17"/>
  <c r="P471" i="17"/>
  <c r="Q471" i="17"/>
  <c r="R471" i="17"/>
  <c r="S471" i="17"/>
  <c r="T471" i="17"/>
  <c r="U471" i="17"/>
  <c r="V471" i="17"/>
  <c r="W471" i="17"/>
  <c r="X471" i="17"/>
  <c r="Y471" i="17"/>
  <c r="Z471" i="17"/>
  <c r="AA471" i="17"/>
  <c r="AB471" i="17"/>
  <c r="AC471" i="17"/>
  <c r="AD471" i="17"/>
  <c r="C472" i="17"/>
  <c r="D472" i="17"/>
  <c r="E472" i="17"/>
  <c r="F472" i="17"/>
  <c r="G472" i="17"/>
  <c r="H472" i="17"/>
  <c r="I472" i="17"/>
  <c r="J472" i="17"/>
  <c r="K472" i="17"/>
  <c r="L472" i="17"/>
  <c r="M472" i="17"/>
  <c r="N472" i="17"/>
  <c r="O472" i="17"/>
  <c r="P472" i="17"/>
  <c r="Q472" i="17"/>
  <c r="R472" i="17"/>
  <c r="S472" i="17"/>
  <c r="T472" i="17"/>
  <c r="U472" i="17"/>
  <c r="V472" i="17"/>
  <c r="W472" i="17"/>
  <c r="X472" i="17"/>
  <c r="Y472" i="17"/>
  <c r="Z472" i="17"/>
  <c r="AA472" i="17"/>
  <c r="AB472" i="17"/>
  <c r="AC472" i="17"/>
  <c r="AD472" i="17"/>
  <c r="C473" i="17"/>
  <c r="D473" i="17"/>
  <c r="E473" i="17"/>
  <c r="F473" i="17"/>
  <c r="G473" i="17"/>
  <c r="H473" i="17"/>
  <c r="I473" i="17"/>
  <c r="J473" i="17"/>
  <c r="K473" i="17"/>
  <c r="L473" i="17"/>
  <c r="M473" i="17"/>
  <c r="N473" i="17"/>
  <c r="O473" i="17"/>
  <c r="P473" i="17"/>
  <c r="Q473" i="17"/>
  <c r="R473" i="17"/>
  <c r="S473" i="17"/>
  <c r="T473" i="17"/>
  <c r="U473" i="17"/>
  <c r="V473" i="17"/>
  <c r="W473" i="17"/>
  <c r="X473" i="17"/>
  <c r="Y473" i="17"/>
  <c r="Z473" i="17"/>
  <c r="AA473" i="17"/>
  <c r="AB473" i="17"/>
  <c r="AC473" i="17"/>
  <c r="AD473" i="17"/>
  <c r="C474" i="17"/>
  <c r="D474" i="17"/>
  <c r="E474" i="17"/>
  <c r="F474" i="17"/>
  <c r="G474" i="17"/>
  <c r="H474" i="17"/>
  <c r="I474" i="17"/>
  <c r="J474" i="17"/>
  <c r="K474" i="17"/>
  <c r="L474" i="17"/>
  <c r="M474" i="17"/>
  <c r="N474" i="17"/>
  <c r="O474" i="17"/>
  <c r="P474" i="17"/>
  <c r="Q474" i="17"/>
  <c r="R474" i="17"/>
  <c r="S474" i="17"/>
  <c r="T474" i="17"/>
  <c r="U474" i="17"/>
  <c r="V474" i="17"/>
  <c r="W474" i="17"/>
  <c r="X474" i="17"/>
  <c r="Y474" i="17"/>
  <c r="Z474" i="17"/>
  <c r="AA474" i="17"/>
  <c r="AB474" i="17"/>
  <c r="AC474" i="17"/>
  <c r="AD474" i="17"/>
  <c r="C475" i="17"/>
  <c r="D475" i="17"/>
  <c r="E475" i="17"/>
  <c r="F475" i="17"/>
  <c r="G475" i="17"/>
  <c r="H475" i="17"/>
  <c r="I475" i="17"/>
  <c r="J475" i="17"/>
  <c r="K475" i="17"/>
  <c r="L475" i="17"/>
  <c r="M475" i="17"/>
  <c r="N475" i="17"/>
  <c r="O475" i="17"/>
  <c r="P475" i="17"/>
  <c r="Q475" i="17"/>
  <c r="R475" i="17"/>
  <c r="S475" i="17"/>
  <c r="T475" i="17"/>
  <c r="U475" i="17"/>
  <c r="V475" i="17"/>
  <c r="W475" i="17"/>
  <c r="X475" i="17"/>
  <c r="Y475" i="17"/>
  <c r="Z475" i="17"/>
  <c r="AA475" i="17"/>
  <c r="AB475" i="17"/>
  <c r="AC475" i="17"/>
  <c r="AD475" i="17"/>
  <c r="C476" i="17"/>
  <c r="D476" i="17"/>
  <c r="E476" i="17"/>
  <c r="F476" i="17"/>
  <c r="G476" i="17"/>
  <c r="H476" i="17"/>
  <c r="I476" i="17"/>
  <c r="J476" i="17"/>
  <c r="K476" i="17"/>
  <c r="L476" i="17"/>
  <c r="M476" i="17"/>
  <c r="N476" i="17"/>
  <c r="O476" i="17"/>
  <c r="P476" i="17"/>
  <c r="Q476" i="17"/>
  <c r="R476" i="17"/>
  <c r="S476" i="17"/>
  <c r="T476" i="17"/>
  <c r="U476" i="17"/>
  <c r="V476" i="17"/>
  <c r="W476" i="17"/>
  <c r="X476" i="17"/>
  <c r="Y476" i="17"/>
  <c r="Z476" i="17"/>
  <c r="AA476" i="17"/>
  <c r="AB476" i="17"/>
  <c r="AC476" i="17"/>
  <c r="AD476" i="17"/>
  <c r="C477" i="17"/>
  <c r="D477" i="17"/>
  <c r="E477" i="17"/>
  <c r="F477" i="17"/>
  <c r="G477" i="17"/>
  <c r="H477" i="17"/>
  <c r="I477" i="17"/>
  <c r="J477" i="17"/>
  <c r="K477" i="17"/>
  <c r="L477" i="17"/>
  <c r="M477" i="17"/>
  <c r="N477" i="17"/>
  <c r="O477" i="17"/>
  <c r="P477" i="17"/>
  <c r="Q477" i="17"/>
  <c r="R477" i="17"/>
  <c r="S477" i="17"/>
  <c r="T477" i="17"/>
  <c r="U477" i="17"/>
  <c r="V477" i="17"/>
  <c r="W477" i="17"/>
  <c r="X477" i="17"/>
  <c r="Y477" i="17"/>
  <c r="Z477" i="17"/>
  <c r="AA477" i="17"/>
  <c r="AB477" i="17"/>
  <c r="AC477" i="17"/>
  <c r="AD477" i="17"/>
  <c r="C478" i="17"/>
  <c r="D478" i="17"/>
  <c r="E478" i="17"/>
  <c r="F478" i="17"/>
  <c r="G478" i="17"/>
  <c r="H478" i="17"/>
  <c r="I478" i="17"/>
  <c r="J478" i="17"/>
  <c r="K478" i="17"/>
  <c r="L478" i="17"/>
  <c r="M478" i="17"/>
  <c r="N478" i="17"/>
  <c r="O478" i="17"/>
  <c r="P478" i="17"/>
  <c r="Q478" i="17"/>
  <c r="R478" i="17"/>
  <c r="S478" i="17"/>
  <c r="T478" i="17"/>
  <c r="U478" i="17"/>
  <c r="V478" i="17"/>
  <c r="W478" i="17"/>
  <c r="X478" i="17"/>
  <c r="Y478" i="17"/>
  <c r="Z478" i="17"/>
  <c r="AA478" i="17"/>
  <c r="AB478" i="17"/>
  <c r="AC478" i="17"/>
  <c r="AD478" i="17"/>
  <c r="C479" i="17"/>
  <c r="D479" i="17"/>
  <c r="E479" i="17"/>
  <c r="F479" i="17"/>
  <c r="G479" i="17"/>
  <c r="H479" i="17"/>
  <c r="I479" i="17"/>
  <c r="J479" i="17"/>
  <c r="K479" i="17"/>
  <c r="L479" i="17"/>
  <c r="M479" i="17"/>
  <c r="N479" i="17"/>
  <c r="O479" i="17"/>
  <c r="P479" i="17"/>
  <c r="Q479" i="17"/>
  <c r="R479" i="17"/>
  <c r="S479" i="17"/>
  <c r="T479" i="17"/>
  <c r="U479" i="17"/>
  <c r="V479" i="17"/>
  <c r="W479" i="17"/>
  <c r="X479" i="17"/>
  <c r="Y479" i="17"/>
  <c r="Z479" i="17"/>
  <c r="AA479" i="17"/>
  <c r="AB479" i="17"/>
  <c r="AC479" i="17"/>
  <c r="AD479" i="17"/>
  <c r="C480" i="17"/>
  <c r="D480" i="17"/>
  <c r="E480" i="17"/>
  <c r="F480" i="17"/>
  <c r="G480" i="17"/>
  <c r="H480" i="17"/>
  <c r="I480" i="17"/>
  <c r="J480" i="17"/>
  <c r="K480" i="17"/>
  <c r="L480" i="17"/>
  <c r="M480" i="17"/>
  <c r="N480" i="17"/>
  <c r="O480" i="17"/>
  <c r="P480" i="17"/>
  <c r="Q480" i="17"/>
  <c r="R480" i="17"/>
  <c r="S480" i="17"/>
  <c r="T480" i="17"/>
  <c r="U480" i="17"/>
  <c r="V480" i="17"/>
  <c r="W480" i="17"/>
  <c r="X480" i="17"/>
  <c r="Y480" i="17"/>
  <c r="Z480" i="17"/>
  <c r="AA480" i="17"/>
  <c r="AB480" i="17"/>
  <c r="AC480" i="17"/>
  <c r="AD480" i="17"/>
  <c r="C481" i="17"/>
  <c r="D481" i="17"/>
  <c r="E481" i="17"/>
  <c r="F481" i="17"/>
  <c r="G481" i="17"/>
  <c r="H481" i="17"/>
  <c r="I481" i="17"/>
  <c r="J481" i="17"/>
  <c r="K481" i="17"/>
  <c r="L481" i="17"/>
  <c r="M481" i="17"/>
  <c r="N481" i="17"/>
  <c r="O481" i="17"/>
  <c r="P481" i="17"/>
  <c r="Q481" i="17"/>
  <c r="R481" i="17"/>
  <c r="S481" i="17"/>
  <c r="T481" i="17"/>
  <c r="U481" i="17"/>
  <c r="V481" i="17"/>
  <c r="W481" i="17"/>
  <c r="X481" i="17"/>
  <c r="Y481" i="17"/>
  <c r="Z481" i="17"/>
  <c r="AA481" i="17"/>
  <c r="AB481" i="17"/>
  <c r="AC481" i="17"/>
  <c r="AD481" i="17"/>
  <c r="C482" i="17"/>
  <c r="D482" i="17"/>
  <c r="E482" i="17"/>
  <c r="F482" i="17"/>
  <c r="G482" i="17"/>
  <c r="H482" i="17"/>
  <c r="I482" i="17"/>
  <c r="J482" i="17"/>
  <c r="K482" i="17"/>
  <c r="L482" i="17"/>
  <c r="M482" i="17"/>
  <c r="N482" i="17"/>
  <c r="O482" i="17"/>
  <c r="P482" i="17"/>
  <c r="Q482" i="17"/>
  <c r="R482" i="17"/>
  <c r="S482" i="17"/>
  <c r="T482" i="17"/>
  <c r="U482" i="17"/>
  <c r="V482" i="17"/>
  <c r="W482" i="17"/>
  <c r="X482" i="17"/>
  <c r="Y482" i="17"/>
  <c r="Z482" i="17"/>
  <c r="AA482" i="17"/>
  <c r="AB482" i="17"/>
  <c r="AC482" i="17"/>
  <c r="AD482" i="17"/>
  <c r="C483" i="17"/>
  <c r="D483" i="17"/>
  <c r="E483" i="17"/>
  <c r="F483" i="17"/>
  <c r="G483" i="17"/>
  <c r="H483" i="17"/>
  <c r="I483" i="17"/>
  <c r="J483" i="17"/>
  <c r="K483" i="17"/>
  <c r="L483" i="17"/>
  <c r="M483" i="17"/>
  <c r="N483" i="17"/>
  <c r="O483" i="17"/>
  <c r="P483" i="17"/>
  <c r="Q483" i="17"/>
  <c r="R483" i="17"/>
  <c r="S483" i="17"/>
  <c r="T483" i="17"/>
  <c r="U483" i="17"/>
  <c r="V483" i="17"/>
  <c r="W483" i="17"/>
  <c r="X483" i="17"/>
  <c r="Y483" i="17"/>
  <c r="Z483" i="17"/>
  <c r="AA483" i="17"/>
  <c r="AB483" i="17"/>
  <c r="AC483" i="17"/>
  <c r="AD483" i="17"/>
  <c r="C484" i="17"/>
  <c r="D484" i="17"/>
  <c r="E484" i="17"/>
  <c r="F484" i="17"/>
  <c r="G484" i="17"/>
  <c r="H484" i="17"/>
  <c r="I484" i="17"/>
  <c r="J484" i="17"/>
  <c r="K484" i="17"/>
  <c r="L484" i="17"/>
  <c r="M484" i="17"/>
  <c r="N484" i="17"/>
  <c r="O484" i="17"/>
  <c r="P484" i="17"/>
  <c r="Q484" i="17"/>
  <c r="R484" i="17"/>
  <c r="S484" i="17"/>
  <c r="T484" i="17"/>
  <c r="U484" i="17"/>
  <c r="V484" i="17"/>
  <c r="W484" i="17"/>
  <c r="X484" i="17"/>
  <c r="Y484" i="17"/>
  <c r="Z484" i="17"/>
  <c r="AA484" i="17"/>
  <c r="AB484" i="17"/>
  <c r="AC484" i="17"/>
  <c r="AD484" i="17"/>
  <c r="C485" i="17"/>
  <c r="D485" i="17"/>
  <c r="E485" i="17"/>
  <c r="F485" i="17"/>
  <c r="G485" i="17"/>
  <c r="H485" i="17"/>
  <c r="I485" i="17"/>
  <c r="J485" i="17"/>
  <c r="K485" i="17"/>
  <c r="L485" i="17"/>
  <c r="M485" i="17"/>
  <c r="N485" i="17"/>
  <c r="O485" i="17"/>
  <c r="P485" i="17"/>
  <c r="Q485" i="17"/>
  <c r="R485" i="17"/>
  <c r="S485" i="17"/>
  <c r="T485" i="17"/>
  <c r="U485" i="17"/>
  <c r="V485" i="17"/>
  <c r="W485" i="17"/>
  <c r="X485" i="17"/>
  <c r="Y485" i="17"/>
  <c r="Z485" i="17"/>
  <c r="AA485" i="17"/>
  <c r="AB485" i="17"/>
  <c r="AC485" i="17"/>
  <c r="AD485" i="17"/>
  <c r="C486" i="17"/>
  <c r="D486" i="17"/>
  <c r="E486" i="17"/>
  <c r="F486" i="17"/>
  <c r="G486" i="17"/>
  <c r="H486" i="17"/>
  <c r="I486" i="17"/>
  <c r="J486" i="17"/>
  <c r="K486" i="17"/>
  <c r="L486" i="17"/>
  <c r="M486" i="17"/>
  <c r="N486" i="17"/>
  <c r="O486" i="17"/>
  <c r="P486" i="17"/>
  <c r="Q486" i="17"/>
  <c r="R486" i="17"/>
  <c r="S486" i="17"/>
  <c r="T486" i="17"/>
  <c r="U486" i="17"/>
  <c r="V486" i="17"/>
  <c r="W486" i="17"/>
  <c r="X486" i="17"/>
  <c r="Y486" i="17"/>
  <c r="Z486" i="17"/>
  <c r="AA486" i="17"/>
  <c r="AB486" i="17"/>
  <c r="AC486" i="17"/>
  <c r="AD486" i="17"/>
  <c r="C487" i="17"/>
  <c r="D487" i="17"/>
  <c r="E487" i="17"/>
  <c r="F487" i="17"/>
  <c r="G487" i="17"/>
  <c r="H487" i="17"/>
  <c r="I487" i="17"/>
  <c r="J487" i="17"/>
  <c r="K487" i="17"/>
  <c r="L487" i="17"/>
  <c r="M487" i="17"/>
  <c r="N487" i="17"/>
  <c r="O487" i="17"/>
  <c r="P487" i="17"/>
  <c r="Q487" i="17"/>
  <c r="R487" i="17"/>
  <c r="S487" i="17"/>
  <c r="T487" i="17"/>
  <c r="U487" i="17"/>
  <c r="V487" i="17"/>
  <c r="W487" i="17"/>
  <c r="X487" i="17"/>
  <c r="Y487" i="17"/>
  <c r="Z487" i="17"/>
  <c r="AA487" i="17"/>
  <c r="AB487" i="17"/>
  <c r="AC487" i="17"/>
  <c r="AD487" i="17"/>
  <c r="C488" i="17"/>
  <c r="D488" i="17"/>
  <c r="E488" i="17"/>
  <c r="F488" i="17"/>
  <c r="G488" i="17"/>
  <c r="H488" i="17"/>
  <c r="I488" i="17"/>
  <c r="J488" i="17"/>
  <c r="K488" i="17"/>
  <c r="L488" i="17"/>
  <c r="M488" i="17"/>
  <c r="N488" i="17"/>
  <c r="O488" i="17"/>
  <c r="P488" i="17"/>
  <c r="Q488" i="17"/>
  <c r="R488" i="17"/>
  <c r="S488" i="17"/>
  <c r="T488" i="17"/>
  <c r="U488" i="17"/>
  <c r="V488" i="17"/>
  <c r="W488" i="17"/>
  <c r="X488" i="17"/>
  <c r="Y488" i="17"/>
  <c r="Z488" i="17"/>
  <c r="AA488" i="17"/>
  <c r="AB488" i="17"/>
  <c r="AC488" i="17"/>
  <c r="AD488" i="17"/>
  <c r="C489" i="17"/>
  <c r="D489" i="17"/>
  <c r="E489" i="17"/>
  <c r="F489" i="17"/>
  <c r="G489" i="17"/>
  <c r="H489" i="17"/>
  <c r="I489" i="17"/>
  <c r="J489" i="17"/>
  <c r="K489" i="17"/>
  <c r="L489" i="17"/>
  <c r="M489" i="17"/>
  <c r="N489" i="17"/>
  <c r="O489" i="17"/>
  <c r="P489" i="17"/>
  <c r="Q489" i="17"/>
  <c r="R489" i="17"/>
  <c r="S489" i="17"/>
  <c r="T489" i="17"/>
  <c r="U489" i="17"/>
  <c r="V489" i="17"/>
  <c r="W489" i="17"/>
  <c r="X489" i="17"/>
  <c r="Y489" i="17"/>
  <c r="Z489" i="17"/>
  <c r="AA489" i="17"/>
  <c r="AB489" i="17"/>
  <c r="AC489" i="17"/>
  <c r="AD489" i="17"/>
  <c r="C490" i="17"/>
  <c r="D490" i="17"/>
  <c r="E490" i="17"/>
  <c r="F490" i="17"/>
  <c r="G490" i="17"/>
  <c r="H490" i="17"/>
  <c r="I490" i="17"/>
  <c r="J490" i="17"/>
  <c r="K490" i="17"/>
  <c r="L490" i="17"/>
  <c r="M490" i="17"/>
  <c r="N490" i="17"/>
  <c r="O490" i="17"/>
  <c r="P490" i="17"/>
  <c r="Q490" i="17"/>
  <c r="R490" i="17"/>
  <c r="S490" i="17"/>
  <c r="T490" i="17"/>
  <c r="U490" i="17"/>
  <c r="V490" i="17"/>
  <c r="W490" i="17"/>
  <c r="X490" i="17"/>
  <c r="Y490" i="17"/>
  <c r="Z490" i="17"/>
  <c r="AA490" i="17"/>
  <c r="AB490" i="17"/>
  <c r="AC490" i="17"/>
  <c r="AD490" i="17"/>
  <c r="C491" i="17"/>
  <c r="D491" i="17"/>
  <c r="E491" i="17"/>
  <c r="F491" i="17"/>
  <c r="G491" i="17"/>
  <c r="H491" i="17"/>
  <c r="I491" i="17"/>
  <c r="J491" i="17"/>
  <c r="K491" i="17"/>
  <c r="L491" i="17"/>
  <c r="M491" i="17"/>
  <c r="N491" i="17"/>
  <c r="O491" i="17"/>
  <c r="P491" i="17"/>
  <c r="Q491" i="17"/>
  <c r="R491" i="17"/>
  <c r="S491" i="17"/>
  <c r="T491" i="17"/>
  <c r="U491" i="17"/>
  <c r="V491" i="17"/>
  <c r="W491" i="17"/>
  <c r="X491" i="17"/>
  <c r="Y491" i="17"/>
  <c r="Z491" i="17"/>
  <c r="AA491" i="17"/>
  <c r="AB491" i="17"/>
  <c r="AC491" i="17"/>
  <c r="AD491" i="17"/>
  <c r="C492" i="17"/>
  <c r="D492" i="17"/>
  <c r="E492" i="17"/>
  <c r="F492" i="17"/>
  <c r="G492" i="17"/>
  <c r="H492" i="17"/>
  <c r="I492" i="17"/>
  <c r="J492" i="17"/>
  <c r="K492" i="17"/>
  <c r="L492" i="17"/>
  <c r="M492" i="17"/>
  <c r="N492" i="17"/>
  <c r="O492" i="17"/>
  <c r="P492" i="17"/>
  <c r="Q492" i="17"/>
  <c r="R492" i="17"/>
  <c r="S492" i="17"/>
  <c r="T492" i="17"/>
  <c r="U492" i="17"/>
  <c r="V492" i="17"/>
  <c r="W492" i="17"/>
  <c r="X492" i="17"/>
  <c r="Y492" i="17"/>
  <c r="Z492" i="17"/>
  <c r="AA492" i="17"/>
  <c r="AB492" i="17"/>
  <c r="AC492" i="17"/>
  <c r="AD492" i="17"/>
  <c r="C493" i="17"/>
  <c r="D493" i="17"/>
  <c r="E493" i="17"/>
  <c r="F493" i="17"/>
  <c r="G493" i="17"/>
  <c r="H493" i="17"/>
  <c r="I493" i="17"/>
  <c r="J493" i="17"/>
  <c r="K493" i="17"/>
  <c r="L493" i="17"/>
  <c r="M493" i="17"/>
  <c r="N493" i="17"/>
  <c r="O493" i="17"/>
  <c r="P493" i="17"/>
  <c r="Q493" i="17"/>
  <c r="R493" i="17"/>
  <c r="S493" i="17"/>
  <c r="T493" i="17"/>
  <c r="U493" i="17"/>
  <c r="V493" i="17"/>
  <c r="W493" i="17"/>
  <c r="X493" i="17"/>
  <c r="Y493" i="17"/>
  <c r="Z493" i="17"/>
  <c r="AA493" i="17"/>
  <c r="AB493" i="17"/>
  <c r="AC493" i="17"/>
  <c r="AD493" i="17"/>
  <c r="C494" i="17"/>
  <c r="D494" i="17"/>
  <c r="E494" i="17"/>
  <c r="F494" i="17"/>
  <c r="G494" i="17"/>
  <c r="H494" i="17"/>
  <c r="I494" i="17"/>
  <c r="J494" i="17"/>
  <c r="K494" i="17"/>
  <c r="L494" i="17"/>
  <c r="M494" i="17"/>
  <c r="N494" i="17"/>
  <c r="O494" i="17"/>
  <c r="P494" i="17"/>
  <c r="Q494" i="17"/>
  <c r="R494" i="17"/>
  <c r="S494" i="17"/>
  <c r="T494" i="17"/>
  <c r="U494" i="17"/>
  <c r="V494" i="17"/>
  <c r="W494" i="17"/>
  <c r="X494" i="17"/>
  <c r="Y494" i="17"/>
  <c r="Z494" i="17"/>
  <c r="AA494" i="17"/>
  <c r="AB494" i="17"/>
  <c r="AC494" i="17"/>
  <c r="AD494" i="17"/>
  <c r="C495" i="17"/>
  <c r="D495" i="17"/>
  <c r="E495" i="17"/>
  <c r="F495" i="17"/>
  <c r="G495" i="17"/>
  <c r="H495" i="17"/>
  <c r="I495" i="17"/>
  <c r="J495" i="17"/>
  <c r="K495" i="17"/>
  <c r="L495" i="17"/>
  <c r="M495" i="17"/>
  <c r="N495" i="17"/>
  <c r="O495" i="17"/>
  <c r="P495" i="17"/>
  <c r="Q495" i="17"/>
  <c r="R495" i="17"/>
  <c r="S495" i="17"/>
  <c r="T495" i="17"/>
  <c r="U495" i="17"/>
  <c r="V495" i="17"/>
  <c r="W495" i="17"/>
  <c r="X495" i="17"/>
  <c r="Y495" i="17"/>
  <c r="Z495" i="17"/>
  <c r="AA495" i="17"/>
  <c r="AB495" i="17"/>
  <c r="AC495" i="17"/>
  <c r="AD495" i="17"/>
  <c r="C496" i="17"/>
  <c r="D496" i="17"/>
  <c r="E496" i="17"/>
  <c r="F496" i="17"/>
  <c r="G496" i="17"/>
  <c r="H496" i="17"/>
  <c r="I496" i="17"/>
  <c r="J496" i="17"/>
  <c r="K496" i="17"/>
  <c r="L496" i="17"/>
  <c r="M496" i="17"/>
  <c r="N496" i="17"/>
  <c r="O496" i="17"/>
  <c r="P496" i="17"/>
  <c r="Q496" i="17"/>
  <c r="R496" i="17"/>
  <c r="S496" i="17"/>
  <c r="T496" i="17"/>
  <c r="U496" i="17"/>
  <c r="V496" i="17"/>
  <c r="W496" i="17"/>
  <c r="X496" i="17"/>
  <c r="Y496" i="17"/>
  <c r="Z496" i="17"/>
  <c r="AA496" i="17"/>
  <c r="AB496" i="17"/>
  <c r="AC496" i="17"/>
  <c r="AD496" i="17"/>
  <c r="C497" i="17"/>
  <c r="D497" i="17"/>
  <c r="E497" i="17"/>
  <c r="F497" i="17"/>
  <c r="G497" i="17"/>
  <c r="H497" i="17"/>
  <c r="I497" i="17"/>
  <c r="J497" i="17"/>
  <c r="K497" i="17"/>
  <c r="L497" i="17"/>
  <c r="M497" i="17"/>
  <c r="N497" i="17"/>
  <c r="O497" i="17"/>
  <c r="P497" i="17"/>
  <c r="Q497" i="17"/>
  <c r="R497" i="17"/>
  <c r="S497" i="17"/>
  <c r="T497" i="17"/>
  <c r="U497" i="17"/>
  <c r="V497" i="17"/>
  <c r="W497" i="17"/>
  <c r="X497" i="17"/>
  <c r="Y497" i="17"/>
  <c r="Z497" i="17"/>
  <c r="AA497" i="17"/>
  <c r="AB497" i="17"/>
  <c r="AC497" i="17"/>
  <c r="AD497" i="17"/>
  <c r="C498" i="17"/>
  <c r="D498" i="17"/>
  <c r="E498" i="17"/>
  <c r="F498" i="17"/>
  <c r="G498" i="17"/>
  <c r="H498" i="17"/>
  <c r="I498" i="17"/>
  <c r="J498" i="17"/>
  <c r="K498" i="17"/>
  <c r="L498" i="17"/>
  <c r="M498" i="17"/>
  <c r="N498" i="17"/>
  <c r="O498" i="17"/>
  <c r="P498" i="17"/>
  <c r="Q498" i="17"/>
  <c r="R498" i="17"/>
  <c r="S498" i="17"/>
  <c r="T498" i="17"/>
  <c r="U498" i="17"/>
  <c r="V498" i="17"/>
  <c r="W498" i="17"/>
  <c r="X498" i="17"/>
  <c r="Y498" i="17"/>
  <c r="Z498" i="17"/>
  <c r="AA498" i="17"/>
  <c r="AB498" i="17"/>
  <c r="AC498" i="17"/>
  <c r="AD498" i="17"/>
  <c r="C499" i="17"/>
  <c r="D499" i="17"/>
  <c r="E499" i="17"/>
  <c r="F499" i="17"/>
  <c r="G499" i="17"/>
  <c r="H499" i="17"/>
  <c r="I499" i="17"/>
  <c r="J499" i="17"/>
  <c r="K499" i="17"/>
  <c r="L499" i="17"/>
  <c r="M499" i="17"/>
  <c r="N499" i="17"/>
  <c r="O499" i="17"/>
  <c r="P499" i="17"/>
  <c r="Q499" i="17"/>
  <c r="R499" i="17"/>
  <c r="S499" i="17"/>
  <c r="T499" i="17"/>
  <c r="U499" i="17"/>
  <c r="V499" i="17"/>
  <c r="W499" i="17"/>
  <c r="X499" i="17"/>
  <c r="Y499" i="17"/>
  <c r="Z499" i="17"/>
  <c r="AA499" i="17"/>
  <c r="AB499" i="17"/>
  <c r="AC499" i="17"/>
  <c r="AD499" i="17"/>
  <c r="C500" i="17"/>
  <c r="D500" i="17"/>
  <c r="E500" i="17"/>
  <c r="F500" i="17"/>
  <c r="G500" i="17"/>
  <c r="H500" i="17"/>
  <c r="I500" i="17"/>
  <c r="J500" i="17"/>
  <c r="K500" i="17"/>
  <c r="L500" i="17"/>
  <c r="M500" i="17"/>
  <c r="N500" i="17"/>
  <c r="O500" i="17"/>
  <c r="P500" i="17"/>
  <c r="Q500" i="17"/>
  <c r="R500" i="17"/>
  <c r="S500" i="17"/>
  <c r="T500" i="17"/>
  <c r="U500" i="17"/>
  <c r="V500" i="17"/>
  <c r="W500" i="17"/>
  <c r="X500" i="17"/>
  <c r="Y500" i="17"/>
  <c r="Z500" i="17"/>
  <c r="AA500" i="17"/>
  <c r="AB500" i="17"/>
  <c r="AC500" i="17"/>
  <c r="AD500" i="17"/>
  <c r="C501" i="17"/>
  <c r="D501" i="17"/>
  <c r="E501" i="17"/>
  <c r="F501" i="17"/>
  <c r="G501" i="17"/>
  <c r="H501" i="17"/>
  <c r="I501" i="17"/>
  <c r="J501" i="17"/>
  <c r="K501" i="17"/>
  <c r="L501" i="17"/>
  <c r="M501" i="17"/>
  <c r="N501" i="17"/>
  <c r="O501" i="17"/>
  <c r="P501" i="17"/>
  <c r="Q501" i="17"/>
  <c r="R501" i="17"/>
  <c r="S501" i="17"/>
  <c r="T501" i="17"/>
  <c r="U501" i="17"/>
  <c r="V501" i="17"/>
  <c r="W501" i="17"/>
  <c r="X501" i="17"/>
  <c r="Y501" i="17"/>
  <c r="Z501" i="17"/>
  <c r="AA501" i="17"/>
  <c r="AB501" i="17"/>
  <c r="AC501" i="17"/>
  <c r="AD501" i="17"/>
  <c r="C502" i="17"/>
  <c r="D502" i="17"/>
  <c r="E502" i="17"/>
  <c r="F502" i="17"/>
  <c r="G502" i="17"/>
  <c r="H502" i="17"/>
  <c r="I502" i="17"/>
  <c r="J502" i="17"/>
  <c r="K502" i="17"/>
  <c r="L502" i="17"/>
  <c r="M502" i="17"/>
  <c r="N502" i="17"/>
  <c r="O502" i="17"/>
  <c r="P502" i="17"/>
  <c r="Q502" i="17"/>
  <c r="R502" i="17"/>
  <c r="S502" i="17"/>
  <c r="T502" i="17"/>
  <c r="U502" i="17"/>
  <c r="V502" i="17"/>
  <c r="W502" i="17"/>
  <c r="X502" i="17"/>
  <c r="Y502" i="17"/>
  <c r="Z502" i="17"/>
  <c r="AA502" i="17"/>
  <c r="AB502" i="17"/>
  <c r="AC502" i="17"/>
  <c r="AD502" i="17"/>
  <c r="C503" i="17"/>
  <c r="D503" i="17"/>
  <c r="E503" i="17"/>
  <c r="F503" i="17"/>
  <c r="G503" i="17"/>
  <c r="H503" i="17"/>
  <c r="I503" i="17"/>
  <c r="J503" i="17"/>
  <c r="K503" i="17"/>
  <c r="L503" i="17"/>
  <c r="M503" i="17"/>
  <c r="N503" i="17"/>
  <c r="O503" i="17"/>
  <c r="P503" i="17"/>
  <c r="Q503" i="17"/>
  <c r="R503" i="17"/>
  <c r="S503" i="17"/>
  <c r="T503" i="17"/>
  <c r="U503" i="17"/>
  <c r="V503" i="17"/>
  <c r="W503" i="17"/>
  <c r="X503" i="17"/>
  <c r="Y503" i="17"/>
  <c r="Z503" i="17"/>
  <c r="AA503" i="17"/>
  <c r="AB503" i="17"/>
  <c r="AC503" i="17"/>
  <c r="AD503" i="17"/>
  <c r="C504" i="17"/>
  <c r="D504" i="17"/>
  <c r="E504" i="17"/>
  <c r="F504" i="17"/>
  <c r="G504" i="17"/>
  <c r="H504" i="17"/>
  <c r="I504" i="17"/>
  <c r="J504" i="17"/>
  <c r="K504" i="17"/>
  <c r="L504" i="17"/>
  <c r="M504" i="17"/>
  <c r="N504" i="17"/>
  <c r="O504" i="17"/>
  <c r="P504" i="17"/>
  <c r="Q504" i="17"/>
  <c r="R504" i="17"/>
  <c r="S504" i="17"/>
  <c r="T504" i="17"/>
  <c r="U504" i="17"/>
  <c r="V504" i="17"/>
  <c r="W504" i="17"/>
  <c r="X504" i="17"/>
  <c r="Y504" i="17"/>
  <c r="Z504" i="17"/>
  <c r="AA504" i="17"/>
  <c r="AB504" i="17"/>
  <c r="AC504" i="17"/>
  <c r="AD504" i="17"/>
  <c r="C505" i="17"/>
  <c r="D505" i="17"/>
  <c r="E505" i="17"/>
  <c r="F505" i="17"/>
  <c r="G505" i="17"/>
  <c r="H505" i="17"/>
  <c r="I505" i="17"/>
  <c r="J505" i="17"/>
  <c r="K505" i="17"/>
  <c r="L505" i="17"/>
  <c r="M505" i="17"/>
  <c r="N505" i="17"/>
  <c r="O505" i="17"/>
  <c r="P505" i="17"/>
  <c r="Q505" i="17"/>
  <c r="R505" i="17"/>
  <c r="S505" i="17"/>
  <c r="T505" i="17"/>
  <c r="U505" i="17"/>
  <c r="V505" i="17"/>
  <c r="W505" i="17"/>
  <c r="X505" i="17"/>
  <c r="Y505" i="17"/>
  <c r="Z505" i="17"/>
  <c r="AA505" i="17"/>
  <c r="AB505" i="17"/>
  <c r="AC505" i="17"/>
  <c r="AD505" i="17"/>
  <c r="C506" i="17"/>
  <c r="D506" i="17"/>
  <c r="E506" i="17"/>
  <c r="F506" i="17"/>
  <c r="G506" i="17"/>
  <c r="H506" i="17"/>
  <c r="I506" i="17"/>
  <c r="J506" i="17"/>
  <c r="K506" i="17"/>
  <c r="L506" i="17"/>
  <c r="M506" i="17"/>
  <c r="N506" i="17"/>
  <c r="O506" i="17"/>
  <c r="P506" i="17"/>
  <c r="Q506" i="17"/>
  <c r="R506" i="17"/>
  <c r="S506" i="17"/>
  <c r="T506" i="17"/>
  <c r="U506" i="17"/>
  <c r="V506" i="17"/>
  <c r="W506" i="17"/>
  <c r="X506" i="17"/>
  <c r="Y506" i="17"/>
  <c r="Z506" i="17"/>
  <c r="AA506" i="17"/>
  <c r="AB506" i="17"/>
  <c r="AC506" i="17"/>
  <c r="AD506" i="17"/>
  <c r="C507" i="17"/>
  <c r="D507" i="17"/>
  <c r="E507" i="17"/>
  <c r="F507" i="17"/>
  <c r="G507" i="17"/>
  <c r="H507" i="17"/>
  <c r="I507" i="17"/>
  <c r="J507" i="17"/>
  <c r="K507" i="17"/>
  <c r="L507" i="17"/>
  <c r="M507" i="17"/>
  <c r="N507" i="17"/>
  <c r="O507" i="17"/>
  <c r="P507" i="17"/>
  <c r="Q507" i="17"/>
  <c r="R507" i="17"/>
  <c r="S507" i="17"/>
  <c r="T507" i="17"/>
  <c r="U507" i="17"/>
  <c r="V507" i="17"/>
  <c r="W507" i="17"/>
  <c r="X507" i="17"/>
  <c r="Y507" i="17"/>
  <c r="Z507" i="17"/>
  <c r="AA507" i="17"/>
  <c r="AB507" i="17"/>
  <c r="AC507" i="17"/>
  <c r="AD507" i="17"/>
  <c r="C508" i="17"/>
  <c r="D508" i="17"/>
  <c r="E508" i="17"/>
  <c r="F508" i="17"/>
  <c r="G508" i="17"/>
  <c r="H508" i="17"/>
  <c r="I508" i="17"/>
  <c r="J508" i="17"/>
  <c r="K508" i="17"/>
  <c r="L508" i="17"/>
  <c r="M508" i="17"/>
  <c r="N508" i="17"/>
  <c r="O508" i="17"/>
  <c r="P508" i="17"/>
  <c r="Q508" i="17"/>
  <c r="R508" i="17"/>
  <c r="S508" i="17"/>
  <c r="T508" i="17"/>
  <c r="U508" i="17"/>
  <c r="V508" i="17"/>
  <c r="W508" i="17"/>
  <c r="X508" i="17"/>
  <c r="Y508" i="17"/>
  <c r="Z508" i="17"/>
  <c r="AA508" i="17"/>
  <c r="AB508" i="17"/>
  <c r="AC508" i="17"/>
  <c r="AD508" i="17"/>
  <c r="C509" i="17"/>
  <c r="D509" i="17"/>
  <c r="E509" i="17"/>
  <c r="F509" i="17"/>
  <c r="G509" i="17"/>
  <c r="H509" i="17"/>
  <c r="I509" i="17"/>
  <c r="J509" i="17"/>
  <c r="K509" i="17"/>
  <c r="L509" i="17"/>
  <c r="M509" i="17"/>
  <c r="N509" i="17"/>
  <c r="O509" i="17"/>
  <c r="P509" i="17"/>
  <c r="Q509" i="17"/>
  <c r="R509" i="17"/>
  <c r="S509" i="17"/>
  <c r="T509" i="17"/>
  <c r="U509" i="17"/>
  <c r="V509" i="17"/>
  <c r="W509" i="17"/>
  <c r="X509" i="17"/>
  <c r="Y509" i="17"/>
  <c r="Z509" i="17"/>
  <c r="AA509" i="17"/>
  <c r="AB509" i="17"/>
  <c r="AC509" i="17"/>
  <c r="AD509" i="17"/>
  <c r="C510" i="17"/>
  <c r="D510" i="17"/>
  <c r="E510" i="17"/>
  <c r="F510" i="17"/>
  <c r="G510" i="17"/>
  <c r="H510" i="17"/>
  <c r="I510" i="17"/>
  <c r="J510" i="17"/>
  <c r="K510" i="17"/>
  <c r="L510" i="17"/>
  <c r="M510" i="17"/>
  <c r="N510" i="17"/>
  <c r="O510" i="17"/>
  <c r="P510" i="17"/>
  <c r="Q510" i="17"/>
  <c r="R510" i="17"/>
  <c r="S510" i="17"/>
  <c r="T510" i="17"/>
  <c r="U510" i="17"/>
  <c r="V510" i="17"/>
  <c r="W510" i="17"/>
  <c r="X510" i="17"/>
  <c r="Y510" i="17"/>
  <c r="Z510" i="17"/>
  <c r="AA510" i="17"/>
  <c r="AB510" i="17"/>
  <c r="AC510" i="17"/>
  <c r="AD510" i="17"/>
  <c r="C511" i="17"/>
  <c r="D511" i="17"/>
  <c r="E511" i="17"/>
  <c r="F511" i="17"/>
  <c r="G511" i="17"/>
  <c r="H511" i="17"/>
  <c r="I511" i="17"/>
  <c r="J511" i="17"/>
  <c r="K511" i="17"/>
  <c r="L511" i="17"/>
  <c r="M511" i="17"/>
  <c r="N511" i="17"/>
  <c r="O511" i="17"/>
  <c r="P511" i="17"/>
  <c r="Q511" i="17"/>
  <c r="R511" i="17"/>
  <c r="S511" i="17"/>
  <c r="T511" i="17"/>
  <c r="U511" i="17"/>
  <c r="V511" i="17"/>
  <c r="W511" i="17"/>
  <c r="X511" i="17"/>
  <c r="Y511" i="17"/>
  <c r="Z511" i="17"/>
  <c r="AA511" i="17"/>
  <c r="AB511" i="17"/>
  <c r="AC511" i="17"/>
  <c r="AD511" i="17"/>
  <c r="C512" i="17"/>
  <c r="D512" i="17"/>
  <c r="E512" i="17"/>
  <c r="F512" i="17"/>
  <c r="G512" i="17"/>
  <c r="H512" i="17"/>
  <c r="I512" i="17"/>
  <c r="J512" i="17"/>
  <c r="K512" i="17"/>
  <c r="L512" i="17"/>
  <c r="M512" i="17"/>
  <c r="N512" i="17"/>
  <c r="O512" i="17"/>
  <c r="P512" i="17"/>
  <c r="Q512" i="17"/>
  <c r="R512" i="17"/>
  <c r="S512" i="17"/>
  <c r="T512" i="17"/>
  <c r="U512" i="17"/>
  <c r="V512" i="17"/>
  <c r="W512" i="17"/>
  <c r="X512" i="17"/>
  <c r="Y512" i="17"/>
  <c r="Z512" i="17"/>
  <c r="AA512" i="17"/>
  <c r="AB512" i="17"/>
  <c r="AC512" i="17"/>
  <c r="AD512" i="17"/>
  <c r="C513" i="17"/>
  <c r="D513" i="17"/>
  <c r="E513" i="17"/>
  <c r="F513" i="17"/>
  <c r="G513" i="17"/>
  <c r="H513" i="17"/>
  <c r="I513" i="17"/>
  <c r="J513" i="17"/>
  <c r="K513" i="17"/>
  <c r="L513" i="17"/>
  <c r="M513" i="17"/>
  <c r="N513" i="17"/>
  <c r="O513" i="17"/>
  <c r="P513" i="17"/>
  <c r="Q513" i="17"/>
  <c r="R513" i="17"/>
  <c r="S513" i="17"/>
  <c r="T513" i="17"/>
  <c r="U513" i="17"/>
  <c r="V513" i="17"/>
  <c r="W513" i="17"/>
  <c r="X513" i="17"/>
  <c r="Y513" i="17"/>
  <c r="Z513" i="17"/>
  <c r="AA513" i="17"/>
  <c r="AB513" i="17"/>
  <c r="AC513" i="17"/>
  <c r="AD513" i="17"/>
  <c r="C514" i="17"/>
  <c r="D514" i="17"/>
  <c r="E514" i="17"/>
  <c r="F514" i="17"/>
  <c r="G514" i="17"/>
  <c r="H514" i="17"/>
  <c r="I514" i="17"/>
  <c r="J514" i="17"/>
  <c r="K514" i="17"/>
  <c r="L514" i="17"/>
  <c r="M514" i="17"/>
  <c r="N514" i="17"/>
  <c r="O514" i="17"/>
  <c r="P514" i="17"/>
  <c r="Q514" i="17"/>
  <c r="R514" i="17"/>
  <c r="S514" i="17"/>
  <c r="T514" i="17"/>
  <c r="U514" i="17"/>
  <c r="V514" i="17"/>
  <c r="W514" i="17"/>
  <c r="X514" i="17"/>
  <c r="Y514" i="17"/>
  <c r="Z514" i="17"/>
  <c r="AA514" i="17"/>
  <c r="AB514" i="17"/>
  <c r="AC514" i="17"/>
  <c r="AD514" i="17"/>
  <c r="C515" i="17"/>
  <c r="D515" i="17"/>
  <c r="E515" i="17"/>
  <c r="F515" i="17"/>
  <c r="G515" i="17"/>
  <c r="H515" i="17"/>
  <c r="I515" i="17"/>
  <c r="J515" i="17"/>
  <c r="K515" i="17"/>
  <c r="L515" i="17"/>
  <c r="M515" i="17"/>
  <c r="N515" i="17"/>
  <c r="O515" i="17"/>
  <c r="P515" i="17"/>
  <c r="Q515" i="17"/>
  <c r="R515" i="17"/>
  <c r="S515" i="17"/>
  <c r="T515" i="17"/>
  <c r="U515" i="17"/>
  <c r="V515" i="17"/>
  <c r="W515" i="17"/>
  <c r="X515" i="17"/>
  <c r="Y515" i="17"/>
  <c r="Z515" i="17"/>
  <c r="AA515" i="17"/>
  <c r="AB515" i="17"/>
  <c r="AC515" i="17"/>
  <c r="AD515" i="17"/>
  <c r="C516" i="17"/>
  <c r="D516" i="17"/>
  <c r="E516" i="17"/>
  <c r="F516" i="17"/>
  <c r="G516" i="17"/>
  <c r="H516" i="17"/>
  <c r="I516" i="17"/>
  <c r="J516" i="17"/>
  <c r="K516" i="17"/>
  <c r="L516" i="17"/>
  <c r="M516" i="17"/>
  <c r="N516" i="17"/>
  <c r="O516" i="17"/>
  <c r="P516" i="17"/>
  <c r="Q516" i="17"/>
  <c r="R516" i="17"/>
  <c r="S516" i="17"/>
  <c r="T516" i="17"/>
  <c r="U516" i="17"/>
  <c r="V516" i="17"/>
  <c r="W516" i="17"/>
  <c r="X516" i="17"/>
  <c r="Y516" i="17"/>
  <c r="Z516" i="17"/>
  <c r="AA516" i="17"/>
  <c r="AB516" i="17"/>
  <c r="AC516" i="17"/>
  <c r="AD516" i="17"/>
  <c r="C517" i="17"/>
  <c r="D517" i="17"/>
  <c r="E517" i="17"/>
  <c r="F517" i="17"/>
  <c r="G517" i="17"/>
  <c r="H517" i="17"/>
  <c r="I517" i="17"/>
  <c r="J517" i="17"/>
  <c r="K517" i="17"/>
  <c r="L517" i="17"/>
  <c r="M517" i="17"/>
  <c r="N517" i="17"/>
  <c r="O517" i="17"/>
  <c r="P517" i="17"/>
  <c r="Q517" i="17"/>
  <c r="R517" i="17"/>
  <c r="S517" i="17"/>
  <c r="T517" i="17"/>
  <c r="U517" i="17"/>
  <c r="V517" i="17"/>
  <c r="W517" i="17"/>
  <c r="X517" i="17"/>
  <c r="Y517" i="17"/>
  <c r="Z517" i="17"/>
  <c r="AA517" i="17"/>
  <c r="AB517" i="17"/>
  <c r="AC517" i="17"/>
  <c r="AD517" i="17"/>
  <c r="C518" i="17"/>
  <c r="D518" i="17"/>
  <c r="E518" i="17"/>
  <c r="F518" i="17"/>
  <c r="G518" i="17"/>
  <c r="H518" i="17"/>
  <c r="I518" i="17"/>
  <c r="J518" i="17"/>
  <c r="K518" i="17"/>
  <c r="L518" i="17"/>
  <c r="M518" i="17"/>
  <c r="N518" i="17"/>
  <c r="O518" i="17"/>
  <c r="P518" i="17"/>
  <c r="Q518" i="17"/>
  <c r="R518" i="17"/>
  <c r="S518" i="17"/>
  <c r="T518" i="17"/>
  <c r="U518" i="17"/>
  <c r="V518" i="17"/>
  <c r="W518" i="17"/>
  <c r="X518" i="17"/>
  <c r="Y518" i="17"/>
  <c r="Z518" i="17"/>
  <c r="AA518" i="17"/>
  <c r="AB518" i="17"/>
  <c r="AC518" i="17"/>
  <c r="AD518" i="17"/>
  <c r="C519" i="17"/>
  <c r="D519" i="17"/>
  <c r="E519" i="17"/>
  <c r="F519" i="17"/>
  <c r="G519" i="17"/>
  <c r="H519" i="17"/>
  <c r="I519" i="17"/>
  <c r="J519" i="17"/>
  <c r="K519" i="17"/>
  <c r="L519" i="17"/>
  <c r="M519" i="17"/>
  <c r="N519" i="17"/>
  <c r="O519" i="17"/>
  <c r="P519" i="17"/>
  <c r="Q519" i="17"/>
  <c r="R519" i="17"/>
  <c r="S519" i="17"/>
  <c r="T519" i="17"/>
  <c r="U519" i="17"/>
  <c r="V519" i="17"/>
  <c r="W519" i="17"/>
  <c r="X519" i="17"/>
  <c r="Y519" i="17"/>
  <c r="Z519" i="17"/>
  <c r="AA519" i="17"/>
  <c r="AB519" i="17"/>
  <c r="AC519" i="17"/>
  <c r="AD519" i="17"/>
  <c r="C520" i="17"/>
  <c r="D520" i="17"/>
  <c r="E520" i="17"/>
  <c r="F520" i="17"/>
  <c r="G520" i="17"/>
  <c r="H520" i="17"/>
  <c r="I520" i="17"/>
  <c r="J520" i="17"/>
  <c r="K520" i="17"/>
  <c r="L520" i="17"/>
  <c r="M520" i="17"/>
  <c r="N520" i="17"/>
  <c r="O520" i="17"/>
  <c r="P520" i="17"/>
  <c r="Q520" i="17"/>
  <c r="R520" i="17"/>
  <c r="S520" i="17"/>
  <c r="T520" i="17"/>
  <c r="U520" i="17"/>
  <c r="V520" i="17"/>
  <c r="W520" i="17"/>
  <c r="X520" i="17"/>
  <c r="Y520" i="17"/>
  <c r="Z520" i="17"/>
  <c r="AA520" i="17"/>
  <c r="AB520" i="17"/>
  <c r="AC520" i="17"/>
  <c r="AD520" i="17"/>
  <c r="C521" i="17"/>
  <c r="D521" i="17"/>
  <c r="E521" i="17"/>
  <c r="F521" i="17"/>
  <c r="G521" i="17"/>
  <c r="H521" i="17"/>
  <c r="I521" i="17"/>
  <c r="J521" i="17"/>
  <c r="K521" i="17"/>
  <c r="L521" i="17"/>
  <c r="M521" i="17"/>
  <c r="N521" i="17"/>
  <c r="O521" i="17"/>
  <c r="P521" i="17"/>
  <c r="Q521" i="17"/>
  <c r="R521" i="17"/>
  <c r="S521" i="17"/>
  <c r="T521" i="17"/>
  <c r="U521" i="17"/>
  <c r="V521" i="17"/>
  <c r="W521" i="17"/>
  <c r="X521" i="17"/>
  <c r="Y521" i="17"/>
  <c r="Z521" i="17"/>
  <c r="AA521" i="17"/>
  <c r="AB521" i="17"/>
  <c r="AC521" i="17"/>
  <c r="AD521" i="17"/>
  <c r="C522" i="17"/>
  <c r="D522" i="17"/>
  <c r="E522" i="17"/>
  <c r="F522" i="17"/>
  <c r="G522" i="17"/>
  <c r="H522" i="17"/>
  <c r="I522" i="17"/>
  <c r="J522" i="17"/>
  <c r="K522" i="17"/>
  <c r="L522" i="17"/>
  <c r="M522" i="17"/>
  <c r="N522" i="17"/>
  <c r="O522" i="17"/>
  <c r="P522" i="17"/>
  <c r="Q522" i="17"/>
  <c r="R522" i="17"/>
  <c r="S522" i="17"/>
  <c r="T522" i="17"/>
  <c r="U522" i="17"/>
  <c r="V522" i="17"/>
  <c r="W522" i="17"/>
  <c r="X522" i="17"/>
  <c r="Y522" i="17"/>
  <c r="Z522" i="17"/>
  <c r="AA522" i="17"/>
  <c r="AB522" i="17"/>
  <c r="AC522" i="17"/>
  <c r="AD522" i="17"/>
  <c r="C523" i="17"/>
  <c r="D523" i="17"/>
  <c r="E523" i="17"/>
  <c r="F523" i="17"/>
  <c r="G523" i="17"/>
  <c r="H523" i="17"/>
  <c r="I523" i="17"/>
  <c r="J523" i="17"/>
  <c r="K523" i="17"/>
  <c r="L523" i="17"/>
  <c r="M523" i="17"/>
  <c r="N523" i="17"/>
  <c r="O523" i="17"/>
  <c r="P523" i="17"/>
  <c r="Q523" i="17"/>
  <c r="R523" i="17"/>
  <c r="S523" i="17"/>
  <c r="T523" i="17"/>
  <c r="U523" i="17"/>
  <c r="V523" i="17"/>
  <c r="W523" i="17"/>
  <c r="X523" i="17"/>
  <c r="Y523" i="17"/>
  <c r="Z523" i="17"/>
  <c r="AA523" i="17"/>
  <c r="AB523" i="17"/>
  <c r="AC523" i="17"/>
  <c r="AD523" i="17"/>
  <c r="C524" i="17"/>
  <c r="D524" i="17"/>
  <c r="E524" i="17"/>
  <c r="F524" i="17"/>
  <c r="G524" i="17"/>
  <c r="H524" i="17"/>
  <c r="I524" i="17"/>
  <c r="J524" i="17"/>
  <c r="K524" i="17"/>
  <c r="L524" i="17"/>
  <c r="M524" i="17"/>
  <c r="N524" i="17"/>
  <c r="O524" i="17"/>
  <c r="P524" i="17"/>
  <c r="Q524" i="17"/>
  <c r="R524" i="17"/>
  <c r="S524" i="17"/>
  <c r="T524" i="17"/>
  <c r="U524" i="17"/>
  <c r="V524" i="17"/>
  <c r="W524" i="17"/>
  <c r="X524" i="17"/>
  <c r="Y524" i="17"/>
  <c r="Z524" i="17"/>
  <c r="AA524" i="17"/>
  <c r="AB524" i="17"/>
  <c r="AC524" i="17"/>
  <c r="AD524" i="17"/>
  <c r="C525" i="17"/>
  <c r="D525" i="17"/>
  <c r="E525" i="17"/>
  <c r="F525" i="17"/>
  <c r="G525" i="17"/>
  <c r="H525" i="17"/>
  <c r="I525" i="17"/>
  <c r="J525" i="17"/>
  <c r="K525" i="17"/>
  <c r="L525" i="17"/>
  <c r="M525" i="17"/>
  <c r="N525" i="17"/>
  <c r="O525" i="17"/>
  <c r="P525" i="17"/>
  <c r="Q525" i="17"/>
  <c r="R525" i="17"/>
  <c r="S525" i="17"/>
  <c r="T525" i="17"/>
  <c r="U525" i="17"/>
  <c r="V525" i="17"/>
  <c r="W525" i="17"/>
  <c r="X525" i="17"/>
  <c r="Y525" i="17"/>
  <c r="Z525" i="17"/>
  <c r="AA525" i="17"/>
  <c r="AB525" i="17"/>
  <c r="AC525" i="17"/>
  <c r="AD525" i="17"/>
  <c r="C526" i="17"/>
  <c r="D526" i="17"/>
  <c r="E526" i="17"/>
  <c r="F526" i="17"/>
  <c r="G526" i="17"/>
  <c r="H526" i="17"/>
  <c r="I526" i="17"/>
  <c r="J526" i="17"/>
  <c r="K526" i="17"/>
  <c r="L526" i="17"/>
  <c r="M526" i="17"/>
  <c r="N526" i="17"/>
  <c r="O526" i="17"/>
  <c r="P526" i="17"/>
  <c r="Q526" i="17"/>
  <c r="R526" i="17"/>
  <c r="S526" i="17"/>
  <c r="T526" i="17"/>
  <c r="U526" i="17"/>
  <c r="V526" i="17"/>
  <c r="W526" i="17"/>
  <c r="X526" i="17"/>
  <c r="Y526" i="17"/>
  <c r="Z526" i="17"/>
  <c r="AA526" i="17"/>
  <c r="AB526" i="17"/>
  <c r="AC526" i="17"/>
  <c r="AD526" i="17"/>
  <c r="C527" i="17"/>
  <c r="D527" i="17"/>
  <c r="E527" i="17"/>
  <c r="F527" i="17"/>
  <c r="G527" i="17"/>
  <c r="H527" i="17"/>
  <c r="I527" i="17"/>
  <c r="J527" i="17"/>
  <c r="K527" i="17"/>
  <c r="L527" i="17"/>
  <c r="M527" i="17"/>
  <c r="N527" i="17"/>
  <c r="O527" i="17"/>
  <c r="P527" i="17"/>
  <c r="Q527" i="17"/>
  <c r="R527" i="17"/>
  <c r="S527" i="17"/>
  <c r="T527" i="17"/>
  <c r="U527" i="17"/>
  <c r="V527" i="17"/>
  <c r="W527" i="17"/>
  <c r="X527" i="17"/>
  <c r="Y527" i="17"/>
  <c r="Z527" i="17"/>
  <c r="AA527" i="17"/>
  <c r="AB527" i="17"/>
  <c r="AC527" i="17"/>
  <c r="AD527" i="17"/>
  <c r="C528" i="17"/>
  <c r="D528" i="17"/>
  <c r="E528" i="17"/>
  <c r="F528" i="17"/>
  <c r="G528" i="17"/>
  <c r="H528" i="17"/>
  <c r="I528" i="17"/>
  <c r="J528" i="17"/>
  <c r="K528" i="17"/>
  <c r="L528" i="17"/>
  <c r="M528" i="17"/>
  <c r="N528" i="17"/>
  <c r="O528" i="17"/>
  <c r="P528" i="17"/>
  <c r="Q528" i="17"/>
  <c r="R528" i="17"/>
  <c r="S528" i="17"/>
  <c r="T528" i="17"/>
  <c r="U528" i="17"/>
  <c r="V528" i="17"/>
  <c r="W528" i="17"/>
  <c r="X528" i="17"/>
  <c r="Y528" i="17"/>
  <c r="Z528" i="17"/>
  <c r="AA528" i="17"/>
  <c r="AB528" i="17"/>
  <c r="AC528" i="17"/>
  <c r="AD528" i="17"/>
  <c r="C529" i="17"/>
  <c r="D529" i="17"/>
  <c r="E529" i="17"/>
  <c r="F529" i="17"/>
  <c r="G529" i="17"/>
  <c r="H529" i="17"/>
  <c r="I529" i="17"/>
  <c r="J529" i="17"/>
  <c r="K529" i="17"/>
  <c r="L529" i="17"/>
  <c r="M529" i="17"/>
  <c r="N529" i="17"/>
  <c r="O529" i="17"/>
  <c r="P529" i="17"/>
  <c r="Q529" i="17"/>
  <c r="R529" i="17"/>
  <c r="S529" i="17"/>
  <c r="T529" i="17"/>
  <c r="U529" i="17"/>
  <c r="V529" i="17"/>
  <c r="W529" i="17"/>
  <c r="X529" i="17"/>
  <c r="Y529" i="17"/>
  <c r="Z529" i="17"/>
  <c r="AA529" i="17"/>
  <c r="AB529" i="17"/>
  <c r="AC529" i="17"/>
  <c r="AD529" i="17"/>
  <c r="C530" i="17"/>
  <c r="D530" i="17"/>
  <c r="E530" i="17"/>
  <c r="F530" i="17"/>
  <c r="G530" i="17"/>
  <c r="H530" i="17"/>
  <c r="I530" i="17"/>
  <c r="J530" i="17"/>
  <c r="K530" i="17"/>
  <c r="L530" i="17"/>
  <c r="M530" i="17"/>
  <c r="N530" i="17"/>
  <c r="O530" i="17"/>
  <c r="P530" i="17"/>
  <c r="Q530" i="17"/>
  <c r="R530" i="17"/>
  <c r="S530" i="17"/>
  <c r="T530" i="17"/>
  <c r="U530" i="17"/>
  <c r="V530" i="17"/>
  <c r="W530" i="17"/>
  <c r="X530" i="17"/>
  <c r="Y530" i="17"/>
  <c r="Z530" i="17"/>
  <c r="AA530" i="17"/>
  <c r="AB530" i="17"/>
  <c r="AC530" i="17"/>
  <c r="AD530" i="17"/>
  <c r="C531" i="17"/>
  <c r="D531" i="17"/>
  <c r="E531" i="17"/>
  <c r="F531" i="17"/>
  <c r="G531" i="17"/>
  <c r="H531" i="17"/>
  <c r="I531" i="17"/>
  <c r="J531" i="17"/>
  <c r="K531" i="17"/>
  <c r="L531" i="17"/>
  <c r="M531" i="17"/>
  <c r="N531" i="17"/>
  <c r="O531" i="17"/>
  <c r="P531" i="17"/>
  <c r="Q531" i="17"/>
  <c r="R531" i="17"/>
  <c r="S531" i="17"/>
  <c r="T531" i="17"/>
  <c r="U531" i="17"/>
  <c r="V531" i="17"/>
  <c r="W531" i="17"/>
  <c r="X531" i="17"/>
  <c r="Y531" i="17"/>
  <c r="Z531" i="17"/>
  <c r="AA531" i="17"/>
  <c r="AB531" i="17"/>
  <c r="AC531" i="17"/>
  <c r="AD531" i="17"/>
  <c r="C532" i="17"/>
  <c r="D532" i="17"/>
  <c r="E532" i="17"/>
  <c r="F532" i="17"/>
  <c r="G532" i="17"/>
  <c r="H532" i="17"/>
  <c r="I532" i="17"/>
  <c r="J532" i="17"/>
  <c r="K532" i="17"/>
  <c r="L532" i="17"/>
  <c r="M532" i="17"/>
  <c r="N532" i="17"/>
  <c r="O532" i="17"/>
  <c r="P532" i="17"/>
  <c r="Q532" i="17"/>
  <c r="R532" i="17"/>
  <c r="S532" i="17"/>
  <c r="T532" i="17"/>
  <c r="U532" i="17"/>
  <c r="V532" i="17"/>
  <c r="W532" i="17"/>
  <c r="X532" i="17"/>
  <c r="Y532" i="17"/>
  <c r="Z532" i="17"/>
  <c r="AA532" i="17"/>
  <c r="AB532" i="17"/>
  <c r="AC532" i="17"/>
  <c r="AD532" i="17"/>
  <c r="C533" i="17"/>
  <c r="D533" i="17"/>
  <c r="E533" i="17"/>
  <c r="F533" i="17"/>
  <c r="G533" i="17"/>
  <c r="H533" i="17"/>
  <c r="I533" i="17"/>
  <c r="J533" i="17"/>
  <c r="K533" i="17"/>
  <c r="L533" i="17"/>
  <c r="M533" i="17"/>
  <c r="N533" i="17"/>
  <c r="O533" i="17"/>
  <c r="P533" i="17"/>
  <c r="Q533" i="17"/>
  <c r="R533" i="17"/>
  <c r="S533" i="17"/>
  <c r="T533" i="17"/>
  <c r="U533" i="17"/>
  <c r="V533" i="17"/>
  <c r="W533" i="17"/>
  <c r="X533" i="17"/>
  <c r="Y533" i="17"/>
  <c r="Z533" i="17"/>
  <c r="AA533" i="17"/>
  <c r="AB533" i="17"/>
  <c r="AC533" i="17"/>
  <c r="AD533" i="17"/>
  <c r="C534" i="17"/>
  <c r="D534" i="17"/>
  <c r="E534" i="17"/>
  <c r="F534" i="17"/>
  <c r="G534" i="17"/>
  <c r="H534" i="17"/>
  <c r="I534" i="17"/>
  <c r="J534" i="17"/>
  <c r="K534" i="17"/>
  <c r="L534" i="17"/>
  <c r="M534" i="17"/>
  <c r="N534" i="17"/>
  <c r="O534" i="17"/>
  <c r="P534" i="17"/>
  <c r="Q534" i="17"/>
  <c r="R534" i="17"/>
  <c r="S534" i="17"/>
  <c r="T534" i="17"/>
  <c r="U534" i="17"/>
  <c r="V534" i="17"/>
  <c r="W534" i="17"/>
  <c r="X534" i="17"/>
  <c r="Y534" i="17"/>
  <c r="Z534" i="17"/>
  <c r="AA534" i="17"/>
  <c r="AB534" i="17"/>
  <c r="AC534" i="17"/>
  <c r="AD534" i="17"/>
  <c r="C535" i="17"/>
  <c r="D535" i="17"/>
  <c r="E535" i="17"/>
  <c r="F535" i="17"/>
  <c r="G535" i="17"/>
  <c r="H535" i="17"/>
  <c r="I535" i="17"/>
  <c r="J535" i="17"/>
  <c r="K535" i="17"/>
  <c r="L535" i="17"/>
  <c r="M535" i="17"/>
  <c r="N535" i="17"/>
  <c r="O535" i="17"/>
  <c r="P535" i="17"/>
  <c r="Q535" i="17"/>
  <c r="R535" i="17"/>
  <c r="S535" i="17"/>
  <c r="T535" i="17"/>
  <c r="U535" i="17"/>
  <c r="V535" i="17"/>
  <c r="W535" i="17"/>
  <c r="X535" i="17"/>
  <c r="Y535" i="17"/>
  <c r="Z535" i="17"/>
  <c r="AA535" i="17"/>
  <c r="AB535" i="17"/>
  <c r="AC535" i="17"/>
  <c r="AD535" i="17"/>
  <c r="C536" i="17"/>
  <c r="D536" i="17"/>
  <c r="E536" i="17"/>
  <c r="F536" i="17"/>
  <c r="G536" i="17"/>
  <c r="H536" i="17"/>
  <c r="I536" i="17"/>
  <c r="J536" i="17"/>
  <c r="K536" i="17"/>
  <c r="L536" i="17"/>
  <c r="M536" i="17"/>
  <c r="N536" i="17"/>
  <c r="O536" i="17"/>
  <c r="P536" i="17"/>
  <c r="Q536" i="17"/>
  <c r="R536" i="17"/>
  <c r="S536" i="17"/>
  <c r="T536" i="17"/>
  <c r="U536" i="17"/>
  <c r="V536" i="17"/>
  <c r="W536" i="17"/>
  <c r="X536" i="17"/>
  <c r="Y536" i="17"/>
  <c r="Z536" i="17"/>
  <c r="AA536" i="17"/>
  <c r="AB536" i="17"/>
  <c r="AC536" i="17"/>
  <c r="AD536" i="17"/>
  <c r="C537" i="17"/>
  <c r="D537" i="17"/>
  <c r="E537" i="17"/>
  <c r="F537" i="17"/>
  <c r="G537" i="17"/>
  <c r="H537" i="17"/>
  <c r="I537" i="17"/>
  <c r="J537" i="17"/>
  <c r="K537" i="17"/>
  <c r="L537" i="17"/>
  <c r="M537" i="17"/>
  <c r="N537" i="17"/>
  <c r="O537" i="17"/>
  <c r="P537" i="17"/>
  <c r="Q537" i="17"/>
  <c r="R537" i="17"/>
  <c r="S537" i="17"/>
  <c r="T537" i="17"/>
  <c r="U537" i="17"/>
  <c r="V537" i="17"/>
  <c r="W537" i="17"/>
  <c r="X537" i="17"/>
  <c r="Y537" i="17"/>
  <c r="Z537" i="17"/>
  <c r="AA537" i="17"/>
  <c r="AB537" i="17"/>
  <c r="AC537" i="17"/>
  <c r="AD537" i="17"/>
  <c r="C538" i="17"/>
  <c r="D538" i="17"/>
  <c r="E538" i="17"/>
  <c r="F538" i="17"/>
  <c r="G538" i="17"/>
  <c r="H538" i="17"/>
  <c r="I538" i="17"/>
  <c r="J538" i="17"/>
  <c r="K538" i="17"/>
  <c r="L538" i="17"/>
  <c r="M538" i="17"/>
  <c r="N538" i="17"/>
  <c r="O538" i="17"/>
  <c r="P538" i="17"/>
  <c r="Q538" i="17"/>
  <c r="R538" i="17"/>
  <c r="S538" i="17"/>
  <c r="T538" i="17"/>
  <c r="U538" i="17"/>
  <c r="V538" i="17"/>
  <c r="W538" i="17"/>
  <c r="X538" i="17"/>
  <c r="Y538" i="17"/>
  <c r="Z538" i="17"/>
  <c r="AA538" i="17"/>
  <c r="AB538" i="17"/>
  <c r="AC538" i="17"/>
  <c r="AD538" i="17"/>
  <c r="C539" i="17"/>
  <c r="D539" i="17"/>
  <c r="E539" i="17"/>
  <c r="F539" i="17"/>
  <c r="G539" i="17"/>
  <c r="H539" i="17"/>
  <c r="I539" i="17"/>
  <c r="J539" i="17"/>
  <c r="K539" i="17"/>
  <c r="L539" i="17"/>
  <c r="M539" i="17"/>
  <c r="N539" i="17"/>
  <c r="O539" i="17"/>
  <c r="P539" i="17"/>
  <c r="Q539" i="17"/>
  <c r="R539" i="17"/>
  <c r="S539" i="17"/>
  <c r="T539" i="17"/>
  <c r="U539" i="17"/>
  <c r="V539" i="17"/>
  <c r="W539" i="17"/>
  <c r="X539" i="17"/>
  <c r="Y539" i="17"/>
  <c r="Z539" i="17"/>
  <c r="AA539" i="17"/>
  <c r="AB539" i="17"/>
  <c r="AC539" i="17"/>
  <c r="AD539" i="17"/>
  <c r="C540" i="17"/>
  <c r="D540" i="17"/>
  <c r="E540" i="17"/>
  <c r="F540" i="17"/>
  <c r="G540" i="17"/>
  <c r="H540" i="17"/>
  <c r="I540" i="17"/>
  <c r="J540" i="17"/>
  <c r="K540" i="17"/>
  <c r="L540" i="17"/>
  <c r="M540" i="17"/>
  <c r="N540" i="17"/>
  <c r="O540" i="17"/>
  <c r="P540" i="17"/>
  <c r="Q540" i="17"/>
  <c r="R540" i="17"/>
  <c r="S540" i="17"/>
  <c r="T540" i="17"/>
  <c r="U540" i="17"/>
  <c r="V540" i="17"/>
  <c r="W540" i="17"/>
  <c r="X540" i="17"/>
  <c r="Y540" i="17"/>
  <c r="Z540" i="17"/>
  <c r="AA540" i="17"/>
  <c r="AB540" i="17"/>
  <c r="AC540" i="17"/>
  <c r="AD540" i="17"/>
  <c r="C541" i="17"/>
  <c r="D541" i="17"/>
  <c r="E541" i="17"/>
  <c r="F541" i="17"/>
  <c r="G541" i="17"/>
  <c r="H541" i="17"/>
  <c r="I541" i="17"/>
  <c r="J541" i="17"/>
  <c r="K541" i="17"/>
  <c r="L541" i="17"/>
  <c r="M541" i="17"/>
  <c r="N541" i="17"/>
  <c r="O541" i="17"/>
  <c r="P541" i="17"/>
  <c r="Q541" i="17"/>
  <c r="R541" i="17"/>
  <c r="S541" i="17"/>
  <c r="T541" i="17"/>
  <c r="U541" i="17"/>
  <c r="V541" i="17"/>
  <c r="W541" i="17"/>
  <c r="X541" i="17"/>
  <c r="Y541" i="17"/>
  <c r="Z541" i="17"/>
  <c r="AA541" i="17"/>
  <c r="AB541" i="17"/>
  <c r="AC541" i="17"/>
  <c r="AD541" i="17"/>
  <c r="C542" i="17"/>
  <c r="D542" i="17"/>
  <c r="E542" i="17"/>
  <c r="F542" i="17"/>
  <c r="G542" i="17"/>
  <c r="H542" i="17"/>
  <c r="I542" i="17"/>
  <c r="J542" i="17"/>
  <c r="K542" i="17"/>
  <c r="L542" i="17"/>
  <c r="M542" i="17"/>
  <c r="N542" i="17"/>
  <c r="O542" i="17"/>
  <c r="P542" i="17"/>
  <c r="Q542" i="17"/>
  <c r="R542" i="17"/>
  <c r="S542" i="17"/>
  <c r="T542" i="17"/>
  <c r="U542" i="17"/>
  <c r="V542" i="17"/>
  <c r="W542" i="17"/>
  <c r="X542" i="17"/>
  <c r="Y542" i="17"/>
  <c r="Z542" i="17"/>
  <c r="AA542" i="17"/>
  <c r="AB542" i="17"/>
  <c r="AC542" i="17"/>
  <c r="AD542" i="17"/>
  <c r="C543" i="17"/>
  <c r="D543" i="17"/>
  <c r="E543" i="17"/>
  <c r="F543" i="17"/>
  <c r="G543" i="17"/>
  <c r="H543" i="17"/>
  <c r="I543" i="17"/>
  <c r="J543" i="17"/>
  <c r="K543" i="17"/>
  <c r="L543" i="17"/>
  <c r="M543" i="17"/>
  <c r="N543" i="17"/>
  <c r="O543" i="17"/>
  <c r="P543" i="17"/>
  <c r="Q543" i="17"/>
  <c r="R543" i="17"/>
  <c r="S543" i="17"/>
  <c r="T543" i="17"/>
  <c r="U543" i="17"/>
  <c r="V543" i="17"/>
  <c r="W543" i="17"/>
  <c r="X543" i="17"/>
  <c r="Y543" i="17"/>
  <c r="Z543" i="17"/>
  <c r="AA543" i="17"/>
  <c r="AB543" i="17"/>
  <c r="AC543" i="17"/>
  <c r="AD543" i="17"/>
  <c r="C544" i="17"/>
  <c r="D544" i="17"/>
  <c r="E544" i="17"/>
  <c r="F544" i="17"/>
  <c r="G544" i="17"/>
  <c r="H544" i="17"/>
  <c r="I544" i="17"/>
  <c r="J544" i="17"/>
  <c r="K544" i="17"/>
  <c r="L544" i="17"/>
  <c r="M544" i="17"/>
  <c r="N544" i="17"/>
  <c r="O544" i="17"/>
  <c r="P544" i="17"/>
  <c r="Q544" i="17"/>
  <c r="R544" i="17"/>
  <c r="S544" i="17"/>
  <c r="T544" i="17"/>
  <c r="U544" i="17"/>
  <c r="V544" i="17"/>
  <c r="W544" i="17"/>
  <c r="X544" i="17"/>
  <c r="Y544" i="17"/>
  <c r="Z544" i="17"/>
  <c r="AA544" i="17"/>
  <c r="AB544" i="17"/>
  <c r="AC544" i="17"/>
  <c r="AD544" i="17"/>
  <c r="C545" i="17"/>
  <c r="D545" i="17"/>
  <c r="E545" i="17"/>
  <c r="F545" i="17"/>
  <c r="G545" i="17"/>
  <c r="H545" i="17"/>
  <c r="I545" i="17"/>
  <c r="J545" i="17"/>
  <c r="K545" i="17"/>
  <c r="L545" i="17"/>
  <c r="M545" i="17"/>
  <c r="N545" i="17"/>
  <c r="O545" i="17"/>
  <c r="P545" i="17"/>
  <c r="Q545" i="17"/>
  <c r="R545" i="17"/>
  <c r="S545" i="17"/>
  <c r="T545" i="17"/>
  <c r="U545" i="17"/>
  <c r="V545" i="17"/>
  <c r="W545" i="17"/>
  <c r="X545" i="17"/>
  <c r="Y545" i="17"/>
  <c r="Z545" i="17"/>
  <c r="AA545" i="17"/>
  <c r="AB545" i="17"/>
  <c r="AC545" i="17"/>
  <c r="AD545" i="17"/>
  <c r="C546" i="17"/>
  <c r="D546" i="17"/>
  <c r="E546" i="17"/>
  <c r="F546" i="17"/>
  <c r="G546" i="17"/>
  <c r="H546" i="17"/>
  <c r="I546" i="17"/>
  <c r="J546" i="17"/>
  <c r="K546" i="17"/>
  <c r="L546" i="17"/>
  <c r="M546" i="17"/>
  <c r="N546" i="17"/>
  <c r="O546" i="17"/>
  <c r="P546" i="17"/>
  <c r="Q546" i="17"/>
  <c r="R546" i="17"/>
  <c r="S546" i="17"/>
  <c r="T546" i="17"/>
  <c r="U546" i="17"/>
  <c r="V546" i="17"/>
  <c r="W546" i="17"/>
  <c r="X546" i="17"/>
  <c r="Y546" i="17"/>
  <c r="Z546" i="17"/>
  <c r="AA546" i="17"/>
  <c r="AB546" i="17"/>
  <c r="AC546" i="17"/>
  <c r="AD546" i="17"/>
  <c r="C547" i="17"/>
  <c r="D547" i="17"/>
  <c r="E547" i="17"/>
  <c r="F547" i="17"/>
  <c r="G547" i="17"/>
  <c r="H547" i="17"/>
  <c r="I547" i="17"/>
  <c r="J547" i="17"/>
  <c r="K547" i="17"/>
  <c r="L547" i="17"/>
  <c r="M547" i="17"/>
  <c r="N547" i="17"/>
  <c r="O547" i="17"/>
  <c r="P547" i="17"/>
  <c r="Q547" i="17"/>
  <c r="R547" i="17"/>
  <c r="S547" i="17"/>
  <c r="T547" i="17"/>
  <c r="U547" i="17"/>
  <c r="V547" i="17"/>
  <c r="W547" i="17"/>
  <c r="X547" i="17"/>
  <c r="Y547" i="17"/>
  <c r="Z547" i="17"/>
  <c r="AA547" i="17"/>
  <c r="AB547" i="17"/>
  <c r="AC547" i="17"/>
  <c r="AD547" i="17"/>
  <c r="C548" i="17"/>
  <c r="D548" i="17"/>
  <c r="E548" i="17"/>
  <c r="F548" i="17"/>
  <c r="G548" i="17"/>
  <c r="H548" i="17"/>
  <c r="I548" i="17"/>
  <c r="J548" i="17"/>
  <c r="K548" i="17"/>
  <c r="L548" i="17"/>
  <c r="M548" i="17"/>
  <c r="N548" i="17"/>
  <c r="O548" i="17"/>
  <c r="P548" i="17"/>
  <c r="Q548" i="17"/>
  <c r="R548" i="17"/>
  <c r="S548" i="17"/>
  <c r="T548" i="17"/>
  <c r="U548" i="17"/>
  <c r="V548" i="17"/>
  <c r="W548" i="17"/>
  <c r="X548" i="17"/>
  <c r="Y548" i="17"/>
  <c r="Z548" i="17"/>
  <c r="AA548" i="17"/>
  <c r="AB548" i="17"/>
  <c r="AC548" i="17"/>
  <c r="AD548" i="17"/>
  <c r="C549" i="17"/>
  <c r="D549" i="17"/>
  <c r="E549" i="17"/>
  <c r="F549" i="17"/>
  <c r="G549" i="17"/>
  <c r="H549" i="17"/>
  <c r="I549" i="17"/>
  <c r="J549" i="17"/>
  <c r="K549" i="17"/>
  <c r="L549" i="17"/>
  <c r="M549" i="17"/>
  <c r="N549" i="17"/>
  <c r="O549" i="17"/>
  <c r="P549" i="17"/>
  <c r="Q549" i="17"/>
  <c r="R549" i="17"/>
  <c r="S549" i="17"/>
  <c r="T549" i="17"/>
  <c r="U549" i="17"/>
  <c r="V549" i="17"/>
  <c r="W549" i="17"/>
  <c r="X549" i="17"/>
  <c r="Y549" i="17"/>
  <c r="Z549" i="17"/>
  <c r="AA549" i="17"/>
  <c r="AB549" i="17"/>
  <c r="AC549" i="17"/>
  <c r="AD549" i="17"/>
  <c r="C550" i="17"/>
  <c r="D550" i="17"/>
  <c r="E550" i="17"/>
  <c r="F550" i="17"/>
  <c r="G550" i="17"/>
  <c r="H550" i="17"/>
  <c r="I550" i="17"/>
  <c r="J550" i="17"/>
  <c r="K550" i="17"/>
  <c r="L550" i="17"/>
  <c r="M550" i="17"/>
  <c r="N550" i="17"/>
  <c r="O550" i="17"/>
  <c r="P550" i="17"/>
  <c r="Q550" i="17"/>
  <c r="R550" i="17"/>
  <c r="S550" i="17"/>
  <c r="T550" i="17"/>
  <c r="U550" i="17"/>
  <c r="V550" i="17"/>
  <c r="W550" i="17"/>
  <c r="X550" i="17"/>
  <c r="Y550" i="17"/>
  <c r="Z550" i="17"/>
  <c r="AA550" i="17"/>
  <c r="AB550" i="17"/>
  <c r="AC550" i="17"/>
  <c r="AD550" i="17"/>
  <c r="C551" i="17"/>
  <c r="D551" i="17"/>
  <c r="E551" i="17"/>
  <c r="F551" i="17"/>
  <c r="G551" i="17"/>
  <c r="H551" i="17"/>
  <c r="I551" i="17"/>
  <c r="J551" i="17"/>
  <c r="K551" i="17"/>
  <c r="L551" i="17"/>
  <c r="M551" i="17"/>
  <c r="N551" i="17"/>
  <c r="O551" i="17"/>
  <c r="P551" i="17"/>
  <c r="Q551" i="17"/>
  <c r="R551" i="17"/>
  <c r="S551" i="17"/>
  <c r="T551" i="17"/>
  <c r="U551" i="17"/>
  <c r="V551" i="17"/>
  <c r="W551" i="17"/>
  <c r="X551" i="17"/>
  <c r="Y551" i="17"/>
  <c r="Z551" i="17"/>
  <c r="AA551" i="17"/>
  <c r="AB551" i="17"/>
  <c r="AC551" i="17"/>
  <c r="AD551" i="17"/>
  <c r="C552" i="17"/>
  <c r="D552" i="17"/>
  <c r="E552" i="17"/>
  <c r="F552" i="17"/>
  <c r="G552" i="17"/>
  <c r="H552" i="17"/>
  <c r="I552" i="17"/>
  <c r="J552" i="17"/>
  <c r="K552" i="17"/>
  <c r="L552" i="17"/>
  <c r="M552" i="17"/>
  <c r="N552" i="17"/>
  <c r="O552" i="17"/>
  <c r="P552" i="17"/>
  <c r="Q552" i="17"/>
  <c r="R552" i="17"/>
  <c r="S552" i="17"/>
  <c r="T552" i="17"/>
  <c r="U552" i="17"/>
  <c r="V552" i="17"/>
  <c r="W552" i="17"/>
  <c r="X552" i="17"/>
  <c r="Y552" i="17"/>
  <c r="Z552" i="17"/>
  <c r="AA552" i="17"/>
  <c r="AB552" i="17"/>
  <c r="AC552" i="17"/>
  <c r="AD552" i="17"/>
  <c r="C553" i="17"/>
  <c r="D553" i="17"/>
  <c r="E553" i="17"/>
  <c r="F553" i="17"/>
  <c r="G553" i="17"/>
  <c r="H553" i="17"/>
  <c r="I553" i="17"/>
  <c r="J553" i="17"/>
  <c r="K553" i="17"/>
  <c r="L553" i="17"/>
  <c r="M553" i="17"/>
  <c r="N553" i="17"/>
  <c r="O553" i="17"/>
  <c r="P553" i="17"/>
  <c r="Q553" i="17"/>
  <c r="R553" i="17"/>
  <c r="S553" i="17"/>
  <c r="T553" i="17"/>
  <c r="U553" i="17"/>
  <c r="V553" i="17"/>
  <c r="W553" i="17"/>
  <c r="X553" i="17"/>
  <c r="Y553" i="17"/>
  <c r="Z553" i="17"/>
  <c r="AA553" i="17"/>
  <c r="AB553" i="17"/>
  <c r="AC553" i="17"/>
  <c r="AD553" i="17"/>
  <c r="C554" i="17"/>
  <c r="D554" i="17"/>
  <c r="E554" i="17"/>
  <c r="F554" i="17"/>
  <c r="G554" i="17"/>
  <c r="H554" i="17"/>
  <c r="I554" i="17"/>
  <c r="J554" i="17"/>
  <c r="K554" i="17"/>
  <c r="L554" i="17"/>
  <c r="M554" i="17"/>
  <c r="N554" i="17"/>
  <c r="O554" i="17"/>
  <c r="P554" i="17"/>
  <c r="Q554" i="17"/>
  <c r="R554" i="17"/>
  <c r="S554" i="17"/>
  <c r="T554" i="17"/>
  <c r="U554" i="17"/>
  <c r="V554" i="17"/>
  <c r="W554" i="17"/>
  <c r="X554" i="17"/>
  <c r="Y554" i="17"/>
  <c r="Z554" i="17"/>
  <c r="AA554" i="17"/>
  <c r="AB554" i="17"/>
  <c r="AC554" i="17"/>
  <c r="AD554" i="17"/>
  <c r="C555" i="17"/>
  <c r="D555" i="17"/>
  <c r="E555" i="17"/>
  <c r="F555" i="17"/>
  <c r="G555" i="17"/>
  <c r="H555" i="17"/>
  <c r="I555" i="17"/>
  <c r="J555" i="17"/>
  <c r="K555" i="17"/>
  <c r="L555" i="17"/>
  <c r="M555" i="17"/>
  <c r="N555" i="17"/>
  <c r="O555" i="17"/>
  <c r="P555" i="17"/>
  <c r="Q555" i="17"/>
  <c r="R555" i="17"/>
  <c r="S555" i="17"/>
  <c r="T555" i="17"/>
  <c r="U555" i="17"/>
  <c r="V555" i="17"/>
  <c r="W555" i="17"/>
  <c r="X555" i="17"/>
  <c r="Y555" i="17"/>
  <c r="Z555" i="17"/>
  <c r="AA555" i="17"/>
  <c r="AB555" i="17"/>
  <c r="AC555" i="17"/>
  <c r="AD555" i="17"/>
  <c r="C556" i="17"/>
  <c r="D556" i="17"/>
  <c r="E556" i="17"/>
  <c r="F556" i="17"/>
  <c r="G556" i="17"/>
  <c r="H556" i="17"/>
  <c r="I556" i="17"/>
  <c r="J556" i="17"/>
  <c r="K556" i="17"/>
  <c r="L556" i="17"/>
  <c r="M556" i="17"/>
  <c r="N556" i="17"/>
  <c r="O556" i="17"/>
  <c r="P556" i="17"/>
  <c r="Q556" i="17"/>
  <c r="R556" i="17"/>
  <c r="S556" i="17"/>
  <c r="T556" i="17"/>
  <c r="U556" i="17"/>
  <c r="V556" i="17"/>
  <c r="W556" i="17"/>
  <c r="X556" i="17"/>
  <c r="Y556" i="17"/>
  <c r="Z556" i="17"/>
  <c r="AA556" i="17"/>
  <c r="AB556" i="17"/>
  <c r="AC556" i="17"/>
  <c r="AD556" i="17"/>
  <c r="C557" i="17"/>
  <c r="D557" i="17"/>
  <c r="E557" i="17"/>
  <c r="F557" i="17"/>
  <c r="G557" i="17"/>
  <c r="H557" i="17"/>
  <c r="I557" i="17"/>
  <c r="J557" i="17"/>
  <c r="K557" i="17"/>
  <c r="L557" i="17"/>
  <c r="M557" i="17"/>
  <c r="N557" i="17"/>
  <c r="O557" i="17"/>
  <c r="P557" i="17"/>
  <c r="Q557" i="17"/>
  <c r="R557" i="17"/>
  <c r="S557" i="17"/>
  <c r="T557" i="17"/>
  <c r="U557" i="17"/>
  <c r="V557" i="17"/>
  <c r="W557" i="17"/>
  <c r="X557" i="17"/>
  <c r="Y557" i="17"/>
  <c r="Z557" i="17"/>
  <c r="AA557" i="17"/>
  <c r="AB557" i="17"/>
  <c r="AC557" i="17"/>
  <c r="AD557" i="17"/>
  <c r="C558" i="17"/>
  <c r="D558" i="17"/>
  <c r="E558" i="17"/>
  <c r="F558" i="17"/>
  <c r="G558" i="17"/>
  <c r="H558" i="17"/>
  <c r="I558" i="17"/>
  <c r="J558" i="17"/>
  <c r="K558" i="17"/>
  <c r="L558" i="17"/>
  <c r="M558" i="17"/>
  <c r="N558" i="17"/>
  <c r="O558" i="17"/>
  <c r="P558" i="17"/>
  <c r="Q558" i="17"/>
  <c r="R558" i="17"/>
  <c r="S558" i="17"/>
  <c r="T558" i="17"/>
  <c r="U558" i="17"/>
  <c r="V558" i="17"/>
  <c r="W558" i="17"/>
  <c r="X558" i="17"/>
  <c r="Y558" i="17"/>
  <c r="Z558" i="17"/>
  <c r="AA558" i="17"/>
  <c r="AB558" i="17"/>
  <c r="AC558" i="17"/>
  <c r="AD558" i="17"/>
  <c r="C559" i="17"/>
  <c r="D559" i="17"/>
  <c r="E559" i="17"/>
  <c r="F559" i="17"/>
  <c r="G559" i="17"/>
  <c r="H559" i="17"/>
  <c r="I559" i="17"/>
  <c r="J559" i="17"/>
  <c r="K559" i="17"/>
  <c r="L559" i="17"/>
  <c r="M559" i="17"/>
  <c r="N559" i="17"/>
  <c r="O559" i="17"/>
  <c r="P559" i="17"/>
  <c r="Q559" i="17"/>
  <c r="R559" i="17"/>
  <c r="S559" i="17"/>
  <c r="T559" i="17"/>
  <c r="U559" i="17"/>
  <c r="V559" i="17"/>
  <c r="W559" i="17"/>
  <c r="X559" i="17"/>
  <c r="Y559" i="17"/>
  <c r="Z559" i="17"/>
  <c r="AA559" i="17"/>
  <c r="AB559" i="17"/>
  <c r="AC559" i="17"/>
  <c r="AD559" i="17"/>
  <c r="C560" i="17"/>
  <c r="D560" i="17"/>
  <c r="E560" i="17"/>
  <c r="F560" i="17"/>
  <c r="G560" i="17"/>
  <c r="H560" i="17"/>
  <c r="I560" i="17"/>
  <c r="J560" i="17"/>
  <c r="K560" i="17"/>
  <c r="L560" i="17"/>
  <c r="M560" i="17"/>
  <c r="N560" i="17"/>
  <c r="O560" i="17"/>
  <c r="P560" i="17"/>
  <c r="Q560" i="17"/>
  <c r="R560" i="17"/>
  <c r="S560" i="17"/>
  <c r="T560" i="17"/>
  <c r="U560" i="17"/>
  <c r="V560" i="17"/>
  <c r="W560" i="17"/>
  <c r="X560" i="17"/>
  <c r="Y560" i="17"/>
  <c r="Z560" i="17"/>
  <c r="AA560" i="17"/>
  <c r="AB560" i="17"/>
  <c r="AC560" i="17"/>
  <c r="AD560" i="17"/>
  <c r="C561" i="17"/>
  <c r="D561" i="17"/>
  <c r="E561" i="17"/>
  <c r="F561" i="17"/>
  <c r="G561" i="17"/>
  <c r="H561" i="17"/>
  <c r="I561" i="17"/>
  <c r="J561" i="17"/>
  <c r="K561" i="17"/>
  <c r="L561" i="17"/>
  <c r="M561" i="17"/>
  <c r="N561" i="17"/>
  <c r="O561" i="17"/>
  <c r="P561" i="17"/>
  <c r="Q561" i="17"/>
  <c r="R561" i="17"/>
  <c r="S561" i="17"/>
  <c r="T561" i="17"/>
  <c r="U561" i="17"/>
  <c r="V561" i="17"/>
  <c r="W561" i="17"/>
  <c r="X561" i="17"/>
  <c r="Y561" i="17"/>
  <c r="Z561" i="17"/>
  <c r="AA561" i="17"/>
  <c r="AB561" i="17"/>
  <c r="AC561" i="17"/>
  <c r="AD561" i="17"/>
  <c r="C562" i="17"/>
  <c r="D562" i="17"/>
  <c r="E562" i="17"/>
  <c r="F562" i="17"/>
  <c r="G562" i="17"/>
  <c r="H562" i="17"/>
  <c r="I562" i="17"/>
  <c r="J562" i="17"/>
  <c r="K562" i="17"/>
  <c r="L562" i="17"/>
  <c r="M562" i="17"/>
  <c r="N562" i="17"/>
  <c r="O562" i="17"/>
  <c r="P562" i="17"/>
  <c r="Q562" i="17"/>
  <c r="R562" i="17"/>
  <c r="S562" i="17"/>
  <c r="T562" i="17"/>
  <c r="U562" i="17"/>
  <c r="V562" i="17"/>
  <c r="W562" i="17"/>
  <c r="X562" i="17"/>
  <c r="Y562" i="17"/>
  <c r="Z562" i="17"/>
  <c r="AA562" i="17"/>
  <c r="AB562" i="17"/>
  <c r="AC562" i="17"/>
  <c r="AD562" i="17"/>
  <c r="C563" i="17"/>
  <c r="D563" i="17"/>
  <c r="E563" i="17"/>
  <c r="F563" i="17"/>
  <c r="G563" i="17"/>
  <c r="H563" i="17"/>
  <c r="I563" i="17"/>
  <c r="J563" i="17"/>
  <c r="K563" i="17"/>
  <c r="L563" i="17"/>
  <c r="M563" i="17"/>
  <c r="N563" i="17"/>
  <c r="O563" i="17"/>
  <c r="P563" i="17"/>
  <c r="Q563" i="17"/>
  <c r="R563" i="17"/>
  <c r="S563" i="17"/>
  <c r="T563" i="17"/>
  <c r="U563" i="17"/>
  <c r="V563" i="17"/>
  <c r="W563" i="17"/>
  <c r="X563" i="17"/>
  <c r="Y563" i="17"/>
  <c r="Z563" i="17"/>
  <c r="AA563" i="17"/>
  <c r="AB563" i="17"/>
  <c r="AC563" i="17"/>
  <c r="AD563" i="17"/>
  <c r="C564" i="17"/>
  <c r="D564" i="17"/>
  <c r="E564" i="17"/>
  <c r="F564" i="17"/>
  <c r="G564" i="17"/>
  <c r="H564" i="17"/>
  <c r="I564" i="17"/>
  <c r="J564" i="17"/>
  <c r="K564" i="17"/>
  <c r="L564" i="17"/>
  <c r="M564" i="17"/>
  <c r="N564" i="17"/>
  <c r="O564" i="17"/>
  <c r="P564" i="17"/>
  <c r="Q564" i="17"/>
  <c r="R564" i="17"/>
  <c r="S564" i="17"/>
  <c r="T564" i="17"/>
  <c r="U564" i="17"/>
  <c r="V564" i="17"/>
  <c r="W564" i="17"/>
  <c r="X564" i="17"/>
  <c r="Y564" i="17"/>
  <c r="Z564" i="17"/>
  <c r="AA564" i="17"/>
  <c r="AB564" i="17"/>
  <c r="AC564" i="17"/>
  <c r="AD564" i="17"/>
  <c r="C565" i="17"/>
  <c r="D565" i="17"/>
  <c r="E565" i="17"/>
  <c r="F565" i="17"/>
  <c r="G565" i="17"/>
  <c r="H565" i="17"/>
  <c r="I565" i="17"/>
  <c r="J565" i="17"/>
  <c r="K565" i="17"/>
  <c r="L565" i="17"/>
  <c r="M565" i="17"/>
  <c r="N565" i="17"/>
  <c r="O565" i="17"/>
  <c r="P565" i="17"/>
  <c r="Q565" i="17"/>
  <c r="R565" i="17"/>
  <c r="S565" i="17"/>
  <c r="T565" i="17"/>
  <c r="U565" i="17"/>
  <c r="V565" i="17"/>
  <c r="W565" i="17"/>
  <c r="X565" i="17"/>
  <c r="Y565" i="17"/>
  <c r="Z565" i="17"/>
  <c r="AA565" i="17"/>
  <c r="AB565" i="17"/>
  <c r="AC565" i="17"/>
  <c r="AD565" i="17"/>
  <c r="C566" i="17"/>
  <c r="D566" i="17"/>
  <c r="E566" i="17"/>
  <c r="F566" i="17"/>
  <c r="G566" i="17"/>
  <c r="H566" i="17"/>
  <c r="I566" i="17"/>
  <c r="J566" i="17"/>
  <c r="K566" i="17"/>
  <c r="L566" i="17"/>
  <c r="M566" i="17"/>
  <c r="N566" i="17"/>
  <c r="O566" i="17"/>
  <c r="P566" i="17"/>
  <c r="Q566" i="17"/>
  <c r="R566" i="17"/>
  <c r="S566" i="17"/>
  <c r="T566" i="17"/>
  <c r="U566" i="17"/>
  <c r="V566" i="17"/>
  <c r="W566" i="17"/>
  <c r="X566" i="17"/>
  <c r="Y566" i="17"/>
  <c r="Z566" i="17"/>
  <c r="AA566" i="17"/>
  <c r="AB566" i="17"/>
  <c r="AC566" i="17"/>
  <c r="AD566" i="17"/>
  <c r="C567" i="17"/>
  <c r="D567" i="17"/>
  <c r="E567" i="17"/>
  <c r="F567" i="17"/>
  <c r="G567" i="17"/>
  <c r="H567" i="17"/>
  <c r="I567" i="17"/>
  <c r="J567" i="17"/>
  <c r="K567" i="17"/>
  <c r="L567" i="17"/>
  <c r="M567" i="17"/>
  <c r="N567" i="17"/>
  <c r="O567" i="17"/>
  <c r="P567" i="17"/>
  <c r="Q567" i="17"/>
  <c r="R567" i="17"/>
  <c r="S567" i="17"/>
  <c r="T567" i="17"/>
  <c r="U567" i="17"/>
  <c r="V567" i="17"/>
  <c r="W567" i="17"/>
  <c r="X567" i="17"/>
  <c r="Y567" i="17"/>
  <c r="Z567" i="17"/>
  <c r="AA567" i="17"/>
  <c r="AB567" i="17"/>
  <c r="AC567" i="17"/>
  <c r="AD567" i="17"/>
  <c r="C568" i="17"/>
  <c r="D568" i="17"/>
  <c r="E568" i="17"/>
  <c r="F568" i="17"/>
  <c r="G568" i="17"/>
  <c r="H568" i="17"/>
  <c r="I568" i="17"/>
  <c r="J568" i="17"/>
  <c r="K568" i="17"/>
  <c r="L568" i="17"/>
  <c r="M568" i="17"/>
  <c r="N568" i="17"/>
  <c r="O568" i="17"/>
  <c r="P568" i="17"/>
  <c r="Q568" i="17"/>
  <c r="R568" i="17"/>
  <c r="S568" i="17"/>
  <c r="T568" i="17"/>
  <c r="U568" i="17"/>
  <c r="V568" i="17"/>
  <c r="W568" i="17"/>
  <c r="X568" i="17"/>
  <c r="Y568" i="17"/>
  <c r="Z568" i="17"/>
  <c r="AA568" i="17"/>
  <c r="AB568" i="17"/>
  <c r="AC568" i="17"/>
  <c r="AD568" i="17"/>
  <c r="C569" i="17"/>
  <c r="D569" i="17"/>
  <c r="E569" i="17"/>
  <c r="F569" i="17"/>
  <c r="G569" i="17"/>
  <c r="H569" i="17"/>
  <c r="I569" i="17"/>
  <c r="J569" i="17"/>
  <c r="K569" i="17"/>
  <c r="L569" i="17"/>
  <c r="M569" i="17"/>
  <c r="N569" i="17"/>
  <c r="O569" i="17"/>
  <c r="P569" i="17"/>
  <c r="Q569" i="17"/>
  <c r="R569" i="17"/>
  <c r="S569" i="17"/>
  <c r="T569" i="17"/>
  <c r="U569" i="17"/>
  <c r="V569" i="17"/>
  <c r="W569" i="17"/>
  <c r="X569" i="17"/>
  <c r="Y569" i="17"/>
  <c r="Z569" i="17"/>
  <c r="AA569" i="17"/>
  <c r="AB569" i="17"/>
  <c r="AC569" i="17"/>
  <c r="AD569" i="17"/>
  <c r="C570" i="17"/>
  <c r="D570" i="17"/>
  <c r="E570" i="17"/>
  <c r="F570" i="17"/>
  <c r="G570" i="17"/>
  <c r="H570" i="17"/>
  <c r="I570" i="17"/>
  <c r="J570" i="17"/>
  <c r="K570" i="17"/>
  <c r="L570" i="17"/>
  <c r="M570" i="17"/>
  <c r="N570" i="17"/>
  <c r="O570" i="17"/>
  <c r="P570" i="17"/>
  <c r="Q570" i="17"/>
  <c r="R570" i="17"/>
  <c r="S570" i="17"/>
  <c r="T570" i="17"/>
  <c r="U570" i="17"/>
  <c r="V570" i="17"/>
  <c r="W570" i="17"/>
  <c r="X570" i="17"/>
  <c r="Y570" i="17"/>
  <c r="Z570" i="17"/>
  <c r="AA570" i="17"/>
  <c r="AB570" i="17"/>
  <c r="AC570" i="17"/>
  <c r="AD570" i="17"/>
  <c r="C571" i="17"/>
  <c r="D571" i="17"/>
  <c r="E571" i="17"/>
  <c r="F571" i="17"/>
  <c r="G571" i="17"/>
  <c r="H571" i="17"/>
  <c r="I571" i="17"/>
  <c r="J571" i="17"/>
  <c r="K571" i="17"/>
  <c r="L571" i="17"/>
  <c r="M571" i="17"/>
  <c r="N571" i="17"/>
  <c r="O571" i="17"/>
  <c r="P571" i="17"/>
  <c r="Q571" i="17"/>
  <c r="R571" i="17"/>
  <c r="S571" i="17"/>
  <c r="T571" i="17"/>
  <c r="U571" i="17"/>
  <c r="V571" i="17"/>
  <c r="W571" i="17"/>
  <c r="X571" i="17"/>
  <c r="Y571" i="17"/>
  <c r="Z571" i="17"/>
  <c r="AA571" i="17"/>
  <c r="AB571" i="17"/>
  <c r="AC571" i="17"/>
  <c r="AD571" i="17"/>
  <c r="C572" i="17"/>
  <c r="D572" i="17"/>
  <c r="E572" i="17"/>
  <c r="F572" i="17"/>
  <c r="G572" i="17"/>
  <c r="H572" i="17"/>
  <c r="I572" i="17"/>
  <c r="J572" i="17"/>
  <c r="K572" i="17"/>
  <c r="L572" i="17"/>
  <c r="M572" i="17"/>
  <c r="N572" i="17"/>
  <c r="O572" i="17"/>
  <c r="P572" i="17"/>
  <c r="Q572" i="17"/>
  <c r="R572" i="17"/>
  <c r="S572" i="17"/>
  <c r="T572" i="17"/>
  <c r="U572" i="17"/>
  <c r="V572" i="17"/>
  <c r="W572" i="17"/>
  <c r="X572" i="17"/>
  <c r="Y572" i="17"/>
  <c r="Z572" i="17"/>
  <c r="AA572" i="17"/>
  <c r="AB572" i="17"/>
  <c r="AC572" i="17"/>
  <c r="AD572" i="17"/>
  <c r="C573" i="17"/>
  <c r="D573" i="17"/>
  <c r="E573" i="17"/>
  <c r="F573" i="17"/>
  <c r="G573" i="17"/>
  <c r="H573" i="17"/>
  <c r="I573" i="17"/>
  <c r="J573" i="17"/>
  <c r="K573" i="17"/>
  <c r="L573" i="17"/>
  <c r="M573" i="17"/>
  <c r="N573" i="17"/>
  <c r="O573" i="17"/>
  <c r="P573" i="17"/>
  <c r="Q573" i="17"/>
  <c r="R573" i="17"/>
  <c r="S573" i="17"/>
  <c r="T573" i="17"/>
  <c r="U573" i="17"/>
  <c r="V573" i="17"/>
  <c r="W573" i="17"/>
  <c r="X573" i="17"/>
  <c r="Y573" i="17"/>
  <c r="Z573" i="17"/>
  <c r="AA573" i="17"/>
  <c r="AB573" i="17"/>
  <c r="AC573" i="17"/>
  <c r="AD573" i="17"/>
  <c r="C574" i="17"/>
  <c r="D574" i="17"/>
  <c r="E574" i="17"/>
  <c r="F574" i="17"/>
  <c r="G574" i="17"/>
  <c r="H574" i="17"/>
  <c r="I574" i="17"/>
  <c r="J574" i="17"/>
  <c r="K574" i="17"/>
  <c r="L574" i="17"/>
  <c r="M574" i="17"/>
  <c r="N574" i="17"/>
  <c r="O574" i="17"/>
  <c r="P574" i="17"/>
  <c r="Q574" i="17"/>
  <c r="R574" i="17"/>
  <c r="S574" i="17"/>
  <c r="T574" i="17"/>
  <c r="U574" i="17"/>
  <c r="V574" i="17"/>
  <c r="W574" i="17"/>
  <c r="X574" i="17"/>
  <c r="Y574" i="17"/>
  <c r="Z574" i="17"/>
  <c r="AA574" i="17"/>
  <c r="AB574" i="17"/>
  <c r="AC574" i="17"/>
  <c r="AD574" i="17"/>
  <c r="C575" i="17"/>
  <c r="D575" i="17"/>
  <c r="E575" i="17"/>
  <c r="F575" i="17"/>
  <c r="G575" i="17"/>
  <c r="H575" i="17"/>
  <c r="I575" i="17"/>
  <c r="J575" i="17"/>
  <c r="K575" i="17"/>
  <c r="L575" i="17"/>
  <c r="M575" i="17"/>
  <c r="N575" i="17"/>
  <c r="O575" i="17"/>
  <c r="P575" i="17"/>
  <c r="Q575" i="17"/>
  <c r="R575" i="17"/>
  <c r="S575" i="17"/>
  <c r="T575" i="17"/>
  <c r="U575" i="17"/>
  <c r="V575" i="17"/>
  <c r="W575" i="17"/>
  <c r="X575" i="17"/>
  <c r="Y575" i="17"/>
  <c r="Z575" i="17"/>
  <c r="AA575" i="17"/>
  <c r="AB575" i="17"/>
  <c r="AC575" i="17"/>
  <c r="AD575" i="17"/>
  <c r="C576" i="17"/>
  <c r="D576" i="17"/>
  <c r="E576" i="17"/>
  <c r="F576" i="17"/>
  <c r="G576" i="17"/>
  <c r="H576" i="17"/>
  <c r="I576" i="17"/>
  <c r="J576" i="17"/>
  <c r="K576" i="17"/>
  <c r="L576" i="17"/>
  <c r="M576" i="17"/>
  <c r="N576" i="17"/>
  <c r="O576" i="17"/>
  <c r="P576" i="17"/>
  <c r="Q576" i="17"/>
  <c r="R576" i="17"/>
  <c r="S576" i="17"/>
  <c r="T576" i="17"/>
  <c r="U576" i="17"/>
  <c r="V576" i="17"/>
  <c r="W576" i="17"/>
  <c r="X576" i="17"/>
  <c r="Y576" i="17"/>
  <c r="Z576" i="17"/>
  <c r="AA576" i="17"/>
  <c r="AB576" i="17"/>
  <c r="AC576" i="17"/>
  <c r="AD576" i="17"/>
  <c r="C577" i="17"/>
  <c r="D577" i="17"/>
  <c r="E577" i="17"/>
  <c r="F577" i="17"/>
  <c r="G577" i="17"/>
  <c r="H577" i="17"/>
  <c r="I577" i="17"/>
  <c r="J577" i="17"/>
  <c r="K577" i="17"/>
  <c r="L577" i="17"/>
  <c r="M577" i="17"/>
  <c r="N577" i="17"/>
  <c r="O577" i="17"/>
  <c r="P577" i="17"/>
  <c r="Q577" i="17"/>
  <c r="R577" i="17"/>
  <c r="S577" i="17"/>
  <c r="T577" i="17"/>
  <c r="U577" i="17"/>
  <c r="V577" i="17"/>
  <c r="W577" i="17"/>
  <c r="X577" i="17"/>
  <c r="Y577" i="17"/>
  <c r="Z577" i="17"/>
  <c r="AA577" i="17"/>
  <c r="AB577" i="17"/>
  <c r="AC577" i="17"/>
  <c r="AD577" i="17"/>
  <c r="C578" i="17"/>
  <c r="D578" i="17"/>
  <c r="E578" i="17"/>
  <c r="F578" i="17"/>
  <c r="G578" i="17"/>
  <c r="H578" i="17"/>
  <c r="I578" i="17"/>
  <c r="J578" i="17"/>
  <c r="K578" i="17"/>
  <c r="L578" i="17"/>
  <c r="M578" i="17"/>
  <c r="N578" i="17"/>
  <c r="O578" i="17"/>
  <c r="P578" i="17"/>
  <c r="Q578" i="17"/>
  <c r="R578" i="17"/>
  <c r="S578" i="17"/>
  <c r="T578" i="17"/>
  <c r="U578" i="17"/>
  <c r="V578" i="17"/>
  <c r="W578" i="17"/>
  <c r="X578" i="17"/>
  <c r="Y578" i="17"/>
  <c r="Z578" i="17"/>
  <c r="AA578" i="17"/>
  <c r="AB578" i="17"/>
  <c r="AC578" i="17"/>
  <c r="AD578" i="17"/>
  <c r="C579" i="17"/>
  <c r="D579" i="17"/>
  <c r="E579" i="17"/>
  <c r="F579" i="17"/>
  <c r="G579" i="17"/>
  <c r="H579" i="17"/>
  <c r="I579" i="17"/>
  <c r="J579" i="17"/>
  <c r="K579" i="17"/>
  <c r="L579" i="17"/>
  <c r="M579" i="17"/>
  <c r="N579" i="17"/>
  <c r="O579" i="17"/>
  <c r="P579" i="17"/>
  <c r="Q579" i="17"/>
  <c r="R579" i="17"/>
  <c r="S579" i="17"/>
  <c r="T579" i="17"/>
  <c r="U579" i="17"/>
  <c r="V579" i="17"/>
  <c r="W579" i="17"/>
  <c r="X579" i="17"/>
  <c r="Y579" i="17"/>
  <c r="Z579" i="17"/>
  <c r="AA579" i="17"/>
  <c r="AB579" i="17"/>
  <c r="AC579" i="17"/>
  <c r="AD579" i="17"/>
  <c r="C580" i="17"/>
  <c r="D580" i="17"/>
  <c r="E580" i="17"/>
  <c r="F580" i="17"/>
  <c r="G580" i="17"/>
  <c r="H580" i="17"/>
  <c r="I580" i="17"/>
  <c r="J580" i="17"/>
  <c r="K580" i="17"/>
  <c r="L580" i="17"/>
  <c r="M580" i="17"/>
  <c r="N580" i="17"/>
  <c r="O580" i="17"/>
  <c r="P580" i="17"/>
  <c r="Q580" i="17"/>
  <c r="R580" i="17"/>
  <c r="S580" i="17"/>
  <c r="T580" i="17"/>
  <c r="U580" i="17"/>
  <c r="V580" i="17"/>
  <c r="W580" i="17"/>
  <c r="X580" i="17"/>
  <c r="Y580" i="17"/>
  <c r="Z580" i="17"/>
  <c r="AA580" i="17"/>
  <c r="AB580" i="17"/>
  <c r="AC580" i="17"/>
  <c r="AD580" i="17"/>
  <c r="C581" i="17"/>
  <c r="D581" i="17"/>
  <c r="E581" i="17"/>
  <c r="F581" i="17"/>
  <c r="G581" i="17"/>
  <c r="H581" i="17"/>
  <c r="I581" i="17"/>
  <c r="J581" i="17"/>
  <c r="K581" i="17"/>
  <c r="L581" i="17"/>
  <c r="M581" i="17"/>
  <c r="N581" i="17"/>
  <c r="O581" i="17"/>
  <c r="P581" i="17"/>
  <c r="Q581" i="17"/>
  <c r="R581" i="17"/>
  <c r="S581" i="17"/>
  <c r="T581" i="17"/>
  <c r="U581" i="17"/>
  <c r="V581" i="17"/>
  <c r="W581" i="17"/>
  <c r="X581" i="17"/>
  <c r="Y581" i="17"/>
  <c r="Z581" i="17"/>
  <c r="AA581" i="17"/>
  <c r="AB581" i="17"/>
  <c r="AC581" i="17"/>
  <c r="AD581" i="17"/>
  <c r="C582" i="17"/>
  <c r="D582" i="17"/>
  <c r="E582" i="17"/>
  <c r="F582" i="17"/>
  <c r="G582" i="17"/>
  <c r="H582" i="17"/>
  <c r="I582" i="17"/>
  <c r="J582" i="17"/>
  <c r="K582" i="17"/>
  <c r="L582" i="17"/>
  <c r="M582" i="17"/>
  <c r="N582" i="17"/>
  <c r="O582" i="17"/>
  <c r="P582" i="17"/>
  <c r="Q582" i="17"/>
  <c r="R582" i="17"/>
  <c r="S582" i="17"/>
  <c r="T582" i="17"/>
  <c r="U582" i="17"/>
  <c r="V582" i="17"/>
  <c r="W582" i="17"/>
  <c r="X582" i="17"/>
  <c r="Y582" i="17"/>
  <c r="Z582" i="17"/>
  <c r="AA582" i="17"/>
  <c r="AB582" i="17"/>
  <c r="AC582" i="17"/>
  <c r="AD582" i="17"/>
  <c r="C583" i="17"/>
  <c r="D583" i="17"/>
  <c r="E583" i="17"/>
  <c r="F583" i="17"/>
  <c r="G583" i="17"/>
  <c r="H583" i="17"/>
  <c r="I583" i="17"/>
  <c r="J583" i="17"/>
  <c r="K583" i="17"/>
  <c r="L583" i="17"/>
  <c r="M583" i="17"/>
  <c r="N583" i="17"/>
  <c r="O583" i="17"/>
  <c r="P583" i="17"/>
  <c r="Q583" i="17"/>
  <c r="R583" i="17"/>
  <c r="S583" i="17"/>
  <c r="T583" i="17"/>
  <c r="U583" i="17"/>
  <c r="V583" i="17"/>
  <c r="W583" i="17"/>
  <c r="X583" i="17"/>
  <c r="Y583" i="17"/>
  <c r="Z583" i="17"/>
  <c r="AA583" i="17"/>
  <c r="AB583" i="17"/>
  <c r="AC583" i="17"/>
  <c r="AD583" i="17"/>
  <c r="C584" i="17"/>
  <c r="D584" i="17"/>
  <c r="E584" i="17"/>
  <c r="F584" i="17"/>
  <c r="G584" i="17"/>
  <c r="H584" i="17"/>
  <c r="I584" i="17"/>
  <c r="J584" i="17"/>
  <c r="K584" i="17"/>
  <c r="L584" i="17"/>
  <c r="M584" i="17"/>
  <c r="N584" i="17"/>
  <c r="O584" i="17"/>
  <c r="P584" i="17"/>
  <c r="Q584" i="17"/>
  <c r="R584" i="17"/>
  <c r="S584" i="17"/>
  <c r="T584" i="17"/>
  <c r="U584" i="17"/>
  <c r="V584" i="17"/>
  <c r="W584" i="17"/>
  <c r="X584" i="17"/>
  <c r="Y584" i="17"/>
  <c r="Z584" i="17"/>
  <c r="AA584" i="17"/>
  <c r="AB584" i="17"/>
  <c r="AC584" i="17"/>
  <c r="AD584" i="17"/>
  <c r="C585" i="17"/>
  <c r="D585" i="17"/>
  <c r="E585" i="17"/>
  <c r="F585" i="17"/>
  <c r="G585" i="17"/>
  <c r="H585" i="17"/>
  <c r="I585" i="17"/>
  <c r="J585" i="17"/>
  <c r="K585" i="17"/>
  <c r="L585" i="17"/>
  <c r="M585" i="17"/>
  <c r="N585" i="17"/>
  <c r="O585" i="17"/>
  <c r="P585" i="17"/>
  <c r="Q585" i="17"/>
  <c r="R585" i="17"/>
  <c r="S585" i="17"/>
  <c r="T585" i="17"/>
  <c r="U585" i="17"/>
  <c r="V585" i="17"/>
  <c r="W585" i="17"/>
  <c r="X585" i="17"/>
  <c r="Y585" i="17"/>
  <c r="Z585" i="17"/>
  <c r="AA585" i="17"/>
  <c r="AB585" i="17"/>
  <c r="AC585" i="17"/>
  <c r="AD585" i="17"/>
  <c r="C586" i="17"/>
  <c r="D586" i="17"/>
  <c r="E586" i="17"/>
  <c r="F586" i="17"/>
  <c r="G586" i="17"/>
  <c r="H586" i="17"/>
  <c r="I586" i="17"/>
  <c r="J586" i="17"/>
  <c r="K586" i="17"/>
  <c r="L586" i="17"/>
  <c r="M586" i="17"/>
  <c r="N586" i="17"/>
  <c r="O586" i="17"/>
  <c r="P586" i="17"/>
  <c r="Q586" i="17"/>
  <c r="R586" i="17"/>
  <c r="S586" i="17"/>
  <c r="T586" i="17"/>
  <c r="U586" i="17"/>
  <c r="V586" i="17"/>
  <c r="W586" i="17"/>
  <c r="X586" i="17"/>
  <c r="Y586" i="17"/>
  <c r="Z586" i="17"/>
  <c r="AA586" i="17"/>
  <c r="AB586" i="17"/>
  <c r="AC586" i="17"/>
  <c r="AD586" i="17"/>
  <c r="C587" i="17"/>
  <c r="D587" i="17"/>
  <c r="E587" i="17"/>
  <c r="F587" i="17"/>
  <c r="G587" i="17"/>
  <c r="H587" i="17"/>
  <c r="I587" i="17"/>
  <c r="J587" i="17"/>
  <c r="K587" i="17"/>
  <c r="L587" i="17"/>
  <c r="M587" i="17"/>
  <c r="N587" i="17"/>
  <c r="O587" i="17"/>
  <c r="P587" i="17"/>
  <c r="Q587" i="17"/>
  <c r="R587" i="17"/>
  <c r="S587" i="17"/>
  <c r="T587" i="17"/>
  <c r="U587" i="17"/>
  <c r="V587" i="17"/>
  <c r="W587" i="17"/>
  <c r="X587" i="17"/>
  <c r="Y587" i="17"/>
  <c r="Z587" i="17"/>
  <c r="AA587" i="17"/>
  <c r="AB587" i="17"/>
  <c r="AC587" i="17"/>
  <c r="AD587" i="17"/>
  <c r="C588" i="17"/>
  <c r="D588" i="17"/>
  <c r="E588" i="17"/>
  <c r="F588" i="17"/>
  <c r="G588" i="17"/>
  <c r="H588" i="17"/>
  <c r="I588" i="17"/>
  <c r="J588" i="17"/>
  <c r="K588" i="17"/>
  <c r="L588" i="17"/>
  <c r="M588" i="17"/>
  <c r="N588" i="17"/>
  <c r="O588" i="17"/>
  <c r="P588" i="17"/>
  <c r="Q588" i="17"/>
  <c r="R588" i="17"/>
  <c r="S588" i="17"/>
  <c r="T588" i="17"/>
  <c r="U588" i="17"/>
  <c r="V588" i="17"/>
  <c r="W588" i="17"/>
  <c r="X588" i="17"/>
  <c r="Y588" i="17"/>
  <c r="Z588" i="17"/>
  <c r="AA588" i="17"/>
  <c r="AB588" i="17"/>
  <c r="AC588" i="17"/>
  <c r="AD588" i="17"/>
  <c r="C589" i="17"/>
  <c r="D589" i="17"/>
  <c r="E589" i="17"/>
  <c r="F589" i="17"/>
  <c r="G589" i="17"/>
  <c r="H589" i="17"/>
  <c r="I589" i="17"/>
  <c r="J589" i="17"/>
  <c r="K589" i="17"/>
  <c r="L589" i="17"/>
  <c r="M589" i="17"/>
  <c r="N589" i="17"/>
  <c r="O589" i="17"/>
  <c r="P589" i="17"/>
  <c r="Q589" i="17"/>
  <c r="R589" i="17"/>
  <c r="S589" i="17"/>
  <c r="T589" i="17"/>
  <c r="U589" i="17"/>
  <c r="V589" i="17"/>
  <c r="W589" i="17"/>
  <c r="X589" i="17"/>
  <c r="Y589" i="17"/>
  <c r="Z589" i="17"/>
  <c r="AA589" i="17"/>
  <c r="AB589" i="17"/>
  <c r="AC589" i="17"/>
  <c r="AD589" i="17"/>
  <c r="C590" i="17"/>
  <c r="D590" i="17"/>
  <c r="E590" i="17"/>
  <c r="F590" i="17"/>
  <c r="G590" i="17"/>
  <c r="H590" i="17"/>
  <c r="I590" i="17"/>
  <c r="J590" i="17"/>
  <c r="K590" i="17"/>
  <c r="L590" i="17"/>
  <c r="M590" i="17"/>
  <c r="N590" i="17"/>
  <c r="O590" i="17"/>
  <c r="P590" i="17"/>
  <c r="Q590" i="17"/>
  <c r="R590" i="17"/>
  <c r="S590" i="17"/>
  <c r="T590" i="17"/>
  <c r="U590" i="17"/>
  <c r="V590" i="17"/>
  <c r="W590" i="17"/>
  <c r="X590" i="17"/>
  <c r="Y590" i="17"/>
  <c r="Z590" i="17"/>
  <c r="AA590" i="17"/>
  <c r="AB590" i="17"/>
  <c r="AC590" i="17"/>
  <c r="AD590" i="17"/>
  <c r="C591" i="17"/>
  <c r="D591" i="17"/>
  <c r="E591" i="17"/>
  <c r="F591" i="17"/>
  <c r="G591" i="17"/>
  <c r="H591" i="17"/>
  <c r="I591" i="17"/>
  <c r="J591" i="17"/>
  <c r="K591" i="17"/>
  <c r="L591" i="17"/>
  <c r="M591" i="17"/>
  <c r="N591" i="17"/>
  <c r="O591" i="17"/>
  <c r="P591" i="17"/>
  <c r="Q591" i="17"/>
  <c r="R591" i="17"/>
  <c r="S591" i="17"/>
  <c r="T591" i="17"/>
  <c r="U591" i="17"/>
  <c r="V591" i="17"/>
  <c r="W591" i="17"/>
  <c r="X591" i="17"/>
  <c r="Y591" i="17"/>
  <c r="Z591" i="17"/>
  <c r="AA591" i="17"/>
  <c r="AB591" i="17"/>
  <c r="AC591" i="17"/>
  <c r="AD591" i="17"/>
  <c r="C592" i="17"/>
  <c r="D592" i="17"/>
  <c r="E592" i="17"/>
  <c r="F592" i="17"/>
  <c r="G592" i="17"/>
  <c r="H592" i="17"/>
  <c r="I592" i="17"/>
  <c r="J592" i="17"/>
  <c r="K592" i="17"/>
  <c r="L592" i="17"/>
  <c r="M592" i="17"/>
  <c r="N592" i="17"/>
  <c r="O592" i="17"/>
  <c r="P592" i="17"/>
  <c r="Q592" i="17"/>
  <c r="R592" i="17"/>
  <c r="S592" i="17"/>
  <c r="T592" i="17"/>
  <c r="U592" i="17"/>
  <c r="V592" i="17"/>
  <c r="W592" i="17"/>
  <c r="X592" i="17"/>
  <c r="Y592" i="17"/>
  <c r="Z592" i="17"/>
  <c r="AA592" i="17"/>
  <c r="AB592" i="17"/>
  <c r="AC592" i="17"/>
  <c r="AD592" i="17"/>
  <c r="C593" i="17"/>
  <c r="D593" i="17"/>
  <c r="E593" i="17"/>
  <c r="F593" i="17"/>
  <c r="G593" i="17"/>
  <c r="H593" i="17"/>
  <c r="I593" i="17"/>
  <c r="J593" i="17"/>
  <c r="K593" i="17"/>
  <c r="L593" i="17"/>
  <c r="M593" i="17"/>
  <c r="N593" i="17"/>
  <c r="O593" i="17"/>
  <c r="P593" i="17"/>
  <c r="Q593" i="17"/>
  <c r="R593" i="17"/>
  <c r="S593" i="17"/>
  <c r="T593" i="17"/>
  <c r="U593" i="17"/>
  <c r="V593" i="17"/>
  <c r="W593" i="17"/>
  <c r="X593" i="17"/>
  <c r="Y593" i="17"/>
  <c r="Z593" i="17"/>
  <c r="AA593" i="17"/>
  <c r="AB593" i="17"/>
  <c r="AC593" i="17"/>
  <c r="AD593" i="17"/>
  <c r="C594" i="17"/>
  <c r="D594" i="17"/>
  <c r="E594" i="17"/>
  <c r="F594" i="17"/>
  <c r="G594" i="17"/>
  <c r="H594" i="17"/>
  <c r="I594" i="17"/>
  <c r="J594" i="17"/>
  <c r="K594" i="17"/>
  <c r="L594" i="17"/>
  <c r="M594" i="17"/>
  <c r="N594" i="17"/>
  <c r="O594" i="17"/>
  <c r="P594" i="17"/>
  <c r="Q594" i="17"/>
  <c r="R594" i="17"/>
  <c r="S594" i="17"/>
  <c r="T594" i="17"/>
  <c r="U594" i="17"/>
  <c r="V594" i="17"/>
  <c r="W594" i="17"/>
  <c r="X594" i="17"/>
  <c r="Y594" i="17"/>
  <c r="Z594" i="17"/>
  <c r="AA594" i="17"/>
  <c r="AB594" i="17"/>
  <c r="AC594" i="17"/>
  <c r="AD594" i="17"/>
  <c r="C595" i="17"/>
  <c r="D595" i="17"/>
  <c r="E595" i="17"/>
  <c r="F595" i="17"/>
  <c r="G595" i="17"/>
  <c r="H595" i="17"/>
  <c r="I595" i="17"/>
  <c r="J595" i="17"/>
  <c r="K595" i="17"/>
  <c r="L595" i="17"/>
  <c r="M595" i="17"/>
  <c r="N595" i="17"/>
  <c r="O595" i="17"/>
  <c r="P595" i="17"/>
  <c r="Q595" i="17"/>
  <c r="R595" i="17"/>
  <c r="S595" i="17"/>
  <c r="T595" i="17"/>
  <c r="U595" i="17"/>
  <c r="V595" i="17"/>
  <c r="W595" i="17"/>
  <c r="X595" i="17"/>
  <c r="Y595" i="17"/>
  <c r="Z595" i="17"/>
  <c r="AA595" i="17"/>
  <c r="AB595" i="17"/>
  <c r="AC595" i="17"/>
  <c r="AD595" i="17"/>
  <c r="C596" i="17"/>
  <c r="D596" i="17"/>
  <c r="E596" i="17"/>
  <c r="F596" i="17"/>
  <c r="G596" i="17"/>
  <c r="H596" i="17"/>
  <c r="I596" i="17"/>
  <c r="J596" i="17"/>
  <c r="K596" i="17"/>
  <c r="L596" i="17"/>
  <c r="M596" i="17"/>
  <c r="N596" i="17"/>
  <c r="O596" i="17"/>
  <c r="P596" i="17"/>
  <c r="Q596" i="17"/>
  <c r="R596" i="17"/>
  <c r="S596" i="17"/>
  <c r="T596" i="17"/>
  <c r="U596" i="17"/>
  <c r="V596" i="17"/>
  <c r="W596" i="17"/>
  <c r="X596" i="17"/>
  <c r="Y596" i="17"/>
  <c r="Z596" i="17"/>
  <c r="AA596" i="17"/>
  <c r="AB596" i="17"/>
  <c r="AC596" i="17"/>
  <c r="AD596" i="17"/>
  <c r="C597" i="17"/>
  <c r="D597" i="17"/>
  <c r="E597" i="17"/>
  <c r="F597" i="17"/>
  <c r="G597" i="17"/>
  <c r="H597" i="17"/>
  <c r="I597" i="17"/>
  <c r="J597" i="17"/>
  <c r="K597" i="17"/>
  <c r="L597" i="17"/>
  <c r="M597" i="17"/>
  <c r="N597" i="17"/>
  <c r="O597" i="17"/>
  <c r="P597" i="17"/>
  <c r="Q597" i="17"/>
  <c r="R597" i="17"/>
  <c r="S597" i="17"/>
  <c r="T597" i="17"/>
  <c r="U597" i="17"/>
  <c r="V597" i="17"/>
  <c r="W597" i="17"/>
  <c r="X597" i="17"/>
  <c r="Y597" i="17"/>
  <c r="Z597" i="17"/>
  <c r="AA597" i="17"/>
  <c r="AB597" i="17"/>
  <c r="AC597" i="17"/>
  <c r="AD597" i="17"/>
  <c r="C598" i="17"/>
  <c r="D598" i="17"/>
  <c r="E598" i="17"/>
  <c r="F598" i="17"/>
  <c r="G598" i="17"/>
  <c r="H598" i="17"/>
  <c r="I598" i="17"/>
  <c r="J598" i="17"/>
  <c r="K598" i="17"/>
  <c r="L598" i="17"/>
  <c r="M598" i="17"/>
  <c r="N598" i="17"/>
  <c r="O598" i="17"/>
  <c r="P598" i="17"/>
  <c r="Q598" i="17"/>
  <c r="R598" i="17"/>
  <c r="S598" i="17"/>
  <c r="T598" i="17"/>
  <c r="U598" i="17"/>
  <c r="V598" i="17"/>
  <c r="W598" i="17"/>
  <c r="X598" i="17"/>
  <c r="Y598" i="17"/>
  <c r="Z598" i="17"/>
  <c r="AA598" i="17"/>
  <c r="AB598" i="17"/>
  <c r="AC598" i="17"/>
  <c r="AD598" i="17"/>
  <c r="C599" i="17"/>
  <c r="D599" i="17"/>
  <c r="E599" i="17"/>
  <c r="F599" i="17"/>
  <c r="G599" i="17"/>
  <c r="H599" i="17"/>
  <c r="I599" i="17"/>
  <c r="J599" i="17"/>
  <c r="K599" i="17"/>
  <c r="L599" i="17"/>
  <c r="M599" i="17"/>
  <c r="N599" i="17"/>
  <c r="O599" i="17"/>
  <c r="P599" i="17"/>
  <c r="Q599" i="17"/>
  <c r="R599" i="17"/>
  <c r="S599" i="17"/>
  <c r="T599" i="17"/>
  <c r="U599" i="17"/>
  <c r="V599" i="17"/>
  <c r="W599" i="17"/>
  <c r="X599" i="17"/>
  <c r="Y599" i="17"/>
  <c r="Z599" i="17"/>
  <c r="AA599" i="17"/>
  <c r="AB599" i="17"/>
  <c r="AC599" i="17"/>
  <c r="AD599" i="17"/>
  <c r="C600" i="17"/>
  <c r="D600" i="17"/>
  <c r="E600" i="17"/>
  <c r="F600" i="17"/>
  <c r="G600" i="17"/>
  <c r="H600" i="17"/>
  <c r="I600" i="17"/>
  <c r="J600" i="17"/>
  <c r="K600" i="17"/>
  <c r="L600" i="17"/>
  <c r="M600" i="17"/>
  <c r="N600" i="17"/>
  <c r="O600" i="17"/>
  <c r="P600" i="17"/>
  <c r="Q600" i="17"/>
  <c r="R600" i="17"/>
  <c r="S600" i="17"/>
  <c r="T600" i="17"/>
  <c r="U600" i="17"/>
  <c r="V600" i="17"/>
  <c r="W600" i="17"/>
  <c r="X600" i="17"/>
  <c r="Y600" i="17"/>
  <c r="Z600" i="17"/>
  <c r="AA600" i="17"/>
  <c r="AB600" i="17"/>
  <c r="AC600" i="17"/>
  <c r="AD600" i="17"/>
  <c r="C601" i="17"/>
  <c r="D601" i="17"/>
  <c r="E601" i="17"/>
  <c r="F601" i="17"/>
  <c r="G601" i="17"/>
  <c r="H601" i="17"/>
  <c r="I601" i="17"/>
  <c r="J601" i="17"/>
  <c r="K601" i="17"/>
  <c r="L601" i="17"/>
  <c r="M601" i="17"/>
  <c r="N601" i="17"/>
  <c r="O601" i="17"/>
  <c r="P601" i="17"/>
  <c r="Q601" i="17"/>
  <c r="R601" i="17"/>
  <c r="S601" i="17"/>
  <c r="T601" i="17"/>
  <c r="U601" i="17"/>
  <c r="V601" i="17"/>
  <c r="W601" i="17"/>
  <c r="X601" i="17"/>
  <c r="Y601" i="17"/>
  <c r="Z601" i="17"/>
  <c r="AA601" i="17"/>
  <c r="AB601" i="17"/>
  <c r="AC601" i="17"/>
  <c r="AD601" i="17"/>
  <c r="C602" i="17"/>
  <c r="D602" i="17"/>
  <c r="E602" i="17"/>
  <c r="F602" i="17"/>
  <c r="G602" i="17"/>
  <c r="H602" i="17"/>
  <c r="I602" i="17"/>
  <c r="J602" i="17"/>
  <c r="K602" i="17"/>
  <c r="L602" i="17"/>
  <c r="M602" i="17"/>
  <c r="N602" i="17"/>
  <c r="O602" i="17"/>
  <c r="P602" i="17"/>
  <c r="Q602" i="17"/>
  <c r="R602" i="17"/>
  <c r="S602" i="17"/>
  <c r="T602" i="17"/>
  <c r="U602" i="17"/>
  <c r="V602" i="17"/>
  <c r="W602" i="17"/>
  <c r="X602" i="17"/>
  <c r="Y602" i="17"/>
  <c r="Z602" i="17"/>
  <c r="AA602" i="17"/>
  <c r="AB602" i="17"/>
  <c r="AC602" i="17"/>
  <c r="AD602" i="17"/>
  <c r="C603" i="17"/>
  <c r="D603" i="17"/>
  <c r="E603" i="17"/>
  <c r="F603" i="17"/>
  <c r="G603" i="17"/>
  <c r="H603" i="17"/>
  <c r="I603" i="17"/>
  <c r="J603" i="17"/>
  <c r="K603" i="17"/>
  <c r="L603" i="17"/>
  <c r="M603" i="17"/>
  <c r="N603" i="17"/>
  <c r="O603" i="17"/>
  <c r="P603" i="17"/>
  <c r="Q603" i="17"/>
  <c r="R603" i="17"/>
  <c r="S603" i="17"/>
  <c r="T603" i="17"/>
  <c r="U603" i="17"/>
  <c r="V603" i="17"/>
  <c r="W603" i="17"/>
  <c r="X603" i="17"/>
  <c r="Y603" i="17"/>
  <c r="Z603" i="17"/>
  <c r="AA603" i="17"/>
  <c r="AB603" i="17"/>
  <c r="AC603" i="17"/>
  <c r="AD603" i="17"/>
  <c r="C604" i="17"/>
  <c r="D604" i="17"/>
  <c r="E604" i="17"/>
  <c r="F604" i="17"/>
  <c r="G604" i="17"/>
  <c r="H604" i="17"/>
  <c r="I604" i="17"/>
  <c r="J604" i="17"/>
  <c r="K604" i="17"/>
  <c r="L604" i="17"/>
  <c r="M604" i="17"/>
  <c r="N604" i="17"/>
  <c r="O604" i="17"/>
  <c r="P604" i="17"/>
  <c r="Q604" i="17"/>
  <c r="R604" i="17"/>
  <c r="S604" i="17"/>
  <c r="T604" i="17"/>
  <c r="U604" i="17"/>
  <c r="V604" i="17"/>
  <c r="W604" i="17"/>
  <c r="X604" i="17"/>
  <c r="Y604" i="17"/>
  <c r="Z604" i="17"/>
  <c r="AA604" i="17"/>
  <c r="AB604" i="17"/>
  <c r="AC604" i="17"/>
  <c r="AD604" i="17"/>
  <c r="C605" i="17"/>
  <c r="D605" i="17"/>
  <c r="E605" i="17"/>
  <c r="F605" i="17"/>
  <c r="G605" i="17"/>
  <c r="H605" i="17"/>
  <c r="I605" i="17"/>
  <c r="J605" i="17"/>
  <c r="K605" i="17"/>
  <c r="L605" i="17"/>
  <c r="M605" i="17"/>
  <c r="N605" i="17"/>
  <c r="O605" i="17"/>
  <c r="P605" i="17"/>
  <c r="Q605" i="17"/>
  <c r="R605" i="17"/>
  <c r="S605" i="17"/>
  <c r="T605" i="17"/>
  <c r="U605" i="17"/>
  <c r="V605" i="17"/>
  <c r="W605" i="17"/>
  <c r="X605" i="17"/>
  <c r="Y605" i="17"/>
  <c r="Z605" i="17"/>
  <c r="AA605" i="17"/>
  <c r="AB605" i="17"/>
  <c r="AC605" i="17"/>
  <c r="AD605" i="17"/>
  <c r="C606" i="17"/>
  <c r="D606" i="17"/>
  <c r="E606" i="17"/>
  <c r="F606" i="17"/>
  <c r="G606" i="17"/>
  <c r="H606" i="17"/>
  <c r="I606" i="17"/>
  <c r="J606" i="17"/>
  <c r="K606" i="17"/>
  <c r="L606" i="17"/>
  <c r="M606" i="17"/>
  <c r="N606" i="17"/>
  <c r="O606" i="17"/>
  <c r="P606" i="17"/>
  <c r="Q606" i="17"/>
  <c r="R606" i="17"/>
  <c r="S606" i="17"/>
  <c r="T606" i="17"/>
  <c r="U606" i="17"/>
  <c r="V606" i="17"/>
  <c r="W606" i="17"/>
  <c r="X606" i="17"/>
  <c r="Y606" i="17"/>
  <c r="Z606" i="17"/>
  <c r="AA606" i="17"/>
  <c r="AB606" i="17"/>
  <c r="AC606" i="17"/>
  <c r="AD606" i="17"/>
  <c r="C607" i="17"/>
  <c r="D607" i="17"/>
  <c r="E607" i="17"/>
  <c r="F607" i="17"/>
  <c r="G607" i="17"/>
  <c r="H607" i="17"/>
  <c r="I607" i="17"/>
  <c r="J607" i="17"/>
  <c r="K607" i="17"/>
  <c r="L607" i="17"/>
  <c r="M607" i="17"/>
  <c r="N607" i="17"/>
  <c r="O607" i="17"/>
  <c r="P607" i="17"/>
  <c r="Q607" i="17"/>
  <c r="R607" i="17"/>
  <c r="S607" i="17"/>
  <c r="T607" i="17"/>
  <c r="U607" i="17"/>
  <c r="V607" i="17"/>
  <c r="W607" i="17"/>
  <c r="X607" i="17"/>
  <c r="Y607" i="17"/>
  <c r="Z607" i="17"/>
  <c r="AA607" i="17"/>
  <c r="AB607" i="17"/>
  <c r="AC607" i="17"/>
  <c r="AD607" i="17"/>
  <c r="C608" i="17"/>
  <c r="D608" i="17"/>
  <c r="E608" i="17"/>
  <c r="F608" i="17"/>
  <c r="G608" i="17"/>
  <c r="H608" i="17"/>
  <c r="I608" i="17"/>
  <c r="J608" i="17"/>
  <c r="K608" i="17"/>
  <c r="L608" i="17"/>
  <c r="M608" i="17"/>
  <c r="N608" i="17"/>
  <c r="O608" i="17"/>
  <c r="P608" i="17"/>
  <c r="Q608" i="17"/>
  <c r="R608" i="17"/>
  <c r="S608" i="17"/>
  <c r="T608" i="17"/>
  <c r="U608" i="17"/>
  <c r="V608" i="17"/>
  <c r="W608" i="17"/>
  <c r="X608" i="17"/>
  <c r="Y608" i="17"/>
  <c r="Z608" i="17"/>
  <c r="AA608" i="17"/>
  <c r="AB608" i="17"/>
  <c r="AC608" i="17"/>
  <c r="AD608" i="17"/>
  <c r="C609" i="17"/>
  <c r="D609" i="17"/>
  <c r="E609" i="17"/>
  <c r="F609" i="17"/>
  <c r="G609" i="17"/>
  <c r="H609" i="17"/>
  <c r="I609" i="17"/>
  <c r="J609" i="17"/>
  <c r="K609" i="17"/>
  <c r="L609" i="17"/>
  <c r="M609" i="17"/>
  <c r="N609" i="17"/>
  <c r="O609" i="17"/>
  <c r="P609" i="17"/>
  <c r="Q609" i="17"/>
  <c r="R609" i="17"/>
  <c r="S609" i="17"/>
  <c r="T609" i="17"/>
  <c r="U609" i="17"/>
  <c r="V609" i="17"/>
  <c r="W609" i="17"/>
  <c r="X609" i="17"/>
  <c r="Y609" i="17"/>
  <c r="Z609" i="17"/>
  <c r="AA609" i="17"/>
  <c r="AB609" i="17"/>
  <c r="AC609" i="17"/>
  <c r="AD609" i="17"/>
  <c r="C610" i="17"/>
  <c r="D610" i="17"/>
  <c r="E610" i="17"/>
  <c r="F610" i="17"/>
  <c r="G610" i="17"/>
  <c r="H610" i="17"/>
  <c r="I610" i="17"/>
  <c r="J610" i="17"/>
  <c r="K610" i="17"/>
  <c r="L610" i="17"/>
  <c r="M610" i="17"/>
  <c r="N610" i="17"/>
  <c r="O610" i="17"/>
  <c r="P610" i="17"/>
  <c r="Q610" i="17"/>
  <c r="R610" i="17"/>
  <c r="S610" i="17"/>
  <c r="T610" i="17"/>
  <c r="U610" i="17"/>
  <c r="V610" i="17"/>
  <c r="W610" i="17"/>
  <c r="X610" i="17"/>
  <c r="Y610" i="17"/>
  <c r="Z610" i="17"/>
  <c r="AA610" i="17"/>
  <c r="AB610" i="17"/>
  <c r="AC610" i="17"/>
  <c r="AD610" i="17"/>
  <c r="C611" i="17"/>
  <c r="D611" i="17"/>
  <c r="E611" i="17"/>
  <c r="F611" i="17"/>
  <c r="G611" i="17"/>
  <c r="H611" i="17"/>
  <c r="I611" i="17"/>
  <c r="J611" i="17"/>
  <c r="K611" i="17"/>
  <c r="L611" i="17"/>
  <c r="M611" i="17"/>
  <c r="N611" i="17"/>
  <c r="O611" i="17"/>
  <c r="P611" i="17"/>
  <c r="Q611" i="17"/>
  <c r="R611" i="17"/>
  <c r="S611" i="17"/>
  <c r="T611" i="17"/>
  <c r="U611" i="17"/>
  <c r="V611" i="17"/>
  <c r="W611" i="17"/>
  <c r="X611" i="17"/>
  <c r="Y611" i="17"/>
  <c r="Z611" i="17"/>
  <c r="AA611" i="17"/>
  <c r="AB611" i="17"/>
  <c r="AC611" i="17"/>
  <c r="AD611" i="17"/>
  <c r="C612" i="17"/>
  <c r="D612" i="17"/>
  <c r="E612" i="17"/>
  <c r="F612" i="17"/>
  <c r="G612" i="17"/>
  <c r="H612" i="17"/>
  <c r="I612" i="17"/>
  <c r="J612" i="17"/>
  <c r="K612" i="17"/>
  <c r="L612" i="17"/>
  <c r="M612" i="17"/>
  <c r="N612" i="17"/>
  <c r="O612" i="17"/>
  <c r="P612" i="17"/>
  <c r="Q612" i="17"/>
  <c r="R612" i="17"/>
  <c r="S612" i="17"/>
  <c r="T612" i="17"/>
  <c r="U612" i="17"/>
  <c r="V612" i="17"/>
  <c r="W612" i="17"/>
  <c r="X612" i="17"/>
  <c r="Y612" i="17"/>
  <c r="Z612" i="17"/>
  <c r="AA612" i="17"/>
  <c r="AB612" i="17"/>
  <c r="AC612" i="17"/>
  <c r="AD612" i="17"/>
  <c r="C613" i="17"/>
  <c r="D613" i="17"/>
  <c r="E613" i="17"/>
  <c r="F613" i="17"/>
  <c r="G613" i="17"/>
  <c r="H613" i="17"/>
  <c r="I613" i="17"/>
  <c r="J613" i="17"/>
  <c r="K613" i="17"/>
  <c r="L613" i="17"/>
  <c r="M613" i="17"/>
  <c r="N613" i="17"/>
  <c r="O613" i="17"/>
  <c r="P613" i="17"/>
  <c r="Q613" i="17"/>
  <c r="R613" i="17"/>
  <c r="S613" i="17"/>
  <c r="T613" i="17"/>
  <c r="U613" i="17"/>
  <c r="V613" i="17"/>
  <c r="W613" i="17"/>
  <c r="X613" i="17"/>
  <c r="Y613" i="17"/>
  <c r="Z613" i="17"/>
  <c r="AA613" i="17"/>
  <c r="AB613" i="17"/>
  <c r="AC613" i="17"/>
  <c r="AD613" i="17"/>
  <c r="C614" i="17"/>
  <c r="D614" i="17"/>
  <c r="E614" i="17"/>
  <c r="F614" i="17"/>
  <c r="G614" i="17"/>
  <c r="H614" i="17"/>
  <c r="I614" i="17"/>
  <c r="J614" i="17"/>
  <c r="K614" i="17"/>
  <c r="L614" i="17"/>
  <c r="M614" i="17"/>
  <c r="N614" i="17"/>
  <c r="O614" i="17"/>
  <c r="P614" i="17"/>
  <c r="Q614" i="17"/>
  <c r="R614" i="17"/>
  <c r="S614" i="17"/>
  <c r="T614" i="17"/>
  <c r="U614" i="17"/>
  <c r="V614" i="17"/>
  <c r="W614" i="17"/>
  <c r="X614" i="17"/>
  <c r="Y614" i="17"/>
  <c r="Z614" i="17"/>
  <c r="AA614" i="17"/>
  <c r="AB614" i="17"/>
  <c r="AC614" i="17"/>
  <c r="AD614" i="17"/>
  <c r="C615" i="17"/>
  <c r="D615" i="17"/>
  <c r="E615" i="17"/>
  <c r="F615" i="17"/>
  <c r="G615" i="17"/>
  <c r="H615" i="17"/>
  <c r="I615" i="17"/>
  <c r="J615" i="17"/>
  <c r="K615" i="17"/>
  <c r="L615" i="17"/>
  <c r="M615" i="17"/>
  <c r="N615" i="17"/>
  <c r="O615" i="17"/>
  <c r="P615" i="17"/>
  <c r="Q615" i="17"/>
  <c r="R615" i="17"/>
  <c r="S615" i="17"/>
  <c r="T615" i="17"/>
  <c r="U615" i="17"/>
  <c r="V615" i="17"/>
  <c r="W615" i="17"/>
  <c r="X615" i="17"/>
  <c r="Y615" i="17"/>
  <c r="Z615" i="17"/>
  <c r="AA615" i="17"/>
  <c r="AB615" i="17"/>
  <c r="AC615" i="17"/>
  <c r="AD615" i="17"/>
  <c r="C616" i="17"/>
  <c r="D616" i="17"/>
  <c r="E616" i="17"/>
  <c r="F616" i="17"/>
  <c r="G616" i="17"/>
  <c r="H616" i="17"/>
  <c r="I616" i="17"/>
  <c r="J616" i="17"/>
  <c r="K616" i="17"/>
  <c r="L616" i="17"/>
  <c r="M616" i="17"/>
  <c r="N616" i="17"/>
  <c r="O616" i="17"/>
  <c r="P616" i="17"/>
  <c r="Q616" i="17"/>
  <c r="R616" i="17"/>
  <c r="S616" i="17"/>
  <c r="T616" i="17"/>
  <c r="U616" i="17"/>
  <c r="V616" i="17"/>
  <c r="W616" i="17"/>
  <c r="X616" i="17"/>
  <c r="Y616" i="17"/>
  <c r="Z616" i="17"/>
  <c r="AA616" i="17"/>
  <c r="AB616" i="17"/>
  <c r="AC616" i="17"/>
  <c r="AD616" i="17"/>
  <c r="C617" i="17"/>
  <c r="D617" i="17"/>
  <c r="E617" i="17"/>
  <c r="F617" i="17"/>
  <c r="G617" i="17"/>
  <c r="H617" i="17"/>
  <c r="I617" i="17"/>
  <c r="J617" i="17"/>
  <c r="K617" i="17"/>
  <c r="L617" i="17"/>
  <c r="M617" i="17"/>
  <c r="N617" i="17"/>
  <c r="O617" i="17"/>
  <c r="P617" i="17"/>
  <c r="Q617" i="17"/>
  <c r="R617" i="17"/>
  <c r="S617" i="17"/>
  <c r="T617" i="17"/>
  <c r="U617" i="17"/>
  <c r="V617" i="17"/>
  <c r="W617" i="17"/>
  <c r="X617" i="17"/>
  <c r="Y617" i="17"/>
  <c r="Z617" i="17"/>
  <c r="AA617" i="17"/>
  <c r="AB617" i="17"/>
  <c r="AC617" i="17"/>
  <c r="AD617" i="17"/>
  <c r="C618" i="17"/>
  <c r="D618" i="17"/>
  <c r="E618" i="17"/>
  <c r="F618" i="17"/>
  <c r="G618" i="17"/>
  <c r="H618" i="17"/>
  <c r="I618" i="17"/>
  <c r="J618" i="17"/>
  <c r="K618" i="17"/>
  <c r="L618" i="17"/>
  <c r="M618" i="17"/>
  <c r="N618" i="17"/>
  <c r="O618" i="17"/>
  <c r="P618" i="17"/>
  <c r="Q618" i="17"/>
  <c r="R618" i="17"/>
  <c r="S618" i="17"/>
  <c r="T618" i="17"/>
  <c r="U618" i="17"/>
  <c r="V618" i="17"/>
  <c r="W618" i="17"/>
  <c r="X618" i="17"/>
  <c r="Y618" i="17"/>
  <c r="Z618" i="17"/>
  <c r="AA618" i="17"/>
  <c r="AB618" i="17"/>
  <c r="AC618" i="17"/>
  <c r="AD618" i="17"/>
  <c r="C619" i="17"/>
  <c r="D619" i="17"/>
  <c r="E619" i="17"/>
  <c r="F619" i="17"/>
  <c r="G619" i="17"/>
  <c r="H619" i="17"/>
  <c r="I619" i="17"/>
  <c r="J619" i="17"/>
  <c r="K619" i="17"/>
  <c r="L619" i="17"/>
  <c r="M619" i="17"/>
  <c r="N619" i="17"/>
  <c r="O619" i="17"/>
  <c r="P619" i="17"/>
  <c r="Q619" i="17"/>
  <c r="R619" i="17"/>
  <c r="S619" i="17"/>
  <c r="T619" i="17"/>
  <c r="U619" i="17"/>
  <c r="V619" i="17"/>
  <c r="W619" i="17"/>
  <c r="X619" i="17"/>
  <c r="Y619" i="17"/>
  <c r="Z619" i="17"/>
  <c r="AA619" i="17"/>
  <c r="AB619" i="17"/>
  <c r="AC619" i="17"/>
  <c r="AD619" i="17"/>
  <c r="C620" i="17"/>
  <c r="D620" i="17"/>
  <c r="E620" i="17"/>
  <c r="F620" i="17"/>
  <c r="G620" i="17"/>
  <c r="H620" i="17"/>
  <c r="I620" i="17"/>
  <c r="J620" i="17"/>
  <c r="K620" i="17"/>
  <c r="L620" i="17"/>
  <c r="M620" i="17"/>
  <c r="N620" i="17"/>
  <c r="O620" i="17"/>
  <c r="P620" i="17"/>
  <c r="Q620" i="17"/>
  <c r="R620" i="17"/>
  <c r="S620" i="17"/>
  <c r="T620" i="17"/>
  <c r="U620" i="17"/>
  <c r="V620" i="17"/>
  <c r="W620" i="17"/>
  <c r="X620" i="17"/>
  <c r="Y620" i="17"/>
  <c r="Z620" i="17"/>
  <c r="AA620" i="17"/>
  <c r="AB620" i="17"/>
  <c r="AC620" i="17"/>
  <c r="AD620" i="17"/>
  <c r="C621" i="17"/>
  <c r="D621" i="17"/>
  <c r="E621" i="17"/>
  <c r="F621" i="17"/>
  <c r="G621" i="17"/>
  <c r="H621" i="17"/>
  <c r="I621" i="17"/>
  <c r="J621" i="17"/>
  <c r="K621" i="17"/>
  <c r="L621" i="17"/>
  <c r="M621" i="17"/>
  <c r="N621" i="17"/>
  <c r="O621" i="17"/>
  <c r="P621" i="17"/>
  <c r="Q621" i="17"/>
  <c r="R621" i="17"/>
  <c r="S621" i="17"/>
  <c r="T621" i="17"/>
  <c r="U621" i="17"/>
  <c r="V621" i="17"/>
  <c r="W621" i="17"/>
  <c r="X621" i="17"/>
  <c r="Y621" i="17"/>
  <c r="Z621" i="17"/>
  <c r="AA621" i="17"/>
  <c r="AB621" i="17"/>
  <c r="AC621" i="17"/>
  <c r="AD621" i="17"/>
  <c r="C622" i="17"/>
  <c r="D622" i="17"/>
  <c r="E622" i="17"/>
  <c r="F622" i="17"/>
  <c r="G622" i="17"/>
  <c r="H622" i="17"/>
  <c r="I622" i="17"/>
  <c r="J622" i="17"/>
  <c r="K622" i="17"/>
  <c r="L622" i="17"/>
  <c r="M622" i="17"/>
  <c r="N622" i="17"/>
  <c r="O622" i="17"/>
  <c r="P622" i="17"/>
  <c r="Q622" i="17"/>
  <c r="R622" i="17"/>
  <c r="S622" i="17"/>
  <c r="T622" i="17"/>
  <c r="U622" i="17"/>
  <c r="V622" i="17"/>
  <c r="W622" i="17"/>
  <c r="X622" i="17"/>
  <c r="Y622" i="17"/>
  <c r="Z622" i="17"/>
  <c r="AA622" i="17"/>
  <c r="AB622" i="17"/>
  <c r="AC622" i="17"/>
  <c r="AD622" i="17"/>
  <c r="C623" i="17"/>
  <c r="D623" i="17"/>
  <c r="E623" i="17"/>
  <c r="F623" i="17"/>
  <c r="G623" i="17"/>
  <c r="H623" i="17"/>
  <c r="I623" i="17"/>
  <c r="J623" i="17"/>
  <c r="K623" i="17"/>
  <c r="L623" i="17"/>
  <c r="M623" i="17"/>
  <c r="N623" i="17"/>
  <c r="O623" i="17"/>
  <c r="P623" i="17"/>
  <c r="Q623" i="17"/>
  <c r="R623" i="17"/>
  <c r="S623" i="17"/>
  <c r="T623" i="17"/>
  <c r="U623" i="17"/>
  <c r="V623" i="17"/>
  <c r="W623" i="17"/>
  <c r="X623" i="17"/>
  <c r="Y623" i="17"/>
  <c r="Z623" i="17"/>
  <c r="AA623" i="17"/>
  <c r="AB623" i="17"/>
  <c r="AC623" i="17"/>
  <c r="AD623" i="17"/>
  <c r="C624" i="17"/>
  <c r="D624" i="17"/>
  <c r="E624" i="17"/>
  <c r="F624" i="17"/>
  <c r="G624" i="17"/>
  <c r="H624" i="17"/>
  <c r="I624" i="17"/>
  <c r="J624" i="17"/>
  <c r="K624" i="17"/>
  <c r="L624" i="17"/>
  <c r="M624" i="17"/>
  <c r="N624" i="17"/>
  <c r="O624" i="17"/>
  <c r="P624" i="17"/>
  <c r="Q624" i="17"/>
  <c r="R624" i="17"/>
  <c r="S624" i="17"/>
  <c r="T624" i="17"/>
  <c r="U624" i="17"/>
  <c r="V624" i="17"/>
  <c r="W624" i="17"/>
  <c r="X624" i="17"/>
  <c r="Y624" i="17"/>
  <c r="Z624" i="17"/>
  <c r="AA624" i="17"/>
  <c r="AB624" i="17"/>
  <c r="AC624" i="17"/>
  <c r="AD624" i="17"/>
  <c r="C625" i="17"/>
  <c r="D625" i="17"/>
  <c r="E625" i="17"/>
  <c r="F625" i="17"/>
  <c r="G625" i="17"/>
  <c r="H625" i="17"/>
  <c r="I625" i="17"/>
  <c r="J625" i="17"/>
  <c r="K625" i="17"/>
  <c r="L625" i="17"/>
  <c r="M625" i="17"/>
  <c r="N625" i="17"/>
  <c r="O625" i="17"/>
  <c r="P625" i="17"/>
  <c r="Q625" i="17"/>
  <c r="R625" i="17"/>
  <c r="S625" i="17"/>
  <c r="T625" i="17"/>
  <c r="U625" i="17"/>
  <c r="V625" i="17"/>
  <c r="W625" i="17"/>
  <c r="X625" i="17"/>
  <c r="Y625" i="17"/>
  <c r="Z625" i="17"/>
  <c r="AA625" i="17"/>
  <c r="AB625" i="17"/>
  <c r="AC625" i="17"/>
  <c r="AD625" i="17"/>
  <c r="C626" i="17"/>
  <c r="D626" i="17"/>
  <c r="E626" i="17"/>
  <c r="F626" i="17"/>
  <c r="G626" i="17"/>
  <c r="H626" i="17"/>
  <c r="I626" i="17"/>
  <c r="J626" i="17"/>
  <c r="K626" i="17"/>
  <c r="L626" i="17"/>
  <c r="M626" i="17"/>
  <c r="N626" i="17"/>
  <c r="O626" i="17"/>
  <c r="P626" i="17"/>
  <c r="Q626" i="17"/>
  <c r="R626" i="17"/>
  <c r="S626" i="17"/>
  <c r="T626" i="17"/>
  <c r="U626" i="17"/>
  <c r="V626" i="17"/>
  <c r="W626" i="17"/>
  <c r="X626" i="17"/>
  <c r="Y626" i="17"/>
  <c r="Z626" i="17"/>
  <c r="AA626" i="17"/>
  <c r="AB626" i="17"/>
  <c r="AC626" i="17"/>
  <c r="AD626" i="17"/>
  <c r="C627" i="17"/>
  <c r="D627" i="17"/>
  <c r="E627" i="17"/>
  <c r="F627" i="17"/>
  <c r="G627" i="17"/>
  <c r="H627" i="17"/>
  <c r="I627" i="17"/>
  <c r="J627" i="17"/>
  <c r="K627" i="17"/>
  <c r="L627" i="17"/>
  <c r="M627" i="17"/>
  <c r="N627" i="17"/>
  <c r="O627" i="17"/>
  <c r="P627" i="17"/>
  <c r="Q627" i="17"/>
  <c r="R627" i="17"/>
  <c r="S627" i="17"/>
  <c r="T627" i="17"/>
  <c r="U627" i="17"/>
  <c r="V627" i="17"/>
  <c r="W627" i="17"/>
  <c r="X627" i="17"/>
  <c r="Y627" i="17"/>
  <c r="Z627" i="17"/>
  <c r="AA627" i="17"/>
  <c r="AB627" i="17"/>
  <c r="AC627" i="17"/>
  <c r="AD627" i="17"/>
  <c r="C628" i="17"/>
  <c r="D628" i="17"/>
  <c r="E628" i="17"/>
  <c r="F628" i="17"/>
  <c r="G628" i="17"/>
  <c r="H628" i="17"/>
  <c r="I628" i="17"/>
  <c r="J628" i="17"/>
  <c r="K628" i="17"/>
  <c r="L628" i="17"/>
  <c r="M628" i="17"/>
  <c r="N628" i="17"/>
  <c r="O628" i="17"/>
  <c r="P628" i="17"/>
  <c r="Q628" i="17"/>
  <c r="R628" i="17"/>
  <c r="S628" i="17"/>
  <c r="T628" i="17"/>
  <c r="U628" i="17"/>
  <c r="V628" i="17"/>
  <c r="W628" i="17"/>
  <c r="X628" i="17"/>
  <c r="Y628" i="17"/>
  <c r="Z628" i="17"/>
  <c r="AA628" i="17"/>
  <c r="AB628" i="17"/>
  <c r="AC628" i="17"/>
  <c r="AD628" i="17"/>
  <c r="C629" i="17"/>
  <c r="D629" i="17"/>
  <c r="E629" i="17"/>
  <c r="F629" i="17"/>
  <c r="G629" i="17"/>
  <c r="H629" i="17"/>
  <c r="I629" i="17"/>
  <c r="J629" i="17"/>
  <c r="K629" i="17"/>
  <c r="L629" i="17"/>
  <c r="M629" i="17"/>
  <c r="N629" i="17"/>
  <c r="O629" i="17"/>
  <c r="P629" i="17"/>
  <c r="Q629" i="17"/>
  <c r="R629" i="17"/>
  <c r="S629" i="17"/>
  <c r="T629" i="17"/>
  <c r="U629" i="17"/>
  <c r="V629" i="17"/>
  <c r="W629" i="17"/>
  <c r="X629" i="17"/>
  <c r="Y629" i="17"/>
  <c r="Z629" i="17"/>
  <c r="AA629" i="17"/>
  <c r="AB629" i="17"/>
  <c r="AC629" i="17"/>
  <c r="AD629" i="17"/>
  <c r="C630" i="17"/>
  <c r="D630" i="17"/>
  <c r="E630" i="17"/>
  <c r="F630" i="17"/>
  <c r="G630" i="17"/>
  <c r="H630" i="17"/>
  <c r="I630" i="17"/>
  <c r="J630" i="17"/>
  <c r="K630" i="17"/>
  <c r="L630" i="17"/>
  <c r="M630" i="17"/>
  <c r="N630" i="17"/>
  <c r="O630" i="17"/>
  <c r="P630" i="17"/>
  <c r="Q630" i="17"/>
  <c r="R630" i="17"/>
  <c r="S630" i="17"/>
  <c r="T630" i="17"/>
  <c r="U630" i="17"/>
  <c r="V630" i="17"/>
  <c r="W630" i="17"/>
  <c r="X630" i="17"/>
  <c r="Y630" i="17"/>
  <c r="Z630" i="17"/>
  <c r="AA630" i="17"/>
  <c r="AB630" i="17"/>
  <c r="AC630" i="17"/>
  <c r="AD630" i="17"/>
  <c r="C631" i="17"/>
  <c r="D631" i="17"/>
  <c r="E631" i="17"/>
  <c r="F631" i="17"/>
  <c r="G631" i="17"/>
  <c r="H631" i="17"/>
  <c r="I631" i="17"/>
  <c r="J631" i="17"/>
  <c r="K631" i="17"/>
  <c r="L631" i="17"/>
  <c r="M631" i="17"/>
  <c r="N631" i="17"/>
  <c r="O631" i="17"/>
  <c r="P631" i="17"/>
  <c r="Q631" i="17"/>
  <c r="R631" i="17"/>
  <c r="S631" i="17"/>
  <c r="T631" i="17"/>
  <c r="U631" i="17"/>
  <c r="V631" i="17"/>
  <c r="W631" i="17"/>
  <c r="X631" i="17"/>
  <c r="Y631" i="17"/>
  <c r="Z631" i="17"/>
  <c r="AA631" i="17"/>
  <c r="AB631" i="17"/>
  <c r="AC631" i="17"/>
  <c r="AD631" i="17"/>
  <c r="C632" i="17"/>
  <c r="D632" i="17"/>
  <c r="E632" i="17"/>
  <c r="F632" i="17"/>
  <c r="G632" i="17"/>
  <c r="H632" i="17"/>
  <c r="I632" i="17"/>
  <c r="J632" i="17"/>
  <c r="K632" i="17"/>
  <c r="L632" i="17"/>
  <c r="M632" i="17"/>
  <c r="N632" i="17"/>
  <c r="O632" i="17"/>
  <c r="P632" i="17"/>
  <c r="Q632" i="17"/>
  <c r="R632" i="17"/>
  <c r="S632" i="17"/>
  <c r="T632" i="17"/>
  <c r="U632" i="17"/>
  <c r="V632" i="17"/>
  <c r="W632" i="17"/>
  <c r="X632" i="17"/>
  <c r="Y632" i="17"/>
  <c r="Z632" i="17"/>
  <c r="AA632" i="17"/>
  <c r="AB632" i="17"/>
  <c r="AC632" i="17"/>
  <c r="AD632" i="17"/>
  <c r="C633" i="17"/>
  <c r="D633" i="17"/>
  <c r="E633" i="17"/>
  <c r="F633" i="17"/>
  <c r="G633" i="17"/>
  <c r="H633" i="17"/>
  <c r="I633" i="17"/>
  <c r="J633" i="17"/>
  <c r="K633" i="17"/>
  <c r="L633" i="17"/>
  <c r="M633" i="17"/>
  <c r="N633" i="17"/>
  <c r="O633" i="17"/>
  <c r="P633" i="17"/>
  <c r="Q633" i="17"/>
  <c r="R633" i="17"/>
  <c r="S633" i="17"/>
  <c r="T633" i="17"/>
  <c r="U633" i="17"/>
  <c r="V633" i="17"/>
  <c r="W633" i="17"/>
  <c r="X633" i="17"/>
  <c r="Y633" i="17"/>
  <c r="Z633" i="17"/>
  <c r="AA633" i="17"/>
  <c r="AB633" i="17"/>
  <c r="AC633" i="17"/>
  <c r="AD633" i="17"/>
  <c r="C634" i="17"/>
  <c r="D634" i="17"/>
  <c r="E634" i="17"/>
  <c r="F634" i="17"/>
  <c r="G634" i="17"/>
  <c r="H634" i="17"/>
  <c r="I634" i="17"/>
  <c r="J634" i="17"/>
  <c r="K634" i="17"/>
  <c r="L634" i="17"/>
  <c r="M634" i="17"/>
  <c r="N634" i="17"/>
  <c r="O634" i="17"/>
  <c r="P634" i="17"/>
  <c r="Q634" i="17"/>
  <c r="R634" i="17"/>
  <c r="S634" i="17"/>
  <c r="T634" i="17"/>
  <c r="U634" i="17"/>
  <c r="V634" i="17"/>
  <c r="W634" i="17"/>
  <c r="X634" i="17"/>
  <c r="Y634" i="17"/>
  <c r="Z634" i="17"/>
  <c r="AA634" i="17"/>
  <c r="AB634" i="17"/>
  <c r="AC634" i="17"/>
  <c r="AD634" i="17"/>
  <c r="C635" i="17"/>
  <c r="D635" i="17"/>
  <c r="E635" i="17"/>
  <c r="F635" i="17"/>
  <c r="G635" i="17"/>
  <c r="H635" i="17"/>
  <c r="I635" i="17"/>
  <c r="J635" i="17"/>
  <c r="K635" i="17"/>
  <c r="L635" i="17"/>
  <c r="M635" i="17"/>
  <c r="N635" i="17"/>
  <c r="O635" i="17"/>
  <c r="P635" i="17"/>
  <c r="Q635" i="17"/>
  <c r="R635" i="17"/>
  <c r="S635" i="17"/>
  <c r="T635" i="17"/>
  <c r="U635" i="17"/>
  <c r="V635" i="17"/>
  <c r="W635" i="17"/>
  <c r="X635" i="17"/>
  <c r="Y635" i="17"/>
  <c r="Z635" i="17"/>
  <c r="AA635" i="17"/>
  <c r="AB635" i="17"/>
  <c r="AC635" i="17"/>
  <c r="AD635" i="17"/>
  <c r="C636" i="17"/>
  <c r="D636" i="17"/>
  <c r="E636" i="17"/>
  <c r="F636" i="17"/>
  <c r="G636" i="17"/>
  <c r="H636" i="17"/>
  <c r="I636" i="17"/>
  <c r="J636" i="17"/>
  <c r="K636" i="17"/>
  <c r="L636" i="17"/>
  <c r="M636" i="17"/>
  <c r="N636" i="17"/>
  <c r="O636" i="17"/>
  <c r="P636" i="17"/>
  <c r="Q636" i="17"/>
  <c r="R636" i="17"/>
  <c r="S636" i="17"/>
  <c r="T636" i="17"/>
  <c r="U636" i="17"/>
  <c r="V636" i="17"/>
  <c r="W636" i="17"/>
  <c r="X636" i="17"/>
  <c r="Y636" i="17"/>
  <c r="Z636" i="17"/>
  <c r="AA636" i="17"/>
  <c r="AB636" i="17"/>
  <c r="AC636" i="17"/>
  <c r="AD636" i="17"/>
  <c r="C637" i="17"/>
  <c r="D637" i="17"/>
  <c r="E637" i="17"/>
  <c r="F637" i="17"/>
  <c r="G637" i="17"/>
  <c r="H637" i="17"/>
  <c r="I637" i="17"/>
  <c r="J637" i="17"/>
  <c r="K637" i="17"/>
  <c r="L637" i="17"/>
  <c r="M637" i="17"/>
  <c r="N637" i="17"/>
  <c r="O637" i="17"/>
  <c r="P637" i="17"/>
  <c r="Q637" i="17"/>
  <c r="R637" i="17"/>
  <c r="S637" i="17"/>
  <c r="T637" i="17"/>
  <c r="U637" i="17"/>
  <c r="V637" i="17"/>
  <c r="W637" i="17"/>
  <c r="X637" i="17"/>
  <c r="Y637" i="17"/>
  <c r="Z637" i="17"/>
  <c r="AA637" i="17"/>
  <c r="AB637" i="17"/>
  <c r="AC637" i="17"/>
  <c r="AD637" i="17"/>
  <c r="C638" i="17"/>
  <c r="D638" i="17"/>
  <c r="E638" i="17"/>
  <c r="F638" i="17"/>
  <c r="G638" i="17"/>
  <c r="H638" i="17"/>
  <c r="I638" i="17"/>
  <c r="J638" i="17"/>
  <c r="K638" i="17"/>
  <c r="L638" i="17"/>
  <c r="M638" i="17"/>
  <c r="N638" i="17"/>
  <c r="O638" i="17"/>
  <c r="P638" i="17"/>
  <c r="Q638" i="17"/>
  <c r="R638" i="17"/>
  <c r="S638" i="17"/>
  <c r="T638" i="17"/>
  <c r="U638" i="17"/>
  <c r="V638" i="17"/>
  <c r="W638" i="17"/>
  <c r="X638" i="17"/>
  <c r="Y638" i="17"/>
  <c r="Z638" i="17"/>
  <c r="AA638" i="17"/>
  <c r="AB638" i="17"/>
  <c r="AC638" i="17"/>
  <c r="AD638" i="17"/>
  <c r="C639" i="17"/>
  <c r="D639" i="17"/>
  <c r="E639" i="17"/>
  <c r="F639" i="17"/>
  <c r="G639" i="17"/>
  <c r="H639" i="17"/>
  <c r="I639" i="17"/>
  <c r="J639" i="17"/>
  <c r="K639" i="17"/>
  <c r="L639" i="17"/>
  <c r="M639" i="17"/>
  <c r="N639" i="17"/>
  <c r="O639" i="17"/>
  <c r="P639" i="17"/>
  <c r="Q639" i="17"/>
  <c r="R639" i="17"/>
  <c r="S639" i="17"/>
  <c r="T639" i="17"/>
  <c r="U639" i="17"/>
  <c r="V639" i="17"/>
  <c r="W639" i="17"/>
  <c r="X639" i="17"/>
  <c r="Y639" i="17"/>
  <c r="Z639" i="17"/>
  <c r="AA639" i="17"/>
  <c r="AB639" i="17"/>
  <c r="AC639" i="17"/>
  <c r="AD639" i="17"/>
  <c r="C640" i="17"/>
  <c r="D640" i="17"/>
  <c r="E640" i="17"/>
  <c r="F640" i="17"/>
  <c r="G640" i="17"/>
  <c r="H640" i="17"/>
  <c r="I640" i="17"/>
  <c r="J640" i="17"/>
  <c r="K640" i="17"/>
  <c r="L640" i="17"/>
  <c r="M640" i="17"/>
  <c r="N640" i="17"/>
  <c r="O640" i="17"/>
  <c r="P640" i="17"/>
  <c r="Q640" i="17"/>
  <c r="R640" i="17"/>
  <c r="S640" i="17"/>
  <c r="T640" i="17"/>
  <c r="U640" i="17"/>
  <c r="V640" i="17"/>
  <c r="W640" i="17"/>
  <c r="X640" i="17"/>
  <c r="Y640" i="17"/>
  <c r="Z640" i="17"/>
  <c r="AA640" i="17"/>
  <c r="AB640" i="17"/>
  <c r="AC640" i="17"/>
  <c r="AD640" i="17"/>
  <c r="C641" i="17"/>
  <c r="D641" i="17"/>
  <c r="E641" i="17"/>
  <c r="F641" i="17"/>
  <c r="G641" i="17"/>
  <c r="H641" i="17"/>
  <c r="I641" i="17"/>
  <c r="J641" i="17"/>
  <c r="K641" i="17"/>
  <c r="L641" i="17"/>
  <c r="M641" i="17"/>
  <c r="N641" i="17"/>
  <c r="O641" i="17"/>
  <c r="P641" i="17"/>
  <c r="Q641" i="17"/>
  <c r="R641" i="17"/>
  <c r="S641" i="17"/>
  <c r="T641" i="17"/>
  <c r="U641" i="17"/>
  <c r="V641" i="17"/>
  <c r="W641" i="17"/>
  <c r="X641" i="17"/>
  <c r="Y641" i="17"/>
  <c r="Z641" i="17"/>
  <c r="AA641" i="17"/>
  <c r="AB641" i="17"/>
  <c r="AC641" i="17"/>
  <c r="AD641" i="17"/>
  <c r="C642" i="17"/>
  <c r="D642" i="17"/>
  <c r="E642" i="17"/>
  <c r="F642" i="17"/>
  <c r="G642" i="17"/>
  <c r="H642" i="17"/>
  <c r="I642" i="17"/>
  <c r="J642" i="17"/>
  <c r="K642" i="17"/>
  <c r="L642" i="17"/>
  <c r="M642" i="17"/>
  <c r="N642" i="17"/>
  <c r="O642" i="17"/>
  <c r="P642" i="17"/>
  <c r="Q642" i="17"/>
  <c r="R642" i="17"/>
  <c r="S642" i="17"/>
  <c r="T642" i="17"/>
  <c r="U642" i="17"/>
  <c r="V642" i="17"/>
  <c r="W642" i="17"/>
  <c r="X642" i="17"/>
  <c r="Y642" i="17"/>
  <c r="Z642" i="17"/>
  <c r="AA642" i="17"/>
  <c r="AB642" i="17"/>
  <c r="AC642" i="17"/>
  <c r="AD642" i="17"/>
  <c r="C643" i="17"/>
  <c r="D643" i="17"/>
  <c r="E643" i="17"/>
  <c r="F643" i="17"/>
  <c r="G643" i="17"/>
  <c r="H643" i="17"/>
  <c r="I643" i="17"/>
  <c r="J643" i="17"/>
  <c r="K643" i="17"/>
  <c r="L643" i="17"/>
  <c r="M643" i="17"/>
  <c r="N643" i="17"/>
  <c r="O643" i="17"/>
  <c r="P643" i="17"/>
  <c r="Q643" i="17"/>
  <c r="R643" i="17"/>
  <c r="S643" i="17"/>
  <c r="T643" i="17"/>
  <c r="U643" i="17"/>
  <c r="V643" i="17"/>
  <c r="W643" i="17"/>
  <c r="X643" i="17"/>
  <c r="Y643" i="17"/>
  <c r="Z643" i="17"/>
  <c r="AA643" i="17"/>
  <c r="AB643" i="17"/>
  <c r="AC643" i="17"/>
  <c r="AD643" i="17"/>
  <c r="C644" i="17"/>
  <c r="D644" i="17"/>
  <c r="E644" i="17"/>
  <c r="F644" i="17"/>
  <c r="G644" i="17"/>
  <c r="H644" i="17"/>
  <c r="I644" i="17"/>
  <c r="J644" i="17"/>
  <c r="K644" i="17"/>
  <c r="L644" i="17"/>
  <c r="M644" i="17"/>
  <c r="N644" i="17"/>
  <c r="O644" i="17"/>
  <c r="P644" i="17"/>
  <c r="Q644" i="17"/>
  <c r="R644" i="17"/>
  <c r="S644" i="17"/>
  <c r="T644" i="17"/>
  <c r="U644" i="17"/>
  <c r="V644" i="17"/>
  <c r="W644" i="17"/>
  <c r="X644" i="17"/>
  <c r="Y644" i="17"/>
  <c r="Z644" i="17"/>
  <c r="AA644" i="17"/>
  <c r="AB644" i="17"/>
  <c r="AC644" i="17"/>
  <c r="AD644" i="17"/>
  <c r="C645" i="17"/>
  <c r="D645" i="17"/>
  <c r="E645" i="17"/>
  <c r="F645" i="17"/>
  <c r="G645" i="17"/>
  <c r="H645" i="17"/>
  <c r="I645" i="17"/>
  <c r="J645" i="17"/>
  <c r="K645" i="17"/>
  <c r="L645" i="17"/>
  <c r="M645" i="17"/>
  <c r="N645" i="17"/>
  <c r="O645" i="17"/>
  <c r="P645" i="17"/>
  <c r="Q645" i="17"/>
  <c r="R645" i="17"/>
  <c r="S645" i="17"/>
  <c r="T645" i="17"/>
  <c r="U645" i="17"/>
  <c r="V645" i="17"/>
  <c r="W645" i="17"/>
  <c r="X645" i="17"/>
  <c r="Y645" i="17"/>
  <c r="Z645" i="17"/>
  <c r="AA645" i="17"/>
  <c r="AB645" i="17"/>
  <c r="AC645" i="17"/>
  <c r="AD645" i="17"/>
  <c r="C646" i="17"/>
  <c r="D646" i="17"/>
  <c r="E646" i="17"/>
  <c r="F646" i="17"/>
  <c r="G646" i="17"/>
  <c r="H646" i="17"/>
  <c r="I646" i="17"/>
  <c r="J646" i="17"/>
  <c r="K646" i="17"/>
  <c r="L646" i="17"/>
  <c r="M646" i="17"/>
  <c r="N646" i="17"/>
  <c r="O646" i="17"/>
  <c r="P646" i="17"/>
  <c r="Q646" i="17"/>
  <c r="R646" i="17"/>
  <c r="S646" i="17"/>
  <c r="T646" i="17"/>
  <c r="U646" i="17"/>
  <c r="V646" i="17"/>
  <c r="W646" i="17"/>
  <c r="X646" i="17"/>
  <c r="Y646" i="17"/>
  <c r="Z646" i="17"/>
  <c r="AA646" i="17"/>
  <c r="AB646" i="17"/>
  <c r="AC646" i="17"/>
  <c r="AD646" i="17"/>
  <c r="C647" i="17"/>
  <c r="D647" i="17"/>
  <c r="E647" i="17"/>
  <c r="F647" i="17"/>
  <c r="G647" i="17"/>
  <c r="H647" i="17"/>
  <c r="I647" i="17"/>
  <c r="J647" i="17"/>
  <c r="K647" i="17"/>
  <c r="L647" i="17"/>
  <c r="M647" i="17"/>
  <c r="N647" i="17"/>
  <c r="O647" i="17"/>
  <c r="P647" i="17"/>
  <c r="Q647" i="17"/>
  <c r="R647" i="17"/>
  <c r="S647" i="17"/>
  <c r="T647" i="17"/>
  <c r="U647" i="17"/>
  <c r="V647" i="17"/>
  <c r="W647" i="17"/>
  <c r="X647" i="17"/>
  <c r="Y647" i="17"/>
  <c r="Z647" i="17"/>
  <c r="AA647" i="17"/>
  <c r="AB647" i="17"/>
  <c r="AC647" i="17"/>
  <c r="AD647" i="17"/>
  <c r="C648" i="17"/>
  <c r="D648" i="17"/>
  <c r="E648" i="17"/>
  <c r="F648" i="17"/>
  <c r="G648" i="17"/>
  <c r="H648" i="17"/>
  <c r="I648" i="17"/>
  <c r="J648" i="17"/>
  <c r="K648" i="17"/>
  <c r="L648" i="17"/>
  <c r="M648" i="17"/>
  <c r="N648" i="17"/>
  <c r="O648" i="17"/>
  <c r="P648" i="17"/>
  <c r="Q648" i="17"/>
  <c r="R648" i="17"/>
  <c r="S648" i="17"/>
  <c r="T648" i="17"/>
  <c r="U648" i="17"/>
  <c r="V648" i="17"/>
  <c r="W648" i="17"/>
  <c r="X648" i="17"/>
  <c r="Y648" i="17"/>
  <c r="Z648" i="17"/>
  <c r="AA648" i="17"/>
  <c r="AB648" i="17"/>
  <c r="AC648" i="17"/>
  <c r="AD648" i="17"/>
  <c r="C649" i="17"/>
  <c r="D649" i="17"/>
  <c r="E649" i="17"/>
  <c r="F649" i="17"/>
  <c r="G649" i="17"/>
  <c r="H649" i="17"/>
  <c r="I649" i="17"/>
  <c r="J649" i="17"/>
  <c r="K649" i="17"/>
  <c r="L649" i="17"/>
  <c r="M649" i="17"/>
  <c r="N649" i="17"/>
  <c r="O649" i="17"/>
  <c r="P649" i="17"/>
  <c r="Q649" i="17"/>
  <c r="R649" i="17"/>
  <c r="S649" i="17"/>
  <c r="T649" i="17"/>
  <c r="U649" i="17"/>
  <c r="V649" i="17"/>
  <c r="W649" i="17"/>
  <c r="X649" i="17"/>
  <c r="Y649" i="17"/>
  <c r="Z649" i="17"/>
  <c r="AA649" i="17"/>
  <c r="AB649" i="17"/>
  <c r="AC649" i="17"/>
  <c r="AD649" i="17"/>
  <c r="C650" i="17"/>
  <c r="D650" i="17"/>
  <c r="E650" i="17"/>
  <c r="F650" i="17"/>
  <c r="G650" i="17"/>
  <c r="H650" i="17"/>
  <c r="I650" i="17"/>
  <c r="J650" i="17"/>
  <c r="K650" i="17"/>
  <c r="L650" i="17"/>
  <c r="M650" i="17"/>
  <c r="N650" i="17"/>
  <c r="O650" i="17"/>
  <c r="P650" i="17"/>
  <c r="Q650" i="17"/>
  <c r="R650" i="17"/>
  <c r="S650" i="17"/>
  <c r="T650" i="17"/>
  <c r="U650" i="17"/>
  <c r="V650" i="17"/>
  <c r="W650" i="17"/>
  <c r="X650" i="17"/>
  <c r="Y650" i="17"/>
  <c r="Z650" i="17"/>
  <c r="AA650" i="17"/>
  <c r="AB650" i="17"/>
  <c r="AC650" i="17"/>
  <c r="AD650" i="17"/>
  <c r="C651" i="17"/>
  <c r="D651" i="17"/>
  <c r="E651" i="17"/>
  <c r="F651" i="17"/>
  <c r="G651" i="17"/>
  <c r="H651" i="17"/>
  <c r="I651" i="17"/>
  <c r="J651" i="17"/>
  <c r="K651" i="17"/>
  <c r="L651" i="17"/>
  <c r="M651" i="17"/>
  <c r="N651" i="17"/>
  <c r="O651" i="17"/>
  <c r="P651" i="17"/>
  <c r="Q651" i="17"/>
  <c r="R651" i="17"/>
  <c r="S651" i="17"/>
  <c r="T651" i="17"/>
  <c r="U651" i="17"/>
  <c r="V651" i="17"/>
  <c r="W651" i="17"/>
  <c r="X651" i="17"/>
  <c r="Y651" i="17"/>
  <c r="Z651" i="17"/>
  <c r="AA651" i="17"/>
  <c r="AB651" i="17"/>
  <c r="AC651" i="17"/>
  <c r="AD651" i="17"/>
  <c r="C652" i="17"/>
  <c r="D652" i="17"/>
  <c r="E652" i="17"/>
  <c r="F652" i="17"/>
  <c r="G652" i="17"/>
  <c r="H652" i="17"/>
  <c r="I652" i="17"/>
  <c r="J652" i="17"/>
  <c r="K652" i="17"/>
  <c r="L652" i="17"/>
  <c r="M652" i="17"/>
  <c r="N652" i="17"/>
  <c r="O652" i="17"/>
  <c r="P652" i="17"/>
  <c r="Q652" i="17"/>
  <c r="R652" i="17"/>
  <c r="S652" i="17"/>
  <c r="T652" i="17"/>
  <c r="U652" i="17"/>
  <c r="V652" i="17"/>
  <c r="W652" i="17"/>
  <c r="X652" i="17"/>
  <c r="Y652" i="17"/>
  <c r="Z652" i="17"/>
  <c r="AA652" i="17"/>
  <c r="AB652" i="17"/>
  <c r="AC652" i="17"/>
  <c r="AD652" i="17"/>
  <c r="C653" i="17"/>
  <c r="D653" i="17"/>
  <c r="E653" i="17"/>
  <c r="F653" i="17"/>
  <c r="G653" i="17"/>
  <c r="H653" i="17"/>
  <c r="I653" i="17"/>
  <c r="J653" i="17"/>
  <c r="K653" i="17"/>
  <c r="L653" i="17"/>
  <c r="M653" i="17"/>
  <c r="N653" i="17"/>
  <c r="O653" i="17"/>
  <c r="P653" i="17"/>
  <c r="Q653" i="17"/>
  <c r="R653" i="17"/>
  <c r="S653" i="17"/>
  <c r="T653" i="17"/>
  <c r="U653" i="17"/>
  <c r="V653" i="17"/>
  <c r="W653" i="17"/>
  <c r="X653" i="17"/>
  <c r="Y653" i="17"/>
  <c r="Z653" i="17"/>
  <c r="AA653" i="17"/>
  <c r="AB653" i="17"/>
  <c r="AC653" i="17"/>
  <c r="AD653" i="17"/>
  <c r="C654" i="17"/>
  <c r="D654" i="17"/>
  <c r="E654" i="17"/>
  <c r="F654" i="17"/>
  <c r="G654" i="17"/>
  <c r="H654" i="17"/>
  <c r="I654" i="17"/>
  <c r="J654" i="17"/>
  <c r="K654" i="17"/>
  <c r="L654" i="17"/>
  <c r="M654" i="17"/>
  <c r="N654" i="17"/>
  <c r="O654" i="17"/>
  <c r="P654" i="17"/>
  <c r="Q654" i="17"/>
  <c r="R654" i="17"/>
  <c r="S654" i="17"/>
  <c r="T654" i="17"/>
  <c r="U654" i="17"/>
  <c r="V654" i="17"/>
  <c r="W654" i="17"/>
  <c r="X654" i="17"/>
  <c r="Y654" i="17"/>
  <c r="Z654" i="17"/>
  <c r="AA654" i="17"/>
  <c r="AB654" i="17"/>
  <c r="AC654" i="17"/>
  <c r="AD654" i="17"/>
  <c r="C655" i="17"/>
  <c r="D655" i="17"/>
  <c r="E655" i="17"/>
  <c r="F655" i="17"/>
  <c r="G655" i="17"/>
  <c r="H655" i="17"/>
  <c r="I655" i="17"/>
  <c r="J655" i="17"/>
  <c r="K655" i="17"/>
  <c r="L655" i="17"/>
  <c r="M655" i="17"/>
  <c r="N655" i="17"/>
  <c r="O655" i="17"/>
  <c r="P655" i="17"/>
  <c r="Q655" i="17"/>
  <c r="R655" i="17"/>
  <c r="S655" i="17"/>
  <c r="T655" i="17"/>
  <c r="U655" i="17"/>
  <c r="V655" i="17"/>
  <c r="W655" i="17"/>
  <c r="X655" i="17"/>
  <c r="Y655" i="17"/>
  <c r="Z655" i="17"/>
  <c r="AA655" i="17"/>
  <c r="AB655" i="17"/>
  <c r="AC655" i="17"/>
  <c r="AD655" i="17"/>
  <c r="C656" i="17"/>
  <c r="D656" i="17"/>
  <c r="E656" i="17"/>
  <c r="F656" i="17"/>
  <c r="G656" i="17"/>
  <c r="H656" i="17"/>
  <c r="I656" i="17"/>
  <c r="J656" i="17"/>
  <c r="K656" i="17"/>
  <c r="L656" i="17"/>
  <c r="M656" i="17"/>
  <c r="N656" i="17"/>
  <c r="O656" i="17"/>
  <c r="P656" i="17"/>
  <c r="Q656" i="17"/>
  <c r="R656" i="17"/>
  <c r="S656" i="17"/>
  <c r="T656" i="17"/>
  <c r="U656" i="17"/>
  <c r="V656" i="17"/>
  <c r="W656" i="17"/>
  <c r="X656" i="17"/>
  <c r="Y656" i="17"/>
  <c r="Z656" i="17"/>
  <c r="AA656" i="17"/>
  <c r="AB656" i="17"/>
  <c r="AC656" i="17"/>
  <c r="AD656" i="17"/>
  <c r="C657" i="17"/>
  <c r="D657" i="17"/>
  <c r="E657" i="17"/>
  <c r="F657" i="17"/>
  <c r="G657" i="17"/>
  <c r="H657" i="17"/>
  <c r="I657" i="17"/>
  <c r="J657" i="17"/>
  <c r="K657" i="17"/>
  <c r="L657" i="17"/>
  <c r="M657" i="17"/>
  <c r="N657" i="17"/>
  <c r="O657" i="17"/>
  <c r="P657" i="17"/>
  <c r="Q657" i="17"/>
  <c r="R657" i="17"/>
  <c r="S657" i="17"/>
  <c r="T657" i="17"/>
  <c r="U657" i="17"/>
  <c r="V657" i="17"/>
  <c r="W657" i="17"/>
  <c r="X657" i="17"/>
  <c r="Y657" i="17"/>
  <c r="Z657" i="17"/>
  <c r="AA657" i="17"/>
  <c r="AB657" i="17"/>
  <c r="AC657" i="17"/>
  <c r="AD657" i="17"/>
  <c r="C658" i="17"/>
  <c r="D658" i="17"/>
  <c r="E658" i="17"/>
  <c r="F658" i="17"/>
  <c r="G658" i="17"/>
  <c r="H658" i="17"/>
  <c r="I658" i="17"/>
  <c r="J658" i="17"/>
  <c r="K658" i="17"/>
  <c r="L658" i="17"/>
  <c r="M658" i="17"/>
  <c r="N658" i="17"/>
  <c r="O658" i="17"/>
  <c r="P658" i="17"/>
  <c r="Q658" i="17"/>
  <c r="R658" i="17"/>
  <c r="S658" i="17"/>
  <c r="T658" i="17"/>
  <c r="U658" i="17"/>
  <c r="V658" i="17"/>
  <c r="W658" i="17"/>
  <c r="X658" i="17"/>
  <c r="Y658" i="17"/>
  <c r="Z658" i="17"/>
  <c r="AA658" i="17"/>
  <c r="AB658" i="17"/>
  <c r="AC658" i="17"/>
  <c r="AD658" i="17"/>
  <c r="C659" i="17"/>
  <c r="D659" i="17"/>
  <c r="E659" i="17"/>
  <c r="F659" i="17"/>
  <c r="G659" i="17"/>
  <c r="H659" i="17"/>
  <c r="I659" i="17"/>
  <c r="J659" i="17"/>
  <c r="K659" i="17"/>
  <c r="L659" i="17"/>
  <c r="M659" i="17"/>
  <c r="N659" i="17"/>
  <c r="O659" i="17"/>
  <c r="P659" i="17"/>
  <c r="Q659" i="17"/>
  <c r="R659" i="17"/>
  <c r="S659" i="17"/>
  <c r="T659" i="17"/>
  <c r="U659" i="17"/>
  <c r="V659" i="17"/>
  <c r="W659" i="17"/>
  <c r="X659" i="17"/>
  <c r="Y659" i="17"/>
  <c r="Z659" i="17"/>
  <c r="AA659" i="17"/>
  <c r="AB659" i="17"/>
  <c r="AC659" i="17"/>
  <c r="AD659" i="17"/>
  <c r="C660" i="17"/>
  <c r="D660" i="17"/>
  <c r="E660" i="17"/>
  <c r="F660" i="17"/>
  <c r="G660" i="17"/>
  <c r="H660" i="17"/>
  <c r="I660" i="17"/>
  <c r="J660" i="17"/>
  <c r="K660" i="17"/>
  <c r="L660" i="17"/>
  <c r="M660" i="17"/>
  <c r="N660" i="17"/>
  <c r="O660" i="17"/>
  <c r="P660" i="17"/>
  <c r="Q660" i="17"/>
  <c r="R660" i="17"/>
  <c r="S660" i="17"/>
  <c r="T660" i="17"/>
  <c r="U660" i="17"/>
  <c r="V660" i="17"/>
  <c r="W660" i="17"/>
  <c r="X660" i="17"/>
  <c r="Y660" i="17"/>
  <c r="Z660" i="17"/>
  <c r="AA660" i="17"/>
  <c r="AB660" i="17"/>
  <c r="AC660" i="17"/>
  <c r="AD660" i="17"/>
  <c r="C661" i="17"/>
  <c r="D661" i="17"/>
  <c r="E661" i="17"/>
  <c r="F661" i="17"/>
  <c r="G661" i="17"/>
  <c r="H661" i="17"/>
  <c r="I661" i="17"/>
  <c r="J661" i="17"/>
  <c r="K661" i="17"/>
  <c r="L661" i="17"/>
  <c r="M661" i="17"/>
  <c r="N661" i="17"/>
  <c r="O661" i="17"/>
  <c r="P661" i="17"/>
  <c r="Q661" i="17"/>
  <c r="R661" i="17"/>
  <c r="S661" i="17"/>
  <c r="T661" i="17"/>
  <c r="U661" i="17"/>
  <c r="V661" i="17"/>
  <c r="W661" i="17"/>
  <c r="X661" i="17"/>
  <c r="Y661" i="17"/>
  <c r="Z661" i="17"/>
  <c r="AA661" i="17"/>
  <c r="AB661" i="17"/>
  <c r="AC661" i="17"/>
  <c r="AD661" i="17"/>
  <c r="C662" i="17"/>
  <c r="D662" i="17"/>
  <c r="E662" i="17"/>
  <c r="F662" i="17"/>
  <c r="G662" i="17"/>
  <c r="H662" i="17"/>
  <c r="I662" i="17"/>
  <c r="J662" i="17"/>
  <c r="K662" i="17"/>
  <c r="L662" i="17"/>
  <c r="M662" i="17"/>
  <c r="N662" i="17"/>
  <c r="O662" i="17"/>
  <c r="P662" i="17"/>
  <c r="Q662" i="17"/>
  <c r="R662" i="17"/>
  <c r="S662" i="17"/>
  <c r="T662" i="17"/>
  <c r="U662" i="17"/>
  <c r="V662" i="17"/>
  <c r="W662" i="17"/>
  <c r="X662" i="17"/>
  <c r="Y662" i="17"/>
  <c r="Z662" i="17"/>
  <c r="AA662" i="17"/>
  <c r="AB662" i="17"/>
  <c r="AC662" i="17"/>
  <c r="AD662" i="17"/>
  <c r="C663" i="17"/>
  <c r="D663" i="17"/>
  <c r="E663" i="17"/>
  <c r="F663" i="17"/>
  <c r="G663" i="17"/>
  <c r="H663" i="17"/>
  <c r="I663" i="17"/>
  <c r="J663" i="17"/>
  <c r="K663" i="17"/>
  <c r="L663" i="17"/>
  <c r="M663" i="17"/>
  <c r="N663" i="17"/>
  <c r="O663" i="17"/>
  <c r="P663" i="17"/>
  <c r="Q663" i="17"/>
  <c r="R663" i="17"/>
  <c r="S663" i="17"/>
  <c r="T663" i="17"/>
  <c r="U663" i="17"/>
  <c r="V663" i="17"/>
  <c r="W663" i="17"/>
  <c r="X663" i="17"/>
  <c r="Y663" i="17"/>
  <c r="Z663" i="17"/>
  <c r="AA663" i="17"/>
  <c r="AB663" i="17"/>
  <c r="AC663" i="17"/>
  <c r="AD663" i="17"/>
  <c r="C664" i="17"/>
  <c r="D664" i="17"/>
  <c r="E664" i="17"/>
  <c r="F664" i="17"/>
  <c r="G664" i="17"/>
  <c r="H664" i="17"/>
  <c r="I664" i="17"/>
  <c r="J664" i="17"/>
  <c r="K664" i="17"/>
  <c r="L664" i="17"/>
  <c r="M664" i="17"/>
  <c r="N664" i="17"/>
  <c r="O664" i="17"/>
  <c r="P664" i="17"/>
  <c r="Q664" i="17"/>
  <c r="R664" i="17"/>
  <c r="S664" i="17"/>
  <c r="T664" i="17"/>
  <c r="U664" i="17"/>
  <c r="V664" i="17"/>
  <c r="W664" i="17"/>
  <c r="X664" i="17"/>
  <c r="Y664" i="17"/>
  <c r="Z664" i="17"/>
  <c r="AA664" i="17"/>
  <c r="AB664" i="17"/>
  <c r="AC664" i="17"/>
  <c r="AD664" i="17"/>
  <c r="C665" i="17"/>
  <c r="D665" i="17"/>
  <c r="E665" i="17"/>
  <c r="F665" i="17"/>
  <c r="G665" i="17"/>
  <c r="H665" i="17"/>
  <c r="I665" i="17"/>
  <c r="J665" i="17"/>
  <c r="K665" i="17"/>
  <c r="L665" i="17"/>
  <c r="M665" i="17"/>
  <c r="N665" i="17"/>
  <c r="O665" i="17"/>
  <c r="P665" i="17"/>
  <c r="Q665" i="17"/>
  <c r="R665" i="17"/>
  <c r="S665" i="17"/>
  <c r="T665" i="17"/>
  <c r="U665" i="17"/>
  <c r="V665" i="17"/>
  <c r="W665" i="17"/>
  <c r="X665" i="17"/>
  <c r="Y665" i="17"/>
  <c r="Z665" i="17"/>
  <c r="AA665" i="17"/>
  <c r="AB665" i="17"/>
  <c r="AC665" i="17"/>
  <c r="AD665" i="17"/>
  <c r="C666" i="17"/>
  <c r="D666" i="17"/>
  <c r="E666" i="17"/>
  <c r="F666" i="17"/>
  <c r="G666" i="17"/>
  <c r="H666" i="17"/>
  <c r="I666" i="17"/>
  <c r="J666" i="17"/>
  <c r="K666" i="17"/>
  <c r="L666" i="17"/>
  <c r="M666" i="17"/>
  <c r="N666" i="17"/>
  <c r="O666" i="17"/>
  <c r="P666" i="17"/>
  <c r="Q666" i="17"/>
  <c r="R666" i="17"/>
  <c r="S666" i="17"/>
  <c r="T666" i="17"/>
  <c r="U666" i="17"/>
  <c r="V666" i="17"/>
  <c r="W666" i="17"/>
  <c r="X666" i="17"/>
  <c r="Y666" i="17"/>
  <c r="Z666" i="17"/>
  <c r="AA666" i="17"/>
  <c r="AB666" i="17"/>
  <c r="AC666" i="17"/>
  <c r="AD666" i="17"/>
  <c r="C667" i="17"/>
  <c r="D667" i="17"/>
  <c r="E667" i="17"/>
  <c r="F667" i="17"/>
  <c r="G667" i="17"/>
  <c r="H667" i="17"/>
  <c r="I667" i="17"/>
  <c r="J667" i="17"/>
  <c r="K667" i="17"/>
  <c r="L667" i="17"/>
  <c r="M667" i="17"/>
  <c r="N667" i="17"/>
  <c r="O667" i="17"/>
  <c r="P667" i="17"/>
  <c r="Q667" i="17"/>
  <c r="R667" i="17"/>
  <c r="S667" i="17"/>
  <c r="T667" i="17"/>
  <c r="U667" i="17"/>
  <c r="V667" i="17"/>
  <c r="W667" i="17"/>
  <c r="X667" i="17"/>
  <c r="Y667" i="17"/>
  <c r="Z667" i="17"/>
  <c r="AA667" i="17"/>
  <c r="AB667" i="17"/>
  <c r="AC667" i="17"/>
  <c r="AD667" i="17"/>
  <c r="C668" i="17"/>
  <c r="D668" i="17"/>
  <c r="E668" i="17"/>
  <c r="F668" i="17"/>
  <c r="G668" i="17"/>
  <c r="H668" i="17"/>
  <c r="I668" i="17"/>
  <c r="J668" i="17"/>
  <c r="K668" i="17"/>
  <c r="L668" i="17"/>
  <c r="M668" i="17"/>
  <c r="N668" i="17"/>
  <c r="O668" i="17"/>
  <c r="P668" i="17"/>
  <c r="Q668" i="17"/>
  <c r="R668" i="17"/>
  <c r="S668" i="17"/>
  <c r="T668" i="17"/>
  <c r="U668" i="17"/>
  <c r="V668" i="17"/>
  <c r="W668" i="17"/>
  <c r="X668" i="17"/>
  <c r="Y668" i="17"/>
  <c r="Z668" i="17"/>
  <c r="AA668" i="17"/>
  <c r="AB668" i="17"/>
  <c r="AC668" i="17"/>
  <c r="AD668" i="17"/>
  <c r="C669" i="17"/>
  <c r="D669" i="17"/>
  <c r="E669" i="17"/>
  <c r="F669" i="17"/>
  <c r="G669" i="17"/>
  <c r="H669" i="17"/>
  <c r="I669" i="17"/>
  <c r="J669" i="17"/>
  <c r="K669" i="17"/>
  <c r="L669" i="17"/>
  <c r="M669" i="17"/>
  <c r="N669" i="17"/>
  <c r="O669" i="17"/>
  <c r="P669" i="17"/>
  <c r="Q669" i="17"/>
  <c r="R669" i="17"/>
  <c r="S669" i="17"/>
  <c r="T669" i="17"/>
  <c r="U669" i="17"/>
  <c r="V669" i="17"/>
  <c r="W669" i="17"/>
  <c r="X669" i="17"/>
  <c r="Y669" i="17"/>
  <c r="Z669" i="17"/>
  <c r="AA669" i="17"/>
  <c r="AB669" i="17"/>
  <c r="AC669" i="17"/>
  <c r="AD669" i="17"/>
  <c r="C670" i="17"/>
  <c r="D670" i="17"/>
  <c r="E670" i="17"/>
  <c r="F670" i="17"/>
  <c r="G670" i="17"/>
  <c r="H670" i="17"/>
  <c r="I670" i="17"/>
  <c r="J670" i="17"/>
  <c r="K670" i="17"/>
  <c r="L670" i="17"/>
  <c r="M670" i="17"/>
  <c r="N670" i="17"/>
  <c r="O670" i="17"/>
  <c r="P670" i="17"/>
  <c r="Q670" i="17"/>
  <c r="R670" i="17"/>
  <c r="S670" i="17"/>
  <c r="T670" i="17"/>
  <c r="U670" i="17"/>
  <c r="V670" i="17"/>
  <c r="W670" i="17"/>
  <c r="X670" i="17"/>
  <c r="Y670" i="17"/>
  <c r="Z670" i="17"/>
  <c r="AA670" i="17"/>
  <c r="AB670" i="17"/>
  <c r="AC670" i="17"/>
  <c r="AD670" i="17"/>
  <c r="C671" i="17"/>
  <c r="D671" i="17"/>
  <c r="E671" i="17"/>
  <c r="F671" i="17"/>
  <c r="G671" i="17"/>
  <c r="H671" i="17"/>
  <c r="I671" i="17"/>
  <c r="J671" i="17"/>
  <c r="K671" i="17"/>
  <c r="L671" i="17"/>
  <c r="M671" i="17"/>
  <c r="N671" i="17"/>
  <c r="O671" i="17"/>
  <c r="P671" i="17"/>
  <c r="Q671" i="17"/>
  <c r="R671" i="17"/>
  <c r="S671" i="17"/>
  <c r="T671" i="17"/>
  <c r="U671" i="17"/>
  <c r="V671" i="17"/>
  <c r="W671" i="17"/>
  <c r="X671" i="17"/>
  <c r="Y671" i="17"/>
  <c r="Z671" i="17"/>
  <c r="AA671" i="17"/>
  <c r="AB671" i="17"/>
  <c r="AC671" i="17"/>
  <c r="AD671" i="17"/>
  <c r="C672" i="17"/>
  <c r="D672" i="17"/>
  <c r="E672" i="17"/>
  <c r="F672" i="17"/>
  <c r="G672" i="17"/>
  <c r="H672" i="17"/>
  <c r="I672" i="17"/>
  <c r="J672" i="17"/>
  <c r="K672" i="17"/>
  <c r="L672" i="17"/>
  <c r="M672" i="17"/>
  <c r="N672" i="17"/>
  <c r="O672" i="17"/>
  <c r="P672" i="17"/>
  <c r="Q672" i="17"/>
  <c r="R672" i="17"/>
  <c r="S672" i="17"/>
  <c r="T672" i="17"/>
  <c r="U672" i="17"/>
  <c r="V672" i="17"/>
  <c r="W672" i="17"/>
  <c r="X672" i="17"/>
  <c r="Y672" i="17"/>
  <c r="Z672" i="17"/>
  <c r="AA672" i="17"/>
  <c r="AB672" i="17"/>
  <c r="AC672" i="17"/>
  <c r="AD672" i="17"/>
  <c r="C673" i="17"/>
  <c r="D673" i="17"/>
  <c r="E673" i="17"/>
  <c r="F673" i="17"/>
  <c r="G673" i="17"/>
  <c r="H673" i="17"/>
  <c r="I673" i="17"/>
  <c r="J673" i="17"/>
  <c r="K673" i="17"/>
  <c r="L673" i="17"/>
  <c r="M673" i="17"/>
  <c r="N673" i="17"/>
  <c r="O673" i="17"/>
  <c r="P673" i="17"/>
  <c r="Q673" i="17"/>
  <c r="R673" i="17"/>
  <c r="S673" i="17"/>
  <c r="T673" i="17"/>
  <c r="U673" i="17"/>
  <c r="V673" i="17"/>
  <c r="W673" i="17"/>
  <c r="X673" i="17"/>
  <c r="Y673" i="17"/>
  <c r="Z673" i="17"/>
  <c r="AA673" i="17"/>
  <c r="AB673" i="17"/>
  <c r="AC673" i="17"/>
  <c r="AD673" i="17"/>
  <c r="C674" i="17"/>
  <c r="D674" i="17"/>
  <c r="E674" i="17"/>
  <c r="F674" i="17"/>
  <c r="G674" i="17"/>
  <c r="H674" i="17"/>
  <c r="I674" i="17"/>
  <c r="J674" i="17"/>
  <c r="K674" i="17"/>
  <c r="L674" i="17"/>
  <c r="M674" i="17"/>
  <c r="N674" i="17"/>
  <c r="O674" i="17"/>
  <c r="P674" i="17"/>
  <c r="Q674" i="17"/>
  <c r="R674" i="17"/>
  <c r="S674" i="17"/>
  <c r="T674" i="17"/>
  <c r="U674" i="17"/>
  <c r="V674" i="17"/>
  <c r="W674" i="17"/>
  <c r="X674" i="17"/>
  <c r="Y674" i="17"/>
  <c r="Z674" i="17"/>
  <c r="AA674" i="17"/>
  <c r="AB674" i="17"/>
  <c r="AC674" i="17"/>
  <c r="AD674" i="17"/>
  <c r="C675" i="17"/>
  <c r="D675" i="17"/>
  <c r="E675" i="17"/>
  <c r="F675" i="17"/>
  <c r="G675" i="17"/>
  <c r="H675" i="17"/>
  <c r="I675" i="17"/>
  <c r="J675" i="17"/>
  <c r="K675" i="17"/>
  <c r="L675" i="17"/>
  <c r="M675" i="17"/>
  <c r="N675" i="17"/>
  <c r="O675" i="17"/>
  <c r="P675" i="17"/>
  <c r="Q675" i="17"/>
  <c r="R675" i="17"/>
  <c r="S675" i="17"/>
  <c r="T675" i="17"/>
  <c r="U675" i="17"/>
  <c r="V675" i="17"/>
  <c r="W675" i="17"/>
  <c r="X675" i="17"/>
  <c r="Y675" i="17"/>
  <c r="Z675" i="17"/>
  <c r="AA675" i="17"/>
  <c r="AB675" i="17"/>
  <c r="AC675" i="17"/>
  <c r="AD675" i="17"/>
  <c r="C676" i="17"/>
  <c r="D676" i="17"/>
  <c r="E676" i="17"/>
  <c r="F676" i="17"/>
  <c r="G676" i="17"/>
  <c r="H676" i="17"/>
  <c r="I676" i="17"/>
  <c r="J676" i="17"/>
  <c r="K676" i="17"/>
  <c r="L676" i="17"/>
  <c r="M676" i="17"/>
  <c r="N676" i="17"/>
  <c r="O676" i="17"/>
  <c r="P676" i="17"/>
  <c r="Q676" i="17"/>
  <c r="R676" i="17"/>
  <c r="S676" i="17"/>
  <c r="T676" i="17"/>
  <c r="U676" i="17"/>
  <c r="V676" i="17"/>
  <c r="W676" i="17"/>
  <c r="X676" i="17"/>
  <c r="Y676" i="17"/>
  <c r="Z676" i="17"/>
  <c r="AA676" i="17"/>
  <c r="AB676" i="17"/>
  <c r="AC676" i="17"/>
  <c r="AD676" i="17"/>
  <c r="C677" i="17"/>
  <c r="D677" i="17"/>
  <c r="E677" i="17"/>
  <c r="F677" i="17"/>
  <c r="G677" i="17"/>
  <c r="H677" i="17"/>
  <c r="I677" i="17"/>
  <c r="J677" i="17"/>
  <c r="K677" i="17"/>
  <c r="L677" i="17"/>
  <c r="M677" i="17"/>
  <c r="N677" i="17"/>
  <c r="O677" i="17"/>
  <c r="P677" i="17"/>
  <c r="Q677" i="17"/>
  <c r="R677" i="17"/>
  <c r="S677" i="17"/>
  <c r="T677" i="17"/>
  <c r="U677" i="17"/>
  <c r="V677" i="17"/>
  <c r="W677" i="17"/>
  <c r="X677" i="17"/>
  <c r="Y677" i="17"/>
  <c r="Z677" i="17"/>
  <c r="AA677" i="17"/>
  <c r="AB677" i="17"/>
  <c r="AC677" i="17"/>
  <c r="AD677" i="17"/>
  <c r="C678" i="17"/>
  <c r="D678" i="17"/>
  <c r="E678" i="17"/>
  <c r="F678" i="17"/>
  <c r="G678" i="17"/>
  <c r="H678" i="17"/>
  <c r="I678" i="17"/>
  <c r="J678" i="17"/>
  <c r="K678" i="17"/>
  <c r="L678" i="17"/>
  <c r="M678" i="17"/>
  <c r="N678" i="17"/>
  <c r="O678" i="17"/>
  <c r="P678" i="17"/>
  <c r="Q678" i="17"/>
  <c r="R678" i="17"/>
  <c r="S678" i="17"/>
  <c r="T678" i="17"/>
  <c r="U678" i="17"/>
  <c r="V678" i="17"/>
  <c r="W678" i="17"/>
  <c r="X678" i="17"/>
  <c r="Y678" i="17"/>
  <c r="Z678" i="17"/>
  <c r="AA678" i="17"/>
  <c r="AB678" i="17"/>
  <c r="AC678" i="17"/>
  <c r="AD678" i="17"/>
  <c r="C679" i="17"/>
  <c r="D679" i="17"/>
  <c r="E679" i="17"/>
  <c r="F679" i="17"/>
  <c r="G679" i="17"/>
  <c r="H679" i="17"/>
  <c r="I679" i="17"/>
  <c r="J679" i="17"/>
  <c r="K679" i="17"/>
  <c r="L679" i="17"/>
  <c r="M679" i="17"/>
  <c r="N679" i="17"/>
  <c r="O679" i="17"/>
  <c r="P679" i="17"/>
  <c r="Q679" i="17"/>
  <c r="R679" i="17"/>
  <c r="S679" i="17"/>
  <c r="T679" i="17"/>
  <c r="U679" i="17"/>
  <c r="V679" i="17"/>
  <c r="W679" i="17"/>
  <c r="X679" i="17"/>
  <c r="Y679" i="17"/>
  <c r="Z679" i="17"/>
  <c r="AA679" i="17"/>
  <c r="AB679" i="17"/>
  <c r="AC679" i="17"/>
  <c r="AD679" i="17"/>
  <c r="C680" i="17"/>
  <c r="D680" i="17"/>
  <c r="E680" i="17"/>
  <c r="F680" i="17"/>
  <c r="G680" i="17"/>
  <c r="H680" i="17"/>
  <c r="I680" i="17"/>
  <c r="J680" i="17"/>
  <c r="K680" i="17"/>
  <c r="L680" i="17"/>
  <c r="M680" i="17"/>
  <c r="N680" i="17"/>
  <c r="O680" i="17"/>
  <c r="P680" i="17"/>
  <c r="Q680" i="17"/>
  <c r="R680" i="17"/>
  <c r="S680" i="17"/>
  <c r="T680" i="17"/>
  <c r="U680" i="17"/>
  <c r="V680" i="17"/>
  <c r="W680" i="17"/>
  <c r="X680" i="17"/>
  <c r="Y680" i="17"/>
  <c r="Z680" i="17"/>
  <c r="AA680" i="17"/>
  <c r="AB680" i="17"/>
  <c r="AC680" i="17"/>
  <c r="AD680" i="17"/>
  <c r="C681" i="17"/>
  <c r="D681" i="17"/>
  <c r="E681" i="17"/>
  <c r="F681" i="17"/>
  <c r="G681" i="17"/>
  <c r="H681" i="17"/>
  <c r="I681" i="17"/>
  <c r="J681" i="17"/>
  <c r="K681" i="17"/>
  <c r="L681" i="17"/>
  <c r="M681" i="17"/>
  <c r="N681" i="17"/>
  <c r="O681" i="17"/>
  <c r="P681" i="17"/>
  <c r="Q681" i="17"/>
  <c r="R681" i="17"/>
  <c r="S681" i="17"/>
  <c r="T681" i="17"/>
  <c r="U681" i="17"/>
  <c r="V681" i="17"/>
  <c r="W681" i="17"/>
  <c r="X681" i="17"/>
  <c r="Y681" i="17"/>
  <c r="Z681" i="17"/>
  <c r="AA681" i="17"/>
  <c r="AB681" i="17"/>
  <c r="AC681" i="17"/>
  <c r="AD681" i="17"/>
  <c r="C682" i="17"/>
  <c r="D682" i="17"/>
  <c r="E682" i="17"/>
  <c r="F682" i="17"/>
  <c r="G682" i="17"/>
  <c r="H682" i="17"/>
  <c r="I682" i="17"/>
  <c r="J682" i="17"/>
  <c r="K682" i="17"/>
  <c r="L682" i="17"/>
  <c r="M682" i="17"/>
  <c r="N682" i="17"/>
  <c r="O682" i="17"/>
  <c r="P682" i="17"/>
  <c r="Q682" i="17"/>
  <c r="R682" i="17"/>
  <c r="S682" i="17"/>
  <c r="T682" i="17"/>
  <c r="U682" i="17"/>
  <c r="V682" i="17"/>
  <c r="W682" i="17"/>
  <c r="X682" i="17"/>
  <c r="Y682" i="17"/>
  <c r="Z682" i="17"/>
  <c r="AA682" i="17"/>
  <c r="AB682" i="17"/>
  <c r="AC682" i="17"/>
  <c r="AD682" i="17"/>
  <c r="C683" i="17"/>
  <c r="D683" i="17"/>
  <c r="E683" i="17"/>
  <c r="F683" i="17"/>
  <c r="G683" i="17"/>
  <c r="H683" i="17"/>
  <c r="I683" i="17"/>
  <c r="J683" i="17"/>
  <c r="K683" i="17"/>
  <c r="L683" i="17"/>
  <c r="M683" i="17"/>
  <c r="N683" i="17"/>
  <c r="O683" i="17"/>
  <c r="P683" i="17"/>
  <c r="Q683" i="17"/>
  <c r="R683" i="17"/>
  <c r="S683" i="17"/>
  <c r="T683" i="17"/>
  <c r="U683" i="17"/>
  <c r="V683" i="17"/>
  <c r="W683" i="17"/>
  <c r="X683" i="17"/>
  <c r="Y683" i="17"/>
  <c r="Z683" i="17"/>
  <c r="AA683" i="17"/>
  <c r="AB683" i="17"/>
  <c r="AC683" i="17"/>
  <c r="AD683" i="17"/>
  <c r="C684" i="17"/>
  <c r="D684" i="17"/>
  <c r="E684" i="17"/>
  <c r="F684" i="17"/>
  <c r="G684" i="17"/>
  <c r="H684" i="17"/>
  <c r="I684" i="17"/>
  <c r="J684" i="17"/>
  <c r="K684" i="17"/>
  <c r="L684" i="17"/>
  <c r="M684" i="17"/>
  <c r="N684" i="17"/>
  <c r="O684" i="17"/>
  <c r="P684" i="17"/>
  <c r="Q684" i="17"/>
  <c r="R684" i="17"/>
  <c r="S684" i="17"/>
  <c r="T684" i="17"/>
  <c r="U684" i="17"/>
  <c r="V684" i="17"/>
  <c r="W684" i="17"/>
  <c r="X684" i="17"/>
  <c r="Y684" i="17"/>
  <c r="Z684" i="17"/>
  <c r="AA684" i="17"/>
  <c r="AB684" i="17"/>
  <c r="AC684" i="17"/>
  <c r="AD684" i="17"/>
  <c r="C685" i="17"/>
  <c r="D685" i="17"/>
  <c r="E685" i="17"/>
  <c r="F685" i="17"/>
  <c r="G685" i="17"/>
  <c r="H685" i="17"/>
  <c r="I685" i="17"/>
  <c r="J685" i="17"/>
  <c r="K685" i="17"/>
  <c r="L685" i="17"/>
  <c r="M685" i="17"/>
  <c r="N685" i="17"/>
  <c r="O685" i="17"/>
  <c r="P685" i="17"/>
  <c r="Q685" i="17"/>
  <c r="R685" i="17"/>
  <c r="S685" i="17"/>
  <c r="T685" i="17"/>
  <c r="U685" i="17"/>
  <c r="V685" i="17"/>
  <c r="W685" i="17"/>
  <c r="X685" i="17"/>
  <c r="Y685" i="17"/>
  <c r="Z685" i="17"/>
  <c r="AA685" i="17"/>
  <c r="AB685" i="17"/>
  <c r="AC685" i="17"/>
  <c r="AD685" i="17"/>
  <c r="C686" i="17"/>
  <c r="D686" i="17"/>
  <c r="E686" i="17"/>
  <c r="F686" i="17"/>
  <c r="G686" i="17"/>
  <c r="H686" i="17"/>
  <c r="I686" i="17"/>
  <c r="J686" i="17"/>
  <c r="K686" i="17"/>
  <c r="L686" i="17"/>
  <c r="M686" i="17"/>
  <c r="N686" i="17"/>
  <c r="O686" i="17"/>
  <c r="P686" i="17"/>
  <c r="Q686" i="17"/>
  <c r="R686" i="17"/>
  <c r="S686" i="17"/>
  <c r="T686" i="17"/>
  <c r="U686" i="17"/>
  <c r="V686" i="17"/>
  <c r="W686" i="17"/>
  <c r="X686" i="17"/>
  <c r="Y686" i="17"/>
  <c r="Z686" i="17"/>
  <c r="AA686" i="17"/>
  <c r="AB686" i="17"/>
  <c r="AC686" i="17"/>
  <c r="AD686" i="17"/>
  <c r="C687" i="17"/>
  <c r="D687" i="17"/>
  <c r="E687" i="17"/>
  <c r="F687" i="17"/>
  <c r="G687" i="17"/>
  <c r="H687" i="17"/>
  <c r="I687" i="17"/>
  <c r="J687" i="17"/>
  <c r="K687" i="17"/>
  <c r="L687" i="17"/>
  <c r="M687" i="17"/>
  <c r="N687" i="17"/>
  <c r="O687" i="17"/>
  <c r="P687" i="17"/>
  <c r="Q687" i="17"/>
  <c r="R687" i="17"/>
  <c r="S687" i="17"/>
  <c r="T687" i="17"/>
  <c r="U687" i="17"/>
  <c r="V687" i="17"/>
  <c r="W687" i="17"/>
  <c r="X687" i="17"/>
  <c r="Y687" i="17"/>
  <c r="Z687" i="17"/>
  <c r="AA687" i="17"/>
  <c r="AB687" i="17"/>
  <c r="AC687" i="17"/>
  <c r="AD687" i="17"/>
  <c r="C688" i="17"/>
  <c r="D688" i="17"/>
  <c r="E688" i="17"/>
  <c r="F688" i="17"/>
  <c r="G688" i="17"/>
  <c r="H688" i="17"/>
  <c r="I688" i="17"/>
  <c r="J688" i="17"/>
  <c r="K688" i="17"/>
  <c r="L688" i="17"/>
  <c r="M688" i="17"/>
  <c r="N688" i="17"/>
  <c r="O688" i="17"/>
  <c r="P688" i="17"/>
  <c r="Q688" i="17"/>
  <c r="R688" i="17"/>
  <c r="S688" i="17"/>
  <c r="T688" i="17"/>
  <c r="U688" i="17"/>
  <c r="V688" i="17"/>
  <c r="W688" i="17"/>
  <c r="X688" i="17"/>
  <c r="Y688" i="17"/>
  <c r="Z688" i="17"/>
  <c r="AA688" i="17"/>
  <c r="AB688" i="17"/>
  <c r="AC688" i="17"/>
  <c r="AD688" i="17"/>
  <c r="C689" i="17"/>
  <c r="D689" i="17"/>
  <c r="E689" i="17"/>
  <c r="F689" i="17"/>
  <c r="G689" i="17"/>
  <c r="H689" i="17"/>
  <c r="I689" i="17"/>
  <c r="J689" i="17"/>
  <c r="K689" i="17"/>
  <c r="L689" i="17"/>
  <c r="M689" i="17"/>
  <c r="N689" i="17"/>
  <c r="O689" i="17"/>
  <c r="P689" i="17"/>
  <c r="Q689" i="17"/>
  <c r="R689" i="17"/>
  <c r="S689" i="17"/>
  <c r="T689" i="17"/>
  <c r="U689" i="17"/>
  <c r="V689" i="17"/>
  <c r="W689" i="17"/>
  <c r="X689" i="17"/>
  <c r="Y689" i="17"/>
  <c r="Z689" i="17"/>
  <c r="AA689" i="17"/>
  <c r="AB689" i="17"/>
  <c r="AC689" i="17"/>
  <c r="AD689" i="17"/>
  <c r="C690" i="17"/>
  <c r="D690" i="17"/>
  <c r="E690" i="17"/>
  <c r="F690" i="17"/>
  <c r="G690" i="17"/>
  <c r="H690" i="17"/>
  <c r="I690" i="17"/>
  <c r="J690" i="17"/>
  <c r="K690" i="17"/>
  <c r="L690" i="17"/>
  <c r="M690" i="17"/>
  <c r="N690" i="17"/>
  <c r="O690" i="17"/>
  <c r="P690" i="17"/>
  <c r="Q690" i="17"/>
  <c r="R690" i="17"/>
  <c r="S690" i="17"/>
  <c r="T690" i="17"/>
  <c r="U690" i="17"/>
  <c r="V690" i="17"/>
  <c r="W690" i="17"/>
  <c r="X690" i="17"/>
  <c r="Y690" i="17"/>
  <c r="Z690" i="17"/>
  <c r="AA690" i="17"/>
  <c r="AB690" i="17"/>
  <c r="AC690" i="17"/>
  <c r="AD690" i="17"/>
  <c r="C691" i="17"/>
  <c r="D691" i="17"/>
  <c r="E691" i="17"/>
  <c r="F691" i="17"/>
  <c r="G691" i="17"/>
  <c r="H691" i="17"/>
  <c r="I691" i="17"/>
  <c r="J691" i="17"/>
  <c r="K691" i="17"/>
  <c r="L691" i="17"/>
  <c r="M691" i="17"/>
  <c r="N691" i="17"/>
  <c r="O691" i="17"/>
  <c r="P691" i="17"/>
  <c r="Q691" i="17"/>
  <c r="R691" i="17"/>
  <c r="S691" i="17"/>
  <c r="T691" i="17"/>
  <c r="U691" i="17"/>
  <c r="V691" i="17"/>
  <c r="W691" i="17"/>
  <c r="X691" i="17"/>
  <c r="Y691" i="17"/>
  <c r="Z691" i="17"/>
  <c r="AA691" i="17"/>
  <c r="AB691" i="17"/>
  <c r="AC691" i="17"/>
  <c r="AD691" i="17"/>
  <c r="C692" i="17"/>
  <c r="D692" i="17"/>
  <c r="E692" i="17"/>
  <c r="F692" i="17"/>
  <c r="G692" i="17"/>
  <c r="H692" i="17"/>
  <c r="I692" i="17"/>
  <c r="J692" i="17"/>
  <c r="K692" i="17"/>
  <c r="L692" i="17"/>
  <c r="M692" i="17"/>
  <c r="N692" i="17"/>
  <c r="O692" i="17"/>
  <c r="P692" i="17"/>
  <c r="Q692" i="17"/>
  <c r="R692" i="17"/>
  <c r="S692" i="17"/>
  <c r="T692" i="17"/>
  <c r="U692" i="17"/>
  <c r="V692" i="17"/>
  <c r="W692" i="17"/>
  <c r="X692" i="17"/>
  <c r="Y692" i="17"/>
  <c r="Z692" i="17"/>
  <c r="AA692" i="17"/>
  <c r="AB692" i="17"/>
  <c r="AC692" i="17"/>
  <c r="AD692" i="17"/>
  <c r="C693" i="17"/>
  <c r="D693" i="17"/>
  <c r="E693" i="17"/>
  <c r="F693" i="17"/>
  <c r="G693" i="17"/>
  <c r="H693" i="17"/>
  <c r="I693" i="17"/>
  <c r="J693" i="17"/>
  <c r="K693" i="17"/>
  <c r="L693" i="17"/>
  <c r="M693" i="17"/>
  <c r="N693" i="17"/>
  <c r="O693" i="17"/>
  <c r="P693" i="17"/>
  <c r="Q693" i="17"/>
  <c r="R693" i="17"/>
  <c r="S693" i="17"/>
  <c r="T693" i="17"/>
  <c r="U693" i="17"/>
  <c r="V693" i="17"/>
  <c r="W693" i="17"/>
  <c r="X693" i="17"/>
  <c r="Y693" i="17"/>
  <c r="Z693" i="17"/>
  <c r="AA693" i="17"/>
  <c r="AB693" i="17"/>
  <c r="AC693" i="17"/>
  <c r="AD693" i="17"/>
  <c r="C694" i="17"/>
  <c r="D694" i="17"/>
  <c r="E694" i="17"/>
  <c r="F694" i="17"/>
  <c r="G694" i="17"/>
  <c r="H694" i="17"/>
  <c r="I694" i="17"/>
  <c r="J694" i="17"/>
  <c r="K694" i="17"/>
  <c r="L694" i="17"/>
  <c r="M694" i="17"/>
  <c r="N694" i="17"/>
  <c r="O694" i="17"/>
  <c r="P694" i="17"/>
  <c r="Q694" i="17"/>
  <c r="R694" i="17"/>
  <c r="S694" i="17"/>
  <c r="T694" i="17"/>
  <c r="U694" i="17"/>
  <c r="V694" i="17"/>
  <c r="W694" i="17"/>
  <c r="X694" i="17"/>
  <c r="Y694" i="17"/>
  <c r="Z694" i="17"/>
  <c r="AA694" i="17"/>
  <c r="AB694" i="17"/>
  <c r="AC694" i="17"/>
  <c r="AD694" i="17"/>
  <c r="C695" i="17"/>
  <c r="D695" i="17"/>
  <c r="E695" i="17"/>
  <c r="F695" i="17"/>
  <c r="G695" i="17"/>
  <c r="H695" i="17"/>
  <c r="I695" i="17"/>
  <c r="J695" i="17"/>
  <c r="K695" i="17"/>
  <c r="L695" i="17"/>
  <c r="M695" i="17"/>
  <c r="N695" i="17"/>
  <c r="O695" i="17"/>
  <c r="P695" i="17"/>
  <c r="Q695" i="17"/>
  <c r="R695" i="17"/>
  <c r="S695" i="17"/>
  <c r="T695" i="17"/>
  <c r="U695" i="17"/>
  <c r="V695" i="17"/>
  <c r="W695" i="17"/>
  <c r="X695" i="17"/>
  <c r="Y695" i="17"/>
  <c r="Z695" i="17"/>
  <c r="AA695" i="17"/>
  <c r="AB695" i="17"/>
  <c r="AC695" i="17"/>
  <c r="AD695" i="17"/>
  <c r="C696" i="17"/>
  <c r="D696" i="17"/>
  <c r="E696" i="17"/>
  <c r="F696" i="17"/>
  <c r="G696" i="17"/>
  <c r="H696" i="17"/>
  <c r="I696" i="17"/>
  <c r="J696" i="17"/>
  <c r="K696" i="17"/>
  <c r="L696" i="17"/>
  <c r="M696" i="17"/>
  <c r="N696" i="17"/>
  <c r="O696" i="17"/>
  <c r="P696" i="17"/>
  <c r="Q696" i="17"/>
  <c r="R696" i="17"/>
  <c r="S696" i="17"/>
  <c r="T696" i="17"/>
  <c r="U696" i="17"/>
  <c r="V696" i="17"/>
  <c r="W696" i="17"/>
  <c r="X696" i="17"/>
  <c r="Y696" i="17"/>
  <c r="Z696" i="17"/>
  <c r="AA696" i="17"/>
  <c r="AB696" i="17"/>
  <c r="AC696" i="17"/>
  <c r="AD696" i="17"/>
  <c r="C697" i="17"/>
  <c r="D697" i="17"/>
  <c r="E697" i="17"/>
  <c r="F697" i="17"/>
  <c r="G697" i="17"/>
  <c r="H697" i="17"/>
  <c r="I697" i="17"/>
  <c r="J697" i="17"/>
  <c r="K697" i="17"/>
  <c r="L697" i="17"/>
  <c r="M697" i="17"/>
  <c r="N697" i="17"/>
  <c r="O697" i="17"/>
  <c r="P697" i="17"/>
  <c r="Q697" i="17"/>
  <c r="R697" i="17"/>
  <c r="S697" i="17"/>
  <c r="T697" i="17"/>
  <c r="U697" i="17"/>
  <c r="V697" i="17"/>
  <c r="W697" i="17"/>
  <c r="X697" i="17"/>
  <c r="Y697" i="17"/>
  <c r="Z697" i="17"/>
  <c r="AA697" i="17"/>
  <c r="AB697" i="17"/>
  <c r="AC697" i="17"/>
  <c r="AD697" i="17"/>
  <c r="C698" i="17"/>
  <c r="D698" i="17"/>
  <c r="E698" i="17"/>
  <c r="F698" i="17"/>
  <c r="G698" i="17"/>
  <c r="H698" i="17"/>
  <c r="I698" i="17"/>
  <c r="J698" i="17"/>
  <c r="K698" i="17"/>
  <c r="L698" i="17"/>
  <c r="M698" i="17"/>
  <c r="N698" i="17"/>
  <c r="O698" i="17"/>
  <c r="P698" i="17"/>
  <c r="Q698" i="17"/>
  <c r="R698" i="17"/>
  <c r="S698" i="17"/>
  <c r="T698" i="17"/>
  <c r="U698" i="17"/>
  <c r="V698" i="17"/>
  <c r="W698" i="17"/>
  <c r="X698" i="17"/>
  <c r="Y698" i="17"/>
  <c r="Z698" i="17"/>
  <c r="AA698" i="17"/>
  <c r="AB698" i="17"/>
  <c r="AC698" i="17"/>
  <c r="AD698" i="17"/>
  <c r="C699" i="17"/>
  <c r="D699" i="17"/>
  <c r="E699" i="17"/>
  <c r="F699" i="17"/>
  <c r="G699" i="17"/>
  <c r="H699" i="17"/>
  <c r="I699" i="17"/>
  <c r="J699" i="17"/>
  <c r="K699" i="17"/>
  <c r="L699" i="17"/>
  <c r="M699" i="17"/>
  <c r="N699" i="17"/>
  <c r="O699" i="17"/>
  <c r="P699" i="17"/>
  <c r="Q699" i="17"/>
  <c r="R699" i="17"/>
  <c r="S699" i="17"/>
  <c r="T699" i="17"/>
  <c r="U699" i="17"/>
  <c r="V699" i="17"/>
  <c r="W699" i="17"/>
  <c r="X699" i="17"/>
  <c r="Y699" i="17"/>
  <c r="Z699" i="17"/>
  <c r="AA699" i="17"/>
  <c r="AB699" i="17"/>
  <c r="AC699" i="17"/>
  <c r="AD699" i="17"/>
  <c r="C700" i="17"/>
  <c r="D700" i="17"/>
  <c r="E700" i="17"/>
  <c r="F700" i="17"/>
  <c r="G700" i="17"/>
  <c r="H700" i="17"/>
  <c r="I700" i="17"/>
  <c r="J700" i="17"/>
  <c r="K700" i="17"/>
  <c r="L700" i="17"/>
  <c r="M700" i="17"/>
  <c r="N700" i="17"/>
  <c r="O700" i="17"/>
  <c r="P700" i="17"/>
  <c r="Q700" i="17"/>
  <c r="R700" i="17"/>
  <c r="S700" i="17"/>
  <c r="T700" i="17"/>
  <c r="U700" i="17"/>
  <c r="V700" i="17"/>
  <c r="W700" i="17"/>
  <c r="X700" i="17"/>
  <c r="Y700" i="17"/>
  <c r="Z700" i="17"/>
  <c r="AA700" i="17"/>
  <c r="AB700" i="17"/>
  <c r="AC700" i="17"/>
  <c r="AD700" i="17"/>
  <c r="C701" i="17"/>
  <c r="D701" i="17"/>
  <c r="E701" i="17"/>
  <c r="F701" i="17"/>
  <c r="G701" i="17"/>
  <c r="H701" i="17"/>
  <c r="I701" i="17"/>
  <c r="J701" i="17"/>
  <c r="K701" i="17"/>
  <c r="L701" i="17"/>
  <c r="M701" i="17"/>
  <c r="N701" i="17"/>
  <c r="O701" i="17"/>
  <c r="P701" i="17"/>
  <c r="Q701" i="17"/>
  <c r="R701" i="17"/>
  <c r="S701" i="17"/>
  <c r="T701" i="17"/>
  <c r="U701" i="17"/>
  <c r="V701" i="17"/>
  <c r="W701" i="17"/>
  <c r="X701" i="17"/>
  <c r="Y701" i="17"/>
  <c r="Z701" i="17"/>
  <c r="AA701" i="17"/>
  <c r="AB701" i="17"/>
  <c r="AC701" i="17"/>
  <c r="AD701" i="17"/>
  <c r="C702" i="17"/>
  <c r="D702" i="17"/>
  <c r="E702" i="17"/>
  <c r="F702" i="17"/>
  <c r="G702" i="17"/>
  <c r="H702" i="17"/>
  <c r="I702" i="17"/>
  <c r="J702" i="17"/>
  <c r="K702" i="17"/>
  <c r="L702" i="17"/>
  <c r="M702" i="17"/>
  <c r="N702" i="17"/>
  <c r="O702" i="17"/>
  <c r="P702" i="17"/>
  <c r="Q702" i="17"/>
  <c r="R702" i="17"/>
  <c r="S702" i="17"/>
  <c r="T702" i="17"/>
  <c r="U702" i="17"/>
  <c r="V702" i="17"/>
  <c r="W702" i="17"/>
  <c r="X702" i="17"/>
  <c r="Y702" i="17"/>
  <c r="Z702" i="17"/>
  <c r="AA702" i="17"/>
  <c r="AB702" i="17"/>
  <c r="AC702" i="17"/>
  <c r="AD702" i="17"/>
  <c r="C703" i="17"/>
  <c r="D703" i="17"/>
  <c r="E703" i="17"/>
  <c r="F703" i="17"/>
  <c r="G703" i="17"/>
  <c r="H703" i="17"/>
  <c r="I703" i="17"/>
  <c r="J703" i="17"/>
  <c r="K703" i="17"/>
  <c r="L703" i="17"/>
  <c r="M703" i="17"/>
  <c r="N703" i="17"/>
  <c r="O703" i="17"/>
  <c r="P703" i="17"/>
  <c r="Q703" i="17"/>
  <c r="R703" i="17"/>
  <c r="S703" i="17"/>
  <c r="T703" i="17"/>
  <c r="U703" i="17"/>
  <c r="V703" i="17"/>
  <c r="W703" i="17"/>
  <c r="X703" i="17"/>
  <c r="Y703" i="17"/>
  <c r="Z703" i="17"/>
  <c r="AA703" i="17"/>
  <c r="AB703" i="17"/>
  <c r="AC703" i="17"/>
  <c r="AD703" i="17"/>
  <c r="C704" i="17"/>
  <c r="D704" i="17"/>
  <c r="E704" i="17"/>
  <c r="F704" i="17"/>
  <c r="G704" i="17"/>
  <c r="H704" i="17"/>
  <c r="I704" i="17"/>
  <c r="J704" i="17"/>
  <c r="K704" i="17"/>
  <c r="L704" i="17"/>
  <c r="M704" i="17"/>
  <c r="N704" i="17"/>
  <c r="O704" i="17"/>
  <c r="P704" i="17"/>
  <c r="Q704" i="17"/>
  <c r="R704" i="17"/>
  <c r="S704" i="17"/>
  <c r="T704" i="17"/>
  <c r="U704" i="17"/>
  <c r="V704" i="17"/>
  <c r="W704" i="17"/>
  <c r="X704" i="17"/>
  <c r="Y704" i="17"/>
  <c r="Z704" i="17"/>
  <c r="AA704" i="17"/>
  <c r="AB704" i="17"/>
  <c r="AC704" i="17"/>
  <c r="AD704" i="17"/>
  <c r="C705" i="17"/>
  <c r="D705" i="17"/>
  <c r="E705" i="17"/>
  <c r="F705" i="17"/>
  <c r="G705" i="17"/>
  <c r="H705" i="17"/>
  <c r="I705" i="17"/>
  <c r="J705" i="17"/>
  <c r="K705" i="17"/>
  <c r="L705" i="17"/>
  <c r="M705" i="17"/>
  <c r="N705" i="17"/>
  <c r="O705" i="17"/>
  <c r="P705" i="17"/>
  <c r="Q705" i="17"/>
  <c r="R705" i="17"/>
  <c r="S705" i="17"/>
  <c r="T705" i="17"/>
  <c r="U705" i="17"/>
  <c r="V705" i="17"/>
  <c r="W705" i="17"/>
  <c r="X705" i="17"/>
  <c r="Y705" i="17"/>
  <c r="Z705" i="17"/>
  <c r="AA705" i="17"/>
  <c r="AB705" i="17"/>
  <c r="AC705" i="17"/>
  <c r="AD705" i="17"/>
  <c r="C706" i="17"/>
  <c r="D706" i="17"/>
  <c r="E706" i="17"/>
  <c r="F706" i="17"/>
  <c r="G706" i="17"/>
  <c r="H706" i="17"/>
  <c r="I706" i="17"/>
  <c r="J706" i="17"/>
  <c r="K706" i="17"/>
  <c r="L706" i="17"/>
  <c r="M706" i="17"/>
  <c r="N706" i="17"/>
  <c r="O706" i="17"/>
  <c r="P706" i="17"/>
  <c r="Q706" i="17"/>
  <c r="R706" i="17"/>
  <c r="S706" i="17"/>
  <c r="T706" i="17"/>
  <c r="U706" i="17"/>
  <c r="V706" i="17"/>
  <c r="W706" i="17"/>
  <c r="X706" i="17"/>
  <c r="Y706" i="17"/>
  <c r="Z706" i="17"/>
  <c r="AA706" i="17"/>
  <c r="AB706" i="17"/>
  <c r="AC706" i="17"/>
  <c r="AD706" i="17"/>
  <c r="C707" i="17"/>
  <c r="D707" i="17"/>
  <c r="E707" i="17"/>
  <c r="F707" i="17"/>
  <c r="G707" i="17"/>
  <c r="H707" i="17"/>
  <c r="I707" i="17"/>
  <c r="J707" i="17"/>
  <c r="K707" i="17"/>
  <c r="L707" i="17"/>
  <c r="M707" i="17"/>
  <c r="N707" i="17"/>
  <c r="O707" i="17"/>
  <c r="P707" i="17"/>
  <c r="Q707" i="17"/>
  <c r="R707" i="17"/>
  <c r="S707" i="17"/>
  <c r="T707" i="17"/>
  <c r="U707" i="17"/>
  <c r="V707" i="17"/>
  <c r="W707" i="17"/>
  <c r="X707" i="17"/>
  <c r="Y707" i="17"/>
  <c r="Z707" i="17"/>
  <c r="AA707" i="17"/>
  <c r="AB707" i="17"/>
  <c r="AC707" i="17"/>
  <c r="AD707" i="17"/>
  <c r="C708" i="17"/>
  <c r="D708" i="17"/>
  <c r="E708" i="17"/>
  <c r="F708" i="17"/>
  <c r="G708" i="17"/>
  <c r="H708" i="17"/>
  <c r="I708" i="17"/>
  <c r="J708" i="17"/>
  <c r="K708" i="17"/>
  <c r="L708" i="17"/>
  <c r="M708" i="17"/>
  <c r="N708" i="17"/>
  <c r="O708" i="17"/>
  <c r="P708" i="17"/>
  <c r="Q708" i="17"/>
  <c r="R708" i="17"/>
  <c r="S708" i="17"/>
  <c r="T708" i="17"/>
  <c r="U708" i="17"/>
  <c r="V708" i="17"/>
  <c r="W708" i="17"/>
  <c r="X708" i="17"/>
  <c r="Y708" i="17"/>
  <c r="Z708" i="17"/>
  <c r="AA708" i="17"/>
  <c r="AB708" i="17"/>
  <c r="AC708" i="17"/>
  <c r="AD708" i="17"/>
  <c r="C709" i="17"/>
  <c r="D709" i="17"/>
  <c r="E709" i="17"/>
  <c r="F709" i="17"/>
  <c r="G709" i="17"/>
  <c r="H709" i="17"/>
  <c r="I709" i="17"/>
  <c r="J709" i="17"/>
  <c r="K709" i="17"/>
  <c r="L709" i="17"/>
  <c r="M709" i="17"/>
  <c r="N709" i="17"/>
  <c r="O709" i="17"/>
  <c r="P709" i="17"/>
  <c r="Q709" i="17"/>
  <c r="R709" i="17"/>
  <c r="S709" i="17"/>
  <c r="T709" i="17"/>
  <c r="U709" i="17"/>
  <c r="V709" i="17"/>
  <c r="W709" i="17"/>
  <c r="X709" i="17"/>
  <c r="Y709" i="17"/>
  <c r="Z709" i="17"/>
  <c r="AA709" i="17"/>
  <c r="AB709" i="17"/>
  <c r="AC709" i="17"/>
  <c r="AD709" i="17"/>
  <c r="C710" i="17"/>
  <c r="D710" i="17"/>
  <c r="E710" i="17"/>
  <c r="F710" i="17"/>
  <c r="G710" i="17"/>
  <c r="H710" i="17"/>
  <c r="I710" i="17"/>
  <c r="J710" i="17"/>
  <c r="K710" i="17"/>
  <c r="L710" i="17"/>
  <c r="M710" i="17"/>
  <c r="N710" i="17"/>
  <c r="O710" i="17"/>
  <c r="P710" i="17"/>
  <c r="Q710" i="17"/>
  <c r="R710" i="17"/>
  <c r="S710" i="17"/>
  <c r="T710" i="17"/>
  <c r="U710" i="17"/>
  <c r="V710" i="17"/>
  <c r="W710" i="17"/>
  <c r="X710" i="17"/>
  <c r="Y710" i="17"/>
  <c r="Z710" i="17"/>
  <c r="AA710" i="17"/>
  <c r="AB710" i="17"/>
  <c r="AC710" i="17"/>
  <c r="AD710" i="17"/>
  <c r="C711" i="17"/>
  <c r="D711" i="17"/>
  <c r="E711" i="17"/>
  <c r="F711" i="17"/>
  <c r="G711" i="17"/>
  <c r="H711" i="17"/>
  <c r="I711" i="17"/>
  <c r="J711" i="17"/>
  <c r="K711" i="17"/>
  <c r="L711" i="17"/>
  <c r="M711" i="17"/>
  <c r="N711" i="17"/>
  <c r="O711" i="17"/>
  <c r="P711" i="17"/>
  <c r="Q711" i="17"/>
  <c r="R711" i="17"/>
  <c r="S711" i="17"/>
  <c r="T711" i="17"/>
  <c r="U711" i="17"/>
  <c r="V711" i="17"/>
  <c r="W711" i="17"/>
  <c r="X711" i="17"/>
  <c r="Y711" i="17"/>
  <c r="Z711" i="17"/>
  <c r="AA711" i="17"/>
  <c r="AB711" i="17"/>
  <c r="AC711" i="17"/>
  <c r="AD711" i="17"/>
  <c r="C712" i="17"/>
  <c r="D712" i="17"/>
  <c r="E712" i="17"/>
  <c r="F712" i="17"/>
  <c r="G712" i="17"/>
  <c r="H712" i="17"/>
  <c r="I712" i="17"/>
  <c r="J712" i="17"/>
  <c r="K712" i="17"/>
  <c r="L712" i="17"/>
  <c r="M712" i="17"/>
  <c r="N712" i="17"/>
  <c r="O712" i="17"/>
  <c r="P712" i="17"/>
  <c r="Q712" i="17"/>
  <c r="R712" i="17"/>
  <c r="S712" i="17"/>
  <c r="T712" i="17"/>
  <c r="U712" i="17"/>
  <c r="V712" i="17"/>
  <c r="W712" i="17"/>
  <c r="X712" i="17"/>
  <c r="Y712" i="17"/>
  <c r="Z712" i="17"/>
  <c r="AA712" i="17"/>
  <c r="AB712" i="17"/>
  <c r="AC712" i="17"/>
  <c r="AD712" i="17"/>
  <c r="C713" i="17"/>
  <c r="D713" i="17"/>
  <c r="E713" i="17"/>
  <c r="F713" i="17"/>
  <c r="G713" i="17"/>
  <c r="H713" i="17"/>
  <c r="I713" i="17"/>
  <c r="J713" i="17"/>
  <c r="K713" i="17"/>
  <c r="L713" i="17"/>
  <c r="M713" i="17"/>
  <c r="N713" i="17"/>
  <c r="O713" i="17"/>
  <c r="P713" i="17"/>
  <c r="Q713" i="17"/>
  <c r="R713" i="17"/>
  <c r="S713" i="17"/>
  <c r="T713" i="17"/>
  <c r="U713" i="17"/>
  <c r="V713" i="17"/>
  <c r="W713" i="17"/>
  <c r="X713" i="17"/>
  <c r="Y713" i="17"/>
  <c r="Z713" i="17"/>
  <c r="AA713" i="17"/>
  <c r="AB713" i="17"/>
  <c r="AC713" i="17"/>
  <c r="AD713" i="17"/>
  <c r="C714" i="17"/>
  <c r="D714" i="17"/>
  <c r="E714" i="17"/>
  <c r="F714" i="17"/>
  <c r="G714" i="17"/>
  <c r="H714" i="17"/>
  <c r="I714" i="17"/>
  <c r="J714" i="17"/>
  <c r="K714" i="17"/>
  <c r="L714" i="17"/>
  <c r="M714" i="17"/>
  <c r="N714" i="17"/>
  <c r="O714" i="17"/>
  <c r="P714" i="17"/>
  <c r="Q714" i="17"/>
  <c r="R714" i="17"/>
  <c r="S714" i="17"/>
  <c r="T714" i="17"/>
  <c r="U714" i="17"/>
  <c r="V714" i="17"/>
  <c r="W714" i="17"/>
  <c r="X714" i="17"/>
  <c r="Y714" i="17"/>
  <c r="Z714" i="17"/>
  <c r="AA714" i="17"/>
  <c r="AB714" i="17"/>
  <c r="AC714" i="17"/>
  <c r="AD714" i="17"/>
  <c r="C715" i="17"/>
  <c r="D715" i="17"/>
  <c r="E715" i="17"/>
  <c r="F715" i="17"/>
  <c r="G715" i="17"/>
  <c r="H715" i="17"/>
  <c r="I715" i="17"/>
  <c r="J715" i="17"/>
  <c r="K715" i="17"/>
  <c r="L715" i="17"/>
  <c r="M715" i="17"/>
  <c r="N715" i="17"/>
  <c r="O715" i="17"/>
  <c r="P715" i="17"/>
  <c r="Q715" i="17"/>
  <c r="R715" i="17"/>
  <c r="S715" i="17"/>
  <c r="T715" i="17"/>
  <c r="U715" i="17"/>
  <c r="V715" i="17"/>
  <c r="W715" i="17"/>
  <c r="X715" i="17"/>
  <c r="Y715" i="17"/>
  <c r="Z715" i="17"/>
  <c r="AA715" i="17"/>
  <c r="AB715" i="17"/>
  <c r="AC715" i="17"/>
  <c r="AD715" i="17"/>
  <c r="C716" i="17"/>
  <c r="D716" i="17"/>
  <c r="E716" i="17"/>
  <c r="F716" i="17"/>
  <c r="G716" i="17"/>
  <c r="H716" i="17"/>
  <c r="I716" i="17"/>
  <c r="J716" i="17"/>
  <c r="K716" i="17"/>
  <c r="L716" i="17"/>
  <c r="M716" i="17"/>
  <c r="N716" i="17"/>
  <c r="O716" i="17"/>
  <c r="P716" i="17"/>
  <c r="Q716" i="17"/>
  <c r="R716" i="17"/>
  <c r="S716" i="17"/>
  <c r="T716" i="17"/>
  <c r="U716" i="17"/>
  <c r="V716" i="17"/>
  <c r="W716" i="17"/>
  <c r="X716" i="17"/>
  <c r="Y716" i="17"/>
  <c r="Z716" i="17"/>
  <c r="AA716" i="17"/>
  <c r="AB716" i="17"/>
  <c r="AC716" i="17"/>
  <c r="AD716" i="17"/>
  <c r="C717" i="17"/>
  <c r="D717" i="17"/>
  <c r="E717" i="17"/>
  <c r="F717" i="17"/>
  <c r="G717" i="17"/>
  <c r="H717" i="17"/>
  <c r="I717" i="17"/>
  <c r="J717" i="17"/>
  <c r="K717" i="17"/>
  <c r="L717" i="17"/>
  <c r="M717" i="17"/>
  <c r="N717" i="17"/>
  <c r="O717" i="17"/>
  <c r="P717" i="17"/>
  <c r="Q717" i="17"/>
  <c r="R717" i="17"/>
  <c r="S717" i="17"/>
  <c r="T717" i="17"/>
  <c r="U717" i="17"/>
  <c r="V717" i="17"/>
  <c r="W717" i="17"/>
  <c r="X717" i="17"/>
  <c r="Y717" i="17"/>
  <c r="Z717" i="17"/>
  <c r="AA717" i="17"/>
  <c r="AB717" i="17"/>
  <c r="AC717" i="17"/>
  <c r="AD717" i="17"/>
  <c r="C718" i="17"/>
  <c r="D718" i="17"/>
  <c r="E718" i="17"/>
  <c r="F718" i="17"/>
  <c r="G718" i="17"/>
  <c r="H718" i="17"/>
  <c r="I718" i="17"/>
  <c r="J718" i="17"/>
  <c r="K718" i="17"/>
  <c r="L718" i="17"/>
  <c r="M718" i="17"/>
  <c r="N718" i="17"/>
  <c r="O718" i="17"/>
  <c r="P718" i="17"/>
  <c r="Q718" i="17"/>
  <c r="R718" i="17"/>
  <c r="S718" i="17"/>
  <c r="T718" i="17"/>
  <c r="U718" i="17"/>
  <c r="V718" i="17"/>
  <c r="W718" i="17"/>
  <c r="X718" i="17"/>
  <c r="Y718" i="17"/>
  <c r="Z718" i="17"/>
  <c r="AA718" i="17"/>
  <c r="AB718" i="17"/>
  <c r="AC718" i="17"/>
  <c r="AD718" i="17"/>
  <c r="C719" i="17"/>
  <c r="D719" i="17"/>
  <c r="E719" i="17"/>
  <c r="F719" i="17"/>
  <c r="G719" i="17"/>
  <c r="H719" i="17"/>
  <c r="I719" i="17"/>
  <c r="J719" i="17"/>
  <c r="K719" i="17"/>
  <c r="L719" i="17"/>
  <c r="M719" i="17"/>
  <c r="N719" i="17"/>
  <c r="O719" i="17"/>
  <c r="P719" i="17"/>
  <c r="Q719" i="17"/>
  <c r="R719" i="17"/>
  <c r="S719" i="17"/>
  <c r="T719" i="17"/>
  <c r="U719" i="17"/>
  <c r="V719" i="17"/>
  <c r="W719" i="17"/>
  <c r="X719" i="17"/>
  <c r="Y719" i="17"/>
  <c r="Z719" i="17"/>
  <c r="AA719" i="17"/>
  <c r="AB719" i="17"/>
  <c r="AC719" i="17"/>
  <c r="AD719" i="17"/>
  <c r="C720" i="17"/>
  <c r="D720" i="17"/>
  <c r="E720" i="17"/>
  <c r="F720" i="17"/>
  <c r="G720" i="17"/>
  <c r="H720" i="17"/>
  <c r="I720" i="17"/>
  <c r="J720" i="17"/>
  <c r="K720" i="17"/>
  <c r="L720" i="17"/>
  <c r="M720" i="17"/>
  <c r="N720" i="17"/>
  <c r="O720" i="17"/>
  <c r="P720" i="17"/>
  <c r="Q720" i="17"/>
  <c r="R720" i="17"/>
  <c r="S720" i="17"/>
  <c r="T720" i="17"/>
  <c r="U720" i="17"/>
  <c r="V720" i="17"/>
  <c r="W720" i="17"/>
  <c r="X720" i="17"/>
  <c r="Y720" i="17"/>
  <c r="Z720" i="17"/>
  <c r="AA720" i="17"/>
  <c r="AB720" i="17"/>
  <c r="AC720" i="17"/>
  <c r="AD720" i="17"/>
  <c r="C721" i="17"/>
  <c r="D721" i="17"/>
  <c r="E721" i="17"/>
  <c r="F721" i="17"/>
  <c r="G721" i="17"/>
  <c r="H721" i="17"/>
  <c r="I721" i="17"/>
  <c r="J721" i="17"/>
  <c r="K721" i="17"/>
  <c r="L721" i="17"/>
  <c r="M721" i="17"/>
  <c r="N721" i="17"/>
  <c r="O721" i="17"/>
  <c r="P721" i="17"/>
  <c r="Q721" i="17"/>
  <c r="R721" i="17"/>
  <c r="S721" i="17"/>
  <c r="T721" i="17"/>
  <c r="U721" i="17"/>
  <c r="V721" i="17"/>
  <c r="W721" i="17"/>
  <c r="X721" i="17"/>
  <c r="Y721" i="17"/>
  <c r="Z721" i="17"/>
  <c r="AA721" i="17"/>
  <c r="AB721" i="17"/>
  <c r="AC721" i="17"/>
  <c r="AD721" i="17"/>
  <c r="C722" i="17"/>
  <c r="D722" i="17"/>
  <c r="E722" i="17"/>
  <c r="F722" i="17"/>
  <c r="G722" i="17"/>
  <c r="H722" i="17"/>
  <c r="I722" i="17"/>
  <c r="J722" i="17"/>
  <c r="K722" i="17"/>
  <c r="L722" i="17"/>
  <c r="M722" i="17"/>
  <c r="N722" i="17"/>
  <c r="O722" i="17"/>
  <c r="P722" i="17"/>
  <c r="Q722" i="17"/>
  <c r="R722" i="17"/>
  <c r="S722" i="17"/>
  <c r="T722" i="17"/>
  <c r="U722" i="17"/>
  <c r="V722" i="17"/>
  <c r="W722" i="17"/>
  <c r="X722" i="17"/>
  <c r="Y722" i="17"/>
  <c r="Z722" i="17"/>
  <c r="AA722" i="17"/>
  <c r="AB722" i="17"/>
  <c r="AC722" i="17"/>
  <c r="AD722" i="17"/>
  <c r="C723" i="17"/>
  <c r="D723" i="17"/>
  <c r="E723" i="17"/>
  <c r="F723" i="17"/>
  <c r="G723" i="17"/>
  <c r="H723" i="17"/>
  <c r="I723" i="17"/>
  <c r="J723" i="17"/>
  <c r="K723" i="17"/>
  <c r="L723" i="17"/>
  <c r="M723" i="17"/>
  <c r="N723" i="17"/>
  <c r="O723" i="17"/>
  <c r="P723" i="17"/>
  <c r="Q723" i="17"/>
  <c r="R723" i="17"/>
  <c r="S723" i="17"/>
  <c r="T723" i="17"/>
  <c r="U723" i="17"/>
  <c r="V723" i="17"/>
  <c r="W723" i="17"/>
  <c r="X723" i="17"/>
  <c r="Y723" i="17"/>
  <c r="Z723" i="17"/>
  <c r="AA723" i="17"/>
  <c r="AB723" i="17"/>
  <c r="AC723" i="17"/>
  <c r="AD723" i="17"/>
  <c r="C724" i="17"/>
  <c r="D724" i="17"/>
  <c r="E724" i="17"/>
  <c r="F724" i="17"/>
  <c r="G724" i="17"/>
  <c r="H724" i="17"/>
  <c r="I724" i="17"/>
  <c r="J724" i="17"/>
  <c r="K724" i="17"/>
  <c r="L724" i="17"/>
  <c r="M724" i="17"/>
  <c r="N724" i="17"/>
  <c r="O724" i="17"/>
  <c r="P724" i="17"/>
  <c r="Q724" i="17"/>
  <c r="R724" i="17"/>
  <c r="S724" i="17"/>
  <c r="T724" i="17"/>
  <c r="U724" i="17"/>
  <c r="V724" i="17"/>
  <c r="W724" i="17"/>
  <c r="X724" i="17"/>
  <c r="Y724" i="17"/>
  <c r="Z724" i="17"/>
  <c r="AA724" i="17"/>
  <c r="AB724" i="17"/>
  <c r="AC724" i="17"/>
  <c r="AD724" i="17"/>
  <c r="C725" i="17"/>
  <c r="D725" i="17"/>
  <c r="E725" i="17"/>
  <c r="F725" i="17"/>
  <c r="G725" i="17"/>
  <c r="H725" i="17"/>
  <c r="I725" i="17"/>
  <c r="J725" i="17"/>
  <c r="K725" i="17"/>
  <c r="L725" i="17"/>
  <c r="M725" i="17"/>
  <c r="N725" i="17"/>
  <c r="O725" i="17"/>
  <c r="P725" i="17"/>
  <c r="Q725" i="17"/>
  <c r="R725" i="17"/>
  <c r="S725" i="17"/>
  <c r="T725" i="17"/>
  <c r="U725" i="17"/>
  <c r="V725" i="17"/>
  <c r="W725" i="17"/>
  <c r="X725" i="17"/>
  <c r="Y725" i="17"/>
  <c r="Z725" i="17"/>
  <c r="AA725" i="17"/>
  <c r="AB725" i="17"/>
  <c r="AC725" i="17"/>
  <c r="AD725" i="17"/>
  <c r="C726" i="17"/>
  <c r="D726" i="17"/>
  <c r="E726" i="17"/>
  <c r="F726" i="17"/>
  <c r="G726" i="17"/>
  <c r="H726" i="17"/>
  <c r="I726" i="17"/>
  <c r="J726" i="17"/>
  <c r="K726" i="17"/>
  <c r="L726" i="17"/>
  <c r="M726" i="17"/>
  <c r="N726" i="17"/>
  <c r="O726" i="17"/>
  <c r="P726" i="17"/>
  <c r="Q726" i="17"/>
  <c r="R726" i="17"/>
  <c r="S726" i="17"/>
  <c r="T726" i="17"/>
  <c r="U726" i="17"/>
  <c r="V726" i="17"/>
  <c r="W726" i="17"/>
  <c r="X726" i="17"/>
  <c r="Y726" i="17"/>
  <c r="Z726" i="17"/>
  <c r="AA726" i="17"/>
  <c r="AB726" i="17"/>
  <c r="AC726" i="17"/>
  <c r="AD726" i="17"/>
  <c r="C727" i="17"/>
  <c r="D727" i="17"/>
  <c r="E727" i="17"/>
  <c r="F727" i="17"/>
  <c r="G727" i="17"/>
  <c r="H727" i="17"/>
  <c r="I727" i="17"/>
  <c r="J727" i="17"/>
  <c r="K727" i="17"/>
  <c r="L727" i="17"/>
  <c r="M727" i="17"/>
  <c r="N727" i="17"/>
  <c r="O727" i="17"/>
  <c r="P727" i="17"/>
  <c r="Q727" i="17"/>
  <c r="R727" i="17"/>
  <c r="S727" i="17"/>
  <c r="T727" i="17"/>
  <c r="U727" i="17"/>
  <c r="V727" i="17"/>
  <c r="W727" i="17"/>
  <c r="X727" i="17"/>
  <c r="Y727" i="17"/>
  <c r="Z727" i="17"/>
  <c r="AA727" i="17"/>
  <c r="AB727" i="17"/>
  <c r="AC727" i="17"/>
  <c r="AD727" i="17"/>
  <c r="C728" i="17"/>
  <c r="D728" i="17"/>
  <c r="E728" i="17"/>
  <c r="F728" i="17"/>
  <c r="G728" i="17"/>
  <c r="H728" i="17"/>
  <c r="I728" i="17"/>
  <c r="J728" i="17"/>
  <c r="K728" i="17"/>
  <c r="L728" i="17"/>
  <c r="M728" i="17"/>
  <c r="N728" i="17"/>
  <c r="O728" i="17"/>
  <c r="P728" i="17"/>
  <c r="Q728" i="17"/>
  <c r="R728" i="17"/>
  <c r="S728" i="17"/>
  <c r="T728" i="17"/>
  <c r="U728" i="17"/>
  <c r="V728" i="17"/>
  <c r="W728" i="17"/>
  <c r="X728" i="17"/>
  <c r="Y728" i="17"/>
  <c r="Z728" i="17"/>
  <c r="AA728" i="17"/>
  <c r="AB728" i="17"/>
  <c r="AC728" i="17"/>
  <c r="AD728" i="17"/>
  <c r="C729" i="17"/>
  <c r="D729" i="17"/>
  <c r="E729" i="17"/>
  <c r="F729" i="17"/>
  <c r="G729" i="17"/>
  <c r="H729" i="17"/>
  <c r="I729" i="17"/>
  <c r="J729" i="17"/>
  <c r="K729" i="17"/>
  <c r="L729" i="17"/>
  <c r="M729" i="17"/>
  <c r="N729" i="17"/>
  <c r="O729" i="17"/>
  <c r="P729" i="17"/>
  <c r="Q729" i="17"/>
  <c r="R729" i="17"/>
  <c r="S729" i="17"/>
  <c r="T729" i="17"/>
  <c r="U729" i="17"/>
  <c r="V729" i="17"/>
  <c r="W729" i="17"/>
  <c r="X729" i="17"/>
  <c r="Y729" i="17"/>
  <c r="Z729" i="17"/>
  <c r="AA729" i="17"/>
  <c r="AB729" i="17"/>
  <c r="AC729" i="17"/>
  <c r="AD729" i="17"/>
  <c r="C730" i="17"/>
  <c r="D730" i="17"/>
  <c r="E730" i="17"/>
  <c r="F730" i="17"/>
  <c r="G730" i="17"/>
  <c r="H730" i="17"/>
  <c r="I730" i="17"/>
  <c r="J730" i="17"/>
  <c r="K730" i="17"/>
  <c r="L730" i="17"/>
  <c r="M730" i="17"/>
  <c r="N730" i="17"/>
  <c r="O730" i="17"/>
  <c r="P730" i="17"/>
  <c r="Q730" i="17"/>
  <c r="R730" i="17"/>
  <c r="S730" i="17"/>
  <c r="T730" i="17"/>
  <c r="U730" i="17"/>
  <c r="V730" i="17"/>
  <c r="W730" i="17"/>
  <c r="X730" i="17"/>
  <c r="Y730" i="17"/>
  <c r="Z730" i="17"/>
  <c r="AA730" i="17"/>
  <c r="AB730" i="17"/>
  <c r="AC730" i="17"/>
  <c r="AD730" i="17"/>
  <c r="C731" i="17"/>
  <c r="D731" i="17"/>
  <c r="E731" i="17"/>
  <c r="F731" i="17"/>
  <c r="G731" i="17"/>
  <c r="H731" i="17"/>
  <c r="I731" i="17"/>
  <c r="J731" i="17"/>
  <c r="K731" i="17"/>
  <c r="L731" i="17"/>
  <c r="M731" i="17"/>
  <c r="N731" i="17"/>
  <c r="O731" i="17"/>
  <c r="P731" i="17"/>
  <c r="Q731" i="17"/>
  <c r="R731" i="17"/>
  <c r="S731" i="17"/>
  <c r="T731" i="17"/>
  <c r="U731" i="17"/>
  <c r="V731" i="17"/>
  <c r="W731" i="17"/>
  <c r="X731" i="17"/>
  <c r="Y731" i="17"/>
  <c r="Z731" i="17"/>
  <c r="AA731" i="17"/>
  <c r="AB731" i="17"/>
  <c r="AC731" i="17"/>
  <c r="AD731" i="17"/>
  <c r="C732" i="17"/>
  <c r="D732" i="17"/>
  <c r="E732" i="17"/>
  <c r="F732" i="17"/>
  <c r="G732" i="17"/>
  <c r="H732" i="17"/>
  <c r="I732" i="17"/>
  <c r="J732" i="17"/>
  <c r="K732" i="17"/>
  <c r="L732" i="17"/>
  <c r="M732" i="17"/>
  <c r="N732" i="17"/>
  <c r="O732" i="17"/>
  <c r="P732" i="17"/>
  <c r="Q732" i="17"/>
  <c r="R732" i="17"/>
  <c r="S732" i="17"/>
  <c r="T732" i="17"/>
  <c r="U732" i="17"/>
  <c r="V732" i="17"/>
  <c r="W732" i="17"/>
  <c r="X732" i="17"/>
  <c r="Y732" i="17"/>
  <c r="Z732" i="17"/>
  <c r="AA732" i="17"/>
  <c r="AB732" i="17"/>
  <c r="AC732" i="17"/>
  <c r="AD732" i="17"/>
  <c r="C733" i="17"/>
  <c r="D733" i="17"/>
  <c r="E733" i="17"/>
  <c r="F733" i="17"/>
  <c r="G733" i="17"/>
  <c r="H733" i="17"/>
  <c r="I733" i="17"/>
  <c r="J733" i="17"/>
  <c r="K733" i="17"/>
  <c r="L733" i="17"/>
  <c r="M733" i="17"/>
  <c r="N733" i="17"/>
  <c r="O733" i="17"/>
  <c r="P733" i="17"/>
  <c r="Q733" i="17"/>
  <c r="R733" i="17"/>
  <c r="S733" i="17"/>
  <c r="T733" i="17"/>
  <c r="U733" i="17"/>
  <c r="V733" i="17"/>
  <c r="W733" i="17"/>
  <c r="X733" i="17"/>
  <c r="Y733" i="17"/>
  <c r="Z733" i="17"/>
  <c r="AA733" i="17"/>
  <c r="AB733" i="17"/>
  <c r="AC733" i="17"/>
  <c r="AD733" i="17"/>
  <c r="C734" i="17"/>
  <c r="D734" i="17"/>
  <c r="E734" i="17"/>
  <c r="F734" i="17"/>
  <c r="G734" i="17"/>
  <c r="H734" i="17"/>
  <c r="I734" i="17"/>
  <c r="J734" i="17"/>
  <c r="K734" i="17"/>
  <c r="L734" i="17"/>
  <c r="M734" i="17"/>
  <c r="N734" i="17"/>
  <c r="O734" i="17"/>
  <c r="P734" i="17"/>
  <c r="Q734" i="17"/>
  <c r="R734" i="17"/>
  <c r="S734" i="17"/>
  <c r="T734" i="17"/>
  <c r="U734" i="17"/>
  <c r="V734" i="17"/>
  <c r="W734" i="17"/>
  <c r="X734" i="17"/>
  <c r="Y734" i="17"/>
  <c r="Z734" i="17"/>
  <c r="AA734" i="17"/>
  <c r="AB734" i="17"/>
  <c r="AC734" i="17"/>
  <c r="AD734" i="17"/>
  <c r="C735" i="17"/>
  <c r="D735" i="17"/>
  <c r="E735" i="17"/>
  <c r="F735" i="17"/>
  <c r="G735" i="17"/>
  <c r="H735" i="17"/>
  <c r="I735" i="17"/>
  <c r="J735" i="17"/>
  <c r="K735" i="17"/>
  <c r="L735" i="17"/>
  <c r="M735" i="17"/>
  <c r="N735" i="17"/>
  <c r="O735" i="17"/>
  <c r="P735" i="17"/>
  <c r="Q735" i="17"/>
  <c r="R735" i="17"/>
  <c r="S735" i="17"/>
  <c r="T735" i="17"/>
  <c r="U735" i="17"/>
  <c r="V735" i="17"/>
  <c r="W735" i="17"/>
  <c r="X735" i="17"/>
  <c r="Y735" i="17"/>
  <c r="Z735" i="17"/>
  <c r="AA735" i="17"/>
  <c r="AB735" i="17"/>
  <c r="AC735" i="17"/>
  <c r="AD735" i="17"/>
  <c r="C736" i="17"/>
  <c r="D736" i="17"/>
  <c r="E736" i="17"/>
  <c r="F736" i="17"/>
  <c r="G736" i="17"/>
  <c r="H736" i="17"/>
  <c r="I736" i="17"/>
  <c r="J736" i="17"/>
  <c r="K736" i="17"/>
  <c r="L736" i="17"/>
  <c r="M736" i="17"/>
  <c r="N736" i="17"/>
  <c r="O736" i="17"/>
  <c r="P736" i="17"/>
  <c r="Q736" i="17"/>
  <c r="R736" i="17"/>
  <c r="S736" i="17"/>
  <c r="T736" i="17"/>
  <c r="U736" i="17"/>
  <c r="V736" i="17"/>
  <c r="W736" i="17"/>
  <c r="X736" i="17"/>
  <c r="Y736" i="17"/>
  <c r="Z736" i="17"/>
  <c r="AA736" i="17"/>
  <c r="AB736" i="17"/>
  <c r="AC736" i="17"/>
  <c r="AD736" i="17"/>
  <c r="C737" i="17"/>
  <c r="D737" i="17"/>
  <c r="E737" i="17"/>
  <c r="F737" i="17"/>
  <c r="G737" i="17"/>
  <c r="H737" i="17"/>
  <c r="I737" i="17"/>
  <c r="J737" i="17"/>
  <c r="K737" i="17"/>
  <c r="L737" i="17"/>
  <c r="M737" i="17"/>
  <c r="N737" i="17"/>
  <c r="O737" i="17"/>
  <c r="P737" i="17"/>
  <c r="Q737" i="17"/>
  <c r="R737" i="17"/>
  <c r="S737" i="17"/>
  <c r="T737" i="17"/>
  <c r="U737" i="17"/>
  <c r="V737" i="17"/>
  <c r="W737" i="17"/>
  <c r="X737" i="17"/>
  <c r="Y737" i="17"/>
  <c r="Z737" i="17"/>
  <c r="AA737" i="17"/>
  <c r="AB737" i="17"/>
  <c r="AC737" i="17"/>
  <c r="AD737" i="17"/>
  <c r="C738" i="17"/>
  <c r="D738" i="17"/>
  <c r="E738" i="17"/>
  <c r="F738" i="17"/>
  <c r="G738" i="17"/>
  <c r="H738" i="17"/>
  <c r="I738" i="17"/>
  <c r="J738" i="17"/>
  <c r="K738" i="17"/>
  <c r="L738" i="17"/>
  <c r="M738" i="17"/>
  <c r="N738" i="17"/>
  <c r="O738" i="17"/>
  <c r="P738" i="17"/>
  <c r="Q738" i="17"/>
  <c r="R738" i="17"/>
  <c r="S738" i="17"/>
  <c r="T738" i="17"/>
  <c r="U738" i="17"/>
  <c r="V738" i="17"/>
  <c r="W738" i="17"/>
  <c r="X738" i="17"/>
  <c r="Y738" i="17"/>
  <c r="Z738" i="17"/>
  <c r="AA738" i="17"/>
  <c r="AB738" i="17"/>
  <c r="AC738" i="17"/>
  <c r="AD738" i="17"/>
  <c r="C739" i="17"/>
  <c r="D739" i="17"/>
  <c r="E739" i="17"/>
  <c r="F739" i="17"/>
  <c r="G739" i="17"/>
  <c r="H739" i="17"/>
  <c r="I739" i="17"/>
  <c r="J739" i="17"/>
  <c r="K739" i="17"/>
  <c r="L739" i="17"/>
  <c r="M739" i="17"/>
  <c r="N739" i="17"/>
  <c r="O739" i="17"/>
  <c r="P739" i="17"/>
  <c r="Q739" i="17"/>
  <c r="R739" i="17"/>
  <c r="S739" i="17"/>
  <c r="T739" i="17"/>
  <c r="U739" i="17"/>
  <c r="V739" i="17"/>
  <c r="W739" i="17"/>
  <c r="X739" i="17"/>
  <c r="Y739" i="17"/>
  <c r="Z739" i="17"/>
  <c r="AA739" i="17"/>
  <c r="AB739" i="17"/>
  <c r="AC739" i="17"/>
  <c r="AD739" i="17"/>
  <c r="C740" i="17"/>
  <c r="D740" i="17"/>
  <c r="E740" i="17"/>
  <c r="F740" i="17"/>
  <c r="G740" i="17"/>
  <c r="H740" i="17"/>
  <c r="I740" i="17"/>
  <c r="J740" i="17"/>
  <c r="K740" i="17"/>
  <c r="L740" i="17"/>
  <c r="M740" i="17"/>
  <c r="N740" i="17"/>
  <c r="O740" i="17"/>
  <c r="P740" i="17"/>
  <c r="Q740" i="17"/>
  <c r="R740" i="17"/>
  <c r="S740" i="17"/>
  <c r="T740" i="17"/>
  <c r="U740" i="17"/>
  <c r="V740" i="17"/>
  <c r="W740" i="17"/>
  <c r="X740" i="17"/>
  <c r="Y740" i="17"/>
  <c r="Z740" i="17"/>
  <c r="AA740" i="17"/>
  <c r="AB740" i="17"/>
  <c r="AC740" i="17"/>
  <c r="AD740" i="17"/>
  <c r="C741" i="17"/>
  <c r="D741" i="17"/>
  <c r="E741" i="17"/>
  <c r="F741" i="17"/>
  <c r="G741" i="17"/>
  <c r="H741" i="17"/>
  <c r="I741" i="17"/>
  <c r="J741" i="17"/>
  <c r="K741" i="17"/>
  <c r="L741" i="17"/>
  <c r="M741" i="17"/>
  <c r="N741" i="17"/>
  <c r="O741" i="17"/>
  <c r="P741" i="17"/>
  <c r="Q741" i="17"/>
  <c r="R741" i="17"/>
  <c r="S741" i="17"/>
  <c r="T741" i="17"/>
  <c r="U741" i="17"/>
  <c r="V741" i="17"/>
  <c r="W741" i="17"/>
  <c r="X741" i="17"/>
  <c r="Y741" i="17"/>
  <c r="Z741" i="17"/>
  <c r="AA741" i="17"/>
  <c r="AB741" i="17"/>
  <c r="AC741" i="17"/>
  <c r="AD741" i="17"/>
  <c r="C742" i="17"/>
  <c r="D742" i="17"/>
  <c r="E742" i="17"/>
  <c r="F742" i="17"/>
  <c r="G742" i="17"/>
  <c r="H742" i="17"/>
  <c r="I742" i="17"/>
  <c r="J742" i="17"/>
  <c r="K742" i="17"/>
  <c r="L742" i="17"/>
  <c r="M742" i="17"/>
  <c r="N742" i="17"/>
  <c r="O742" i="17"/>
  <c r="P742" i="17"/>
  <c r="Q742" i="17"/>
  <c r="R742" i="17"/>
  <c r="S742" i="17"/>
  <c r="T742" i="17"/>
  <c r="U742" i="17"/>
  <c r="V742" i="17"/>
  <c r="W742" i="17"/>
  <c r="X742" i="17"/>
  <c r="Y742" i="17"/>
  <c r="Z742" i="17"/>
  <c r="AA742" i="17"/>
  <c r="AB742" i="17"/>
  <c r="AC742" i="17"/>
  <c r="AD742" i="17"/>
  <c r="C743" i="17"/>
  <c r="D743" i="17"/>
  <c r="E743" i="17"/>
  <c r="F743" i="17"/>
  <c r="G743" i="17"/>
  <c r="H743" i="17"/>
  <c r="I743" i="17"/>
  <c r="J743" i="17"/>
  <c r="K743" i="17"/>
  <c r="L743" i="17"/>
  <c r="M743" i="17"/>
  <c r="N743" i="17"/>
  <c r="O743" i="17"/>
  <c r="P743" i="17"/>
  <c r="Q743" i="17"/>
  <c r="R743" i="17"/>
  <c r="S743" i="17"/>
  <c r="T743" i="17"/>
  <c r="U743" i="17"/>
  <c r="V743" i="17"/>
  <c r="W743" i="17"/>
  <c r="X743" i="17"/>
  <c r="Y743" i="17"/>
  <c r="Z743" i="17"/>
  <c r="AA743" i="17"/>
  <c r="AB743" i="17"/>
  <c r="AC743" i="17"/>
  <c r="AD743" i="17"/>
  <c r="C744" i="17"/>
  <c r="D744" i="17"/>
  <c r="E744" i="17"/>
  <c r="F744" i="17"/>
  <c r="G744" i="17"/>
  <c r="H744" i="17"/>
  <c r="I744" i="17"/>
  <c r="J744" i="17"/>
  <c r="K744" i="17"/>
  <c r="L744" i="17"/>
  <c r="M744" i="17"/>
  <c r="N744" i="17"/>
  <c r="O744" i="17"/>
  <c r="P744" i="17"/>
  <c r="Q744" i="17"/>
  <c r="R744" i="17"/>
  <c r="S744" i="17"/>
  <c r="T744" i="17"/>
  <c r="U744" i="17"/>
  <c r="V744" i="17"/>
  <c r="W744" i="17"/>
  <c r="X744" i="17"/>
  <c r="Y744" i="17"/>
  <c r="Z744" i="17"/>
  <c r="AA744" i="17"/>
  <c r="AB744" i="17"/>
  <c r="AC744" i="17"/>
  <c r="AD744" i="17"/>
  <c r="C745" i="17"/>
  <c r="D745" i="17"/>
  <c r="E745" i="17"/>
  <c r="F745" i="17"/>
  <c r="G745" i="17"/>
  <c r="H745" i="17"/>
  <c r="I745" i="17"/>
  <c r="J745" i="17"/>
  <c r="K745" i="17"/>
  <c r="L745" i="17"/>
  <c r="M745" i="17"/>
  <c r="N745" i="17"/>
  <c r="O745" i="17"/>
  <c r="P745" i="17"/>
  <c r="Q745" i="17"/>
  <c r="R745" i="17"/>
  <c r="S745" i="17"/>
  <c r="T745" i="17"/>
  <c r="U745" i="17"/>
  <c r="V745" i="17"/>
  <c r="W745" i="17"/>
  <c r="X745" i="17"/>
  <c r="Y745" i="17"/>
  <c r="Z745" i="17"/>
  <c r="AA745" i="17"/>
  <c r="AB745" i="17"/>
  <c r="AC745" i="17"/>
  <c r="AD745" i="17"/>
  <c r="C746" i="17"/>
  <c r="D746" i="17"/>
  <c r="E746" i="17"/>
  <c r="F746" i="17"/>
  <c r="G746" i="17"/>
  <c r="H746" i="17"/>
  <c r="I746" i="17"/>
  <c r="J746" i="17"/>
  <c r="K746" i="17"/>
  <c r="L746" i="17"/>
  <c r="M746" i="17"/>
  <c r="N746" i="17"/>
  <c r="O746" i="17"/>
  <c r="P746" i="17"/>
  <c r="Q746" i="17"/>
  <c r="R746" i="17"/>
  <c r="S746" i="17"/>
  <c r="T746" i="17"/>
  <c r="U746" i="17"/>
  <c r="V746" i="17"/>
  <c r="W746" i="17"/>
  <c r="X746" i="17"/>
  <c r="Y746" i="17"/>
  <c r="Z746" i="17"/>
  <c r="AA746" i="17"/>
  <c r="AB746" i="17"/>
  <c r="AC746" i="17"/>
  <c r="AD746" i="17"/>
  <c r="C747" i="17"/>
  <c r="D747" i="17"/>
  <c r="E747" i="17"/>
  <c r="F747" i="17"/>
  <c r="G747" i="17"/>
  <c r="H747" i="17"/>
  <c r="I747" i="17"/>
  <c r="J747" i="17"/>
  <c r="K747" i="17"/>
  <c r="L747" i="17"/>
  <c r="M747" i="17"/>
  <c r="N747" i="17"/>
  <c r="O747" i="17"/>
  <c r="P747" i="17"/>
  <c r="Q747" i="17"/>
  <c r="R747" i="17"/>
  <c r="S747" i="17"/>
  <c r="T747" i="17"/>
  <c r="U747" i="17"/>
  <c r="V747" i="17"/>
  <c r="W747" i="17"/>
  <c r="X747" i="17"/>
  <c r="Y747" i="17"/>
  <c r="Z747" i="17"/>
  <c r="AA747" i="17"/>
  <c r="AB747" i="17"/>
  <c r="AC747" i="17"/>
  <c r="AD747" i="17"/>
  <c r="C748" i="17"/>
  <c r="D748" i="17"/>
  <c r="E748" i="17"/>
  <c r="F748" i="17"/>
  <c r="G748" i="17"/>
  <c r="H748" i="17"/>
  <c r="I748" i="17"/>
  <c r="J748" i="17"/>
  <c r="K748" i="17"/>
  <c r="L748" i="17"/>
  <c r="M748" i="17"/>
  <c r="N748" i="17"/>
  <c r="O748" i="17"/>
  <c r="P748" i="17"/>
  <c r="Q748" i="17"/>
  <c r="R748" i="17"/>
  <c r="S748" i="17"/>
  <c r="T748" i="17"/>
  <c r="U748" i="17"/>
  <c r="V748" i="17"/>
  <c r="W748" i="17"/>
  <c r="X748" i="17"/>
  <c r="Y748" i="17"/>
  <c r="Z748" i="17"/>
  <c r="AA748" i="17"/>
  <c r="AB748" i="17"/>
  <c r="AC748" i="17"/>
  <c r="AD748" i="17"/>
  <c r="C749" i="17"/>
  <c r="D749" i="17"/>
  <c r="E749" i="17"/>
  <c r="F749" i="17"/>
  <c r="G749" i="17"/>
  <c r="H749" i="17"/>
  <c r="I749" i="17"/>
  <c r="J749" i="17"/>
  <c r="K749" i="17"/>
  <c r="L749" i="17"/>
  <c r="M749" i="17"/>
  <c r="N749" i="17"/>
  <c r="O749" i="17"/>
  <c r="P749" i="17"/>
  <c r="Q749" i="17"/>
  <c r="R749" i="17"/>
  <c r="S749" i="17"/>
  <c r="T749" i="17"/>
  <c r="U749" i="17"/>
  <c r="V749" i="17"/>
  <c r="W749" i="17"/>
  <c r="X749" i="17"/>
  <c r="Y749" i="17"/>
  <c r="Z749" i="17"/>
  <c r="AA749" i="17"/>
  <c r="AB749" i="17"/>
  <c r="AC749" i="17"/>
  <c r="AD749" i="17"/>
  <c r="C750" i="17"/>
  <c r="D750" i="17"/>
  <c r="E750" i="17"/>
  <c r="F750" i="17"/>
  <c r="G750" i="17"/>
  <c r="H750" i="17"/>
  <c r="I750" i="17"/>
  <c r="J750" i="17"/>
  <c r="K750" i="17"/>
  <c r="L750" i="17"/>
  <c r="M750" i="17"/>
  <c r="N750" i="17"/>
  <c r="O750" i="17"/>
  <c r="P750" i="17"/>
  <c r="Q750" i="17"/>
  <c r="R750" i="17"/>
  <c r="S750" i="17"/>
  <c r="T750" i="17"/>
  <c r="U750" i="17"/>
  <c r="V750" i="17"/>
  <c r="W750" i="17"/>
  <c r="X750" i="17"/>
  <c r="Y750" i="17"/>
  <c r="Z750" i="17"/>
  <c r="AA750" i="17"/>
  <c r="AB750" i="17"/>
  <c r="AC750" i="17"/>
  <c r="AD750" i="17"/>
  <c r="C751" i="17"/>
  <c r="D751" i="17"/>
  <c r="E751" i="17"/>
  <c r="F751" i="17"/>
  <c r="G751" i="17"/>
  <c r="H751" i="17"/>
  <c r="I751" i="17"/>
  <c r="J751" i="17"/>
  <c r="K751" i="17"/>
  <c r="L751" i="17"/>
  <c r="M751" i="17"/>
  <c r="N751" i="17"/>
  <c r="O751" i="17"/>
  <c r="P751" i="17"/>
  <c r="Q751" i="17"/>
  <c r="R751" i="17"/>
  <c r="S751" i="17"/>
  <c r="T751" i="17"/>
  <c r="U751" i="17"/>
  <c r="V751" i="17"/>
  <c r="W751" i="17"/>
  <c r="X751" i="17"/>
  <c r="Y751" i="17"/>
  <c r="Z751" i="17"/>
  <c r="AA751" i="17"/>
  <c r="AB751" i="17"/>
  <c r="AC751" i="17"/>
  <c r="AD751" i="17"/>
  <c r="C752" i="17"/>
  <c r="D752" i="17"/>
  <c r="E752" i="17"/>
  <c r="F752" i="17"/>
  <c r="G752" i="17"/>
  <c r="H752" i="17"/>
  <c r="I752" i="17"/>
  <c r="J752" i="17"/>
  <c r="K752" i="17"/>
  <c r="L752" i="17"/>
  <c r="M752" i="17"/>
  <c r="N752" i="17"/>
  <c r="O752" i="17"/>
  <c r="P752" i="17"/>
  <c r="Q752" i="17"/>
  <c r="R752" i="17"/>
  <c r="S752" i="17"/>
  <c r="T752" i="17"/>
  <c r="U752" i="17"/>
  <c r="V752" i="17"/>
  <c r="W752" i="17"/>
  <c r="X752" i="17"/>
  <c r="Y752" i="17"/>
  <c r="Z752" i="17"/>
  <c r="AA752" i="17"/>
  <c r="AB752" i="17"/>
  <c r="AC752" i="17"/>
  <c r="AD752" i="17"/>
  <c r="C753" i="17"/>
  <c r="D753" i="17"/>
  <c r="E753" i="17"/>
  <c r="F753" i="17"/>
  <c r="G753" i="17"/>
  <c r="H753" i="17"/>
  <c r="I753" i="17"/>
  <c r="J753" i="17"/>
  <c r="K753" i="17"/>
  <c r="L753" i="17"/>
  <c r="M753" i="17"/>
  <c r="N753" i="17"/>
  <c r="O753" i="17"/>
  <c r="P753" i="17"/>
  <c r="Q753" i="17"/>
  <c r="R753" i="17"/>
  <c r="S753" i="17"/>
  <c r="T753" i="17"/>
  <c r="U753" i="17"/>
  <c r="V753" i="17"/>
  <c r="W753" i="17"/>
  <c r="X753" i="17"/>
  <c r="Y753" i="17"/>
  <c r="Z753" i="17"/>
  <c r="AA753" i="17"/>
  <c r="AB753" i="17"/>
  <c r="AC753" i="17"/>
  <c r="AD753" i="17"/>
  <c r="C754" i="17"/>
  <c r="D754" i="17"/>
  <c r="E754" i="17"/>
  <c r="F754" i="17"/>
  <c r="G754" i="17"/>
  <c r="H754" i="17"/>
  <c r="I754" i="17"/>
  <c r="J754" i="17"/>
  <c r="K754" i="17"/>
  <c r="L754" i="17"/>
  <c r="M754" i="17"/>
  <c r="N754" i="17"/>
  <c r="O754" i="17"/>
  <c r="P754" i="17"/>
  <c r="Q754" i="17"/>
  <c r="R754" i="17"/>
  <c r="S754" i="17"/>
  <c r="T754" i="17"/>
  <c r="U754" i="17"/>
  <c r="V754" i="17"/>
  <c r="W754" i="17"/>
  <c r="X754" i="17"/>
  <c r="Y754" i="17"/>
  <c r="Z754" i="17"/>
  <c r="AA754" i="17"/>
  <c r="AB754" i="17"/>
  <c r="AC754" i="17"/>
  <c r="AD754" i="17"/>
  <c r="C755" i="17"/>
  <c r="D755" i="17"/>
  <c r="E755" i="17"/>
  <c r="F755" i="17"/>
  <c r="G755" i="17"/>
  <c r="H755" i="17"/>
  <c r="I755" i="17"/>
  <c r="J755" i="17"/>
  <c r="K755" i="17"/>
  <c r="L755" i="17"/>
  <c r="M755" i="17"/>
  <c r="N755" i="17"/>
  <c r="O755" i="17"/>
  <c r="P755" i="17"/>
  <c r="Q755" i="17"/>
  <c r="R755" i="17"/>
  <c r="S755" i="17"/>
  <c r="T755" i="17"/>
  <c r="U755" i="17"/>
  <c r="V755" i="17"/>
  <c r="W755" i="17"/>
  <c r="X755" i="17"/>
  <c r="Y755" i="17"/>
  <c r="Z755" i="17"/>
  <c r="AA755" i="17"/>
  <c r="AB755" i="17"/>
  <c r="AC755" i="17"/>
  <c r="AD755" i="17"/>
  <c r="C756" i="17"/>
  <c r="D756" i="17"/>
  <c r="E756" i="17"/>
  <c r="F756" i="17"/>
  <c r="G756" i="17"/>
  <c r="H756" i="17"/>
  <c r="I756" i="17"/>
  <c r="J756" i="17"/>
  <c r="K756" i="17"/>
  <c r="L756" i="17"/>
  <c r="M756" i="17"/>
  <c r="N756" i="17"/>
  <c r="O756" i="17"/>
  <c r="P756" i="17"/>
  <c r="Q756" i="17"/>
  <c r="R756" i="17"/>
  <c r="S756" i="17"/>
  <c r="T756" i="17"/>
  <c r="U756" i="17"/>
  <c r="V756" i="17"/>
  <c r="W756" i="17"/>
  <c r="X756" i="17"/>
  <c r="Y756" i="17"/>
  <c r="Z756" i="17"/>
  <c r="AA756" i="17"/>
  <c r="AB756" i="17"/>
  <c r="AC756" i="17"/>
  <c r="AD756" i="17"/>
  <c r="C757" i="17"/>
  <c r="D757" i="17"/>
  <c r="E757" i="17"/>
  <c r="F757" i="17"/>
  <c r="G757" i="17"/>
  <c r="H757" i="17"/>
  <c r="I757" i="17"/>
  <c r="J757" i="17"/>
  <c r="K757" i="17"/>
  <c r="L757" i="17"/>
  <c r="M757" i="17"/>
  <c r="N757" i="17"/>
  <c r="O757" i="17"/>
  <c r="P757" i="17"/>
  <c r="Q757" i="17"/>
  <c r="R757" i="17"/>
  <c r="S757" i="17"/>
  <c r="T757" i="17"/>
  <c r="U757" i="17"/>
  <c r="V757" i="17"/>
  <c r="W757" i="17"/>
  <c r="X757" i="17"/>
  <c r="Y757" i="17"/>
  <c r="Z757" i="17"/>
  <c r="AA757" i="17"/>
  <c r="AB757" i="17"/>
  <c r="AC757" i="17"/>
  <c r="AD757" i="17"/>
  <c r="C758" i="17"/>
  <c r="D758" i="17"/>
  <c r="E758" i="17"/>
  <c r="F758" i="17"/>
  <c r="G758" i="17"/>
  <c r="H758" i="17"/>
  <c r="I758" i="17"/>
  <c r="J758" i="17"/>
  <c r="K758" i="17"/>
  <c r="L758" i="17"/>
  <c r="M758" i="17"/>
  <c r="N758" i="17"/>
  <c r="O758" i="17"/>
  <c r="P758" i="17"/>
  <c r="Q758" i="17"/>
  <c r="R758" i="17"/>
  <c r="S758" i="17"/>
  <c r="T758" i="17"/>
  <c r="U758" i="17"/>
  <c r="V758" i="17"/>
  <c r="W758" i="17"/>
  <c r="X758" i="17"/>
  <c r="Y758" i="17"/>
  <c r="Z758" i="17"/>
  <c r="AA758" i="17"/>
  <c r="AB758" i="17"/>
  <c r="AC758" i="17"/>
  <c r="AD758" i="17"/>
  <c r="C759" i="17"/>
  <c r="D759" i="17"/>
  <c r="E759" i="17"/>
  <c r="F759" i="17"/>
  <c r="G759" i="17"/>
  <c r="H759" i="17"/>
  <c r="I759" i="17"/>
  <c r="J759" i="17"/>
  <c r="K759" i="17"/>
  <c r="L759" i="17"/>
  <c r="M759" i="17"/>
  <c r="N759" i="17"/>
  <c r="O759" i="17"/>
  <c r="P759" i="17"/>
  <c r="Q759" i="17"/>
  <c r="R759" i="17"/>
  <c r="S759" i="17"/>
  <c r="T759" i="17"/>
  <c r="U759" i="17"/>
  <c r="V759" i="17"/>
  <c r="W759" i="17"/>
  <c r="X759" i="17"/>
  <c r="Y759" i="17"/>
  <c r="Z759" i="17"/>
  <c r="AA759" i="17"/>
  <c r="AB759" i="17"/>
  <c r="AC759" i="17"/>
  <c r="AD759" i="17"/>
  <c r="C760" i="17"/>
  <c r="D760" i="17"/>
  <c r="E760" i="17"/>
  <c r="F760" i="17"/>
  <c r="G760" i="17"/>
  <c r="H760" i="17"/>
  <c r="I760" i="17"/>
  <c r="J760" i="17"/>
  <c r="K760" i="17"/>
  <c r="L760" i="17"/>
  <c r="M760" i="17"/>
  <c r="N760" i="17"/>
  <c r="O760" i="17"/>
  <c r="P760" i="17"/>
  <c r="Q760" i="17"/>
  <c r="R760" i="17"/>
  <c r="S760" i="17"/>
  <c r="T760" i="17"/>
  <c r="U760" i="17"/>
  <c r="V760" i="17"/>
  <c r="W760" i="17"/>
  <c r="X760" i="17"/>
  <c r="Y760" i="17"/>
  <c r="Z760" i="17"/>
  <c r="AA760" i="17"/>
  <c r="AB760" i="17"/>
  <c r="AC760" i="17"/>
  <c r="AD760" i="17"/>
  <c r="C761" i="17"/>
  <c r="D761" i="17"/>
  <c r="E761" i="17"/>
  <c r="F761" i="17"/>
  <c r="G761" i="17"/>
  <c r="H761" i="17"/>
  <c r="I761" i="17"/>
  <c r="J761" i="17"/>
  <c r="K761" i="17"/>
  <c r="L761" i="17"/>
  <c r="M761" i="17"/>
  <c r="N761" i="17"/>
  <c r="O761" i="17"/>
  <c r="P761" i="17"/>
  <c r="Q761" i="17"/>
  <c r="R761" i="17"/>
  <c r="S761" i="17"/>
  <c r="T761" i="17"/>
  <c r="U761" i="17"/>
  <c r="V761" i="17"/>
  <c r="W761" i="17"/>
  <c r="X761" i="17"/>
  <c r="Y761" i="17"/>
  <c r="Z761" i="17"/>
  <c r="AA761" i="17"/>
  <c r="AB761" i="17"/>
  <c r="AC761" i="17"/>
  <c r="AD761" i="17"/>
  <c r="C762" i="17"/>
  <c r="D762" i="17"/>
  <c r="E762" i="17"/>
  <c r="F762" i="17"/>
  <c r="G762" i="17"/>
  <c r="H762" i="17"/>
  <c r="I762" i="17"/>
  <c r="J762" i="17"/>
  <c r="K762" i="17"/>
  <c r="L762" i="17"/>
  <c r="M762" i="17"/>
  <c r="N762" i="17"/>
  <c r="O762" i="17"/>
  <c r="P762" i="17"/>
  <c r="Q762" i="17"/>
  <c r="R762" i="17"/>
  <c r="S762" i="17"/>
  <c r="T762" i="17"/>
  <c r="U762" i="17"/>
  <c r="V762" i="17"/>
  <c r="W762" i="17"/>
  <c r="X762" i="17"/>
  <c r="Y762" i="17"/>
  <c r="Z762" i="17"/>
  <c r="AA762" i="17"/>
  <c r="AB762" i="17"/>
  <c r="AC762" i="17"/>
  <c r="AD762" i="17"/>
  <c r="C763" i="17"/>
  <c r="D763" i="17"/>
  <c r="E763" i="17"/>
  <c r="F763" i="17"/>
  <c r="G763" i="17"/>
  <c r="H763" i="17"/>
  <c r="I763" i="17"/>
  <c r="J763" i="17"/>
  <c r="K763" i="17"/>
  <c r="L763" i="17"/>
  <c r="M763" i="17"/>
  <c r="N763" i="17"/>
  <c r="O763" i="17"/>
  <c r="P763" i="17"/>
  <c r="Q763" i="17"/>
  <c r="R763" i="17"/>
  <c r="S763" i="17"/>
  <c r="T763" i="17"/>
  <c r="U763" i="17"/>
  <c r="V763" i="17"/>
  <c r="W763" i="17"/>
  <c r="X763" i="17"/>
  <c r="Y763" i="17"/>
  <c r="Z763" i="17"/>
  <c r="AA763" i="17"/>
  <c r="AB763" i="17"/>
  <c r="AC763" i="17"/>
  <c r="AD763" i="17"/>
  <c r="C764" i="17"/>
  <c r="D764" i="17"/>
  <c r="E764" i="17"/>
  <c r="F764" i="17"/>
  <c r="G764" i="17"/>
  <c r="H764" i="17"/>
  <c r="I764" i="17"/>
  <c r="J764" i="17"/>
  <c r="K764" i="17"/>
  <c r="L764" i="17"/>
  <c r="M764" i="17"/>
  <c r="N764" i="17"/>
  <c r="O764" i="17"/>
  <c r="P764" i="17"/>
  <c r="Q764" i="17"/>
  <c r="R764" i="17"/>
  <c r="S764" i="17"/>
  <c r="T764" i="17"/>
  <c r="U764" i="17"/>
  <c r="V764" i="17"/>
  <c r="W764" i="17"/>
  <c r="X764" i="17"/>
  <c r="Y764" i="17"/>
  <c r="Z764" i="17"/>
  <c r="AA764" i="17"/>
  <c r="AB764" i="17"/>
  <c r="AC764" i="17"/>
  <c r="AD764" i="17"/>
  <c r="C765" i="17"/>
  <c r="D765" i="17"/>
  <c r="E765" i="17"/>
  <c r="F765" i="17"/>
  <c r="G765" i="17"/>
  <c r="H765" i="17"/>
  <c r="I765" i="17"/>
  <c r="J765" i="17"/>
  <c r="K765" i="17"/>
  <c r="L765" i="17"/>
  <c r="M765" i="17"/>
  <c r="N765" i="17"/>
  <c r="O765" i="17"/>
  <c r="P765" i="17"/>
  <c r="Q765" i="17"/>
  <c r="R765" i="17"/>
  <c r="S765" i="17"/>
  <c r="T765" i="17"/>
  <c r="U765" i="17"/>
  <c r="V765" i="17"/>
  <c r="W765" i="17"/>
  <c r="X765" i="17"/>
  <c r="Y765" i="17"/>
  <c r="Z765" i="17"/>
  <c r="AA765" i="17"/>
  <c r="AB765" i="17"/>
  <c r="AC765" i="17"/>
  <c r="AD765" i="17"/>
  <c r="C766" i="17"/>
  <c r="D766" i="17"/>
  <c r="E766" i="17"/>
  <c r="F766" i="17"/>
  <c r="G766" i="17"/>
  <c r="H766" i="17"/>
  <c r="I766" i="17"/>
  <c r="J766" i="17"/>
  <c r="K766" i="17"/>
  <c r="L766" i="17"/>
  <c r="M766" i="17"/>
  <c r="N766" i="17"/>
  <c r="O766" i="17"/>
  <c r="P766" i="17"/>
  <c r="Q766" i="17"/>
  <c r="R766" i="17"/>
  <c r="S766" i="17"/>
  <c r="T766" i="17"/>
  <c r="U766" i="17"/>
  <c r="V766" i="17"/>
  <c r="W766" i="17"/>
  <c r="X766" i="17"/>
  <c r="Y766" i="17"/>
  <c r="Z766" i="17"/>
  <c r="AA766" i="17"/>
  <c r="AB766" i="17"/>
  <c r="AC766" i="17"/>
  <c r="AD766" i="17"/>
  <c r="C767" i="17"/>
  <c r="D767" i="17"/>
  <c r="E767" i="17"/>
  <c r="F767" i="17"/>
  <c r="G767" i="17"/>
  <c r="H767" i="17"/>
  <c r="I767" i="17"/>
  <c r="J767" i="17"/>
  <c r="K767" i="17"/>
  <c r="L767" i="17"/>
  <c r="M767" i="17"/>
  <c r="N767" i="17"/>
  <c r="O767" i="17"/>
  <c r="P767" i="17"/>
  <c r="Q767" i="17"/>
  <c r="R767" i="17"/>
  <c r="S767" i="17"/>
  <c r="T767" i="17"/>
  <c r="U767" i="17"/>
  <c r="V767" i="17"/>
  <c r="W767" i="17"/>
  <c r="X767" i="17"/>
  <c r="Y767" i="17"/>
  <c r="Z767" i="17"/>
  <c r="AA767" i="17"/>
  <c r="AB767" i="17"/>
  <c r="AC767" i="17"/>
  <c r="AD767" i="17"/>
  <c r="C768" i="17"/>
  <c r="D768" i="17"/>
  <c r="E768" i="17"/>
  <c r="F768" i="17"/>
  <c r="G768" i="17"/>
  <c r="H768" i="17"/>
  <c r="I768" i="17"/>
  <c r="J768" i="17"/>
  <c r="K768" i="17"/>
  <c r="L768" i="17"/>
  <c r="M768" i="17"/>
  <c r="N768" i="17"/>
  <c r="O768" i="17"/>
  <c r="P768" i="17"/>
  <c r="Q768" i="17"/>
  <c r="R768" i="17"/>
  <c r="S768" i="17"/>
  <c r="T768" i="17"/>
  <c r="U768" i="17"/>
  <c r="V768" i="17"/>
  <c r="W768" i="17"/>
  <c r="X768" i="17"/>
  <c r="Y768" i="17"/>
  <c r="Z768" i="17"/>
  <c r="AA768" i="17"/>
  <c r="AB768" i="17"/>
  <c r="AC768" i="17"/>
  <c r="AD768" i="17"/>
  <c r="C769" i="17"/>
  <c r="D769" i="17"/>
  <c r="E769" i="17"/>
  <c r="F769" i="17"/>
  <c r="G769" i="17"/>
  <c r="H769" i="17"/>
  <c r="I769" i="17"/>
  <c r="J769" i="17"/>
  <c r="K769" i="17"/>
  <c r="L769" i="17"/>
  <c r="M769" i="17"/>
  <c r="N769" i="17"/>
  <c r="O769" i="17"/>
  <c r="P769" i="17"/>
  <c r="Q769" i="17"/>
  <c r="R769" i="17"/>
  <c r="S769" i="17"/>
  <c r="T769" i="17"/>
  <c r="U769" i="17"/>
  <c r="V769" i="17"/>
  <c r="W769" i="17"/>
  <c r="X769" i="17"/>
  <c r="Y769" i="17"/>
  <c r="Z769" i="17"/>
  <c r="AA769" i="17"/>
  <c r="AB769" i="17"/>
  <c r="AC769" i="17"/>
  <c r="AD769" i="17"/>
  <c r="C770" i="17"/>
  <c r="D770" i="17"/>
  <c r="E770" i="17"/>
  <c r="F770" i="17"/>
  <c r="G770" i="17"/>
  <c r="H770" i="17"/>
  <c r="I770" i="17"/>
  <c r="J770" i="17"/>
  <c r="K770" i="17"/>
  <c r="L770" i="17"/>
  <c r="M770" i="17"/>
  <c r="N770" i="17"/>
  <c r="O770" i="17"/>
  <c r="P770" i="17"/>
  <c r="Q770" i="17"/>
  <c r="R770" i="17"/>
  <c r="S770" i="17"/>
  <c r="T770" i="17"/>
  <c r="U770" i="17"/>
  <c r="V770" i="17"/>
  <c r="W770" i="17"/>
  <c r="X770" i="17"/>
  <c r="Y770" i="17"/>
  <c r="Z770" i="17"/>
  <c r="AA770" i="17"/>
  <c r="AB770" i="17"/>
  <c r="AC770" i="17"/>
  <c r="AD770" i="17"/>
  <c r="C771" i="17"/>
  <c r="D771" i="17"/>
  <c r="E771" i="17"/>
  <c r="F771" i="17"/>
  <c r="G771" i="17"/>
  <c r="H771" i="17"/>
  <c r="I771" i="17"/>
  <c r="J771" i="17"/>
  <c r="K771" i="17"/>
  <c r="L771" i="17"/>
  <c r="M771" i="17"/>
  <c r="N771" i="17"/>
  <c r="O771" i="17"/>
  <c r="P771" i="17"/>
  <c r="Q771" i="17"/>
  <c r="R771" i="17"/>
  <c r="S771" i="17"/>
  <c r="T771" i="17"/>
  <c r="U771" i="17"/>
  <c r="V771" i="17"/>
  <c r="W771" i="17"/>
  <c r="X771" i="17"/>
  <c r="Y771" i="17"/>
  <c r="Z771" i="17"/>
  <c r="AA771" i="17"/>
  <c r="AB771" i="17"/>
  <c r="AC771" i="17"/>
  <c r="AD771" i="17"/>
  <c r="C772" i="17"/>
  <c r="D772" i="17"/>
  <c r="E772" i="17"/>
  <c r="F772" i="17"/>
  <c r="G772" i="17"/>
  <c r="H772" i="17"/>
  <c r="I772" i="17"/>
  <c r="J772" i="17"/>
  <c r="K772" i="17"/>
  <c r="L772" i="17"/>
  <c r="M772" i="17"/>
  <c r="N772" i="17"/>
  <c r="O772" i="17"/>
  <c r="P772" i="17"/>
  <c r="Q772" i="17"/>
  <c r="R772" i="17"/>
  <c r="S772" i="17"/>
  <c r="T772" i="17"/>
  <c r="U772" i="17"/>
  <c r="V772" i="17"/>
  <c r="W772" i="17"/>
  <c r="X772" i="17"/>
  <c r="Y772" i="17"/>
  <c r="Z772" i="17"/>
  <c r="AA772" i="17"/>
  <c r="AB772" i="17"/>
  <c r="AC772" i="17"/>
  <c r="AD772" i="17"/>
  <c r="C773" i="17"/>
  <c r="D773" i="17"/>
  <c r="E773" i="17"/>
  <c r="F773" i="17"/>
  <c r="G773" i="17"/>
  <c r="H773" i="17"/>
  <c r="I773" i="17"/>
  <c r="J773" i="17"/>
  <c r="K773" i="17"/>
  <c r="L773" i="17"/>
  <c r="M773" i="17"/>
  <c r="N773" i="17"/>
  <c r="O773" i="17"/>
  <c r="P773" i="17"/>
  <c r="Q773" i="17"/>
  <c r="R773" i="17"/>
  <c r="S773" i="17"/>
  <c r="T773" i="17"/>
  <c r="U773" i="17"/>
  <c r="V773" i="17"/>
  <c r="W773" i="17"/>
  <c r="X773" i="17"/>
  <c r="Y773" i="17"/>
  <c r="Z773" i="17"/>
  <c r="AA773" i="17"/>
  <c r="AB773" i="17"/>
  <c r="AC773" i="17"/>
  <c r="AD773" i="17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AA774" i="17"/>
  <c r="AB774" i="17"/>
  <c r="AC774" i="17"/>
  <c r="AD774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AA775" i="17"/>
  <c r="AB775" i="17"/>
  <c r="AC775" i="17"/>
  <c r="AD775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AA776" i="17"/>
  <c r="AB776" i="17"/>
  <c r="AC776" i="17"/>
  <c r="AD776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AA777" i="17"/>
  <c r="AB777" i="17"/>
  <c r="AC777" i="17"/>
  <c r="AD777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AA778" i="17"/>
  <c r="AB778" i="17"/>
  <c r="AC778" i="17"/>
  <c r="AD778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AA779" i="17"/>
  <c r="AB779" i="17"/>
  <c r="AC779" i="17"/>
  <c r="AD779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AA780" i="17"/>
  <c r="AB780" i="17"/>
  <c r="AC780" i="17"/>
  <c r="AD780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AA781" i="17"/>
  <c r="AB781" i="17"/>
  <c r="AC781" i="17"/>
  <c r="AD781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AA782" i="17"/>
  <c r="AB782" i="17"/>
  <c r="AC782" i="17"/>
  <c r="AD782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AA783" i="17"/>
  <c r="AB783" i="17"/>
  <c r="AC783" i="17"/>
  <c r="AD783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AA784" i="17"/>
  <c r="AB784" i="17"/>
  <c r="AC784" i="17"/>
  <c r="AD784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AA785" i="17"/>
  <c r="AB785" i="17"/>
  <c r="AC785" i="17"/>
  <c r="AD785" i="17"/>
  <c r="C786" i="17"/>
  <c r="D786" i="17"/>
  <c r="E786" i="17"/>
  <c r="F786" i="17"/>
  <c r="G786" i="17"/>
  <c r="H786" i="17"/>
  <c r="I786" i="17"/>
  <c r="J786" i="17"/>
  <c r="K786" i="17"/>
  <c r="L786" i="17"/>
  <c r="M786" i="17"/>
  <c r="N786" i="17"/>
  <c r="O786" i="17"/>
  <c r="P786" i="17"/>
  <c r="Q786" i="17"/>
  <c r="R786" i="17"/>
  <c r="S786" i="17"/>
  <c r="T786" i="17"/>
  <c r="U786" i="17"/>
  <c r="V786" i="17"/>
  <c r="W786" i="17"/>
  <c r="X786" i="17"/>
  <c r="Y786" i="17"/>
  <c r="Z786" i="17"/>
  <c r="AA786" i="17"/>
  <c r="AB786" i="17"/>
  <c r="AC786" i="17"/>
  <c r="AD786" i="17"/>
  <c r="C787" i="17"/>
  <c r="D787" i="17"/>
  <c r="E787" i="17"/>
  <c r="F787" i="17"/>
  <c r="G787" i="17"/>
  <c r="H787" i="17"/>
  <c r="I787" i="17"/>
  <c r="J787" i="17"/>
  <c r="K787" i="17"/>
  <c r="L787" i="17"/>
  <c r="M787" i="17"/>
  <c r="N787" i="17"/>
  <c r="O787" i="17"/>
  <c r="P787" i="17"/>
  <c r="Q787" i="17"/>
  <c r="R787" i="17"/>
  <c r="S787" i="17"/>
  <c r="T787" i="17"/>
  <c r="U787" i="17"/>
  <c r="V787" i="17"/>
  <c r="W787" i="17"/>
  <c r="X787" i="17"/>
  <c r="Y787" i="17"/>
  <c r="Z787" i="17"/>
  <c r="AA787" i="17"/>
  <c r="AB787" i="17"/>
  <c r="AC787" i="17"/>
  <c r="AD787" i="17"/>
  <c r="C788" i="17"/>
  <c r="D788" i="17"/>
  <c r="E788" i="17"/>
  <c r="F788" i="17"/>
  <c r="G788" i="17"/>
  <c r="H788" i="17"/>
  <c r="I788" i="17"/>
  <c r="J788" i="17"/>
  <c r="K788" i="17"/>
  <c r="L788" i="17"/>
  <c r="M788" i="17"/>
  <c r="N788" i="17"/>
  <c r="O788" i="17"/>
  <c r="P788" i="17"/>
  <c r="Q788" i="17"/>
  <c r="R788" i="17"/>
  <c r="S788" i="17"/>
  <c r="T788" i="17"/>
  <c r="U788" i="17"/>
  <c r="V788" i="17"/>
  <c r="W788" i="17"/>
  <c r="X788" i="17"/>
  <c r="Y788" i="17"/>
  <c r="Z788" i="17"/>
  <c r="AA788" i="17"/>
  <c r="AB788" i="17"/>
  <c r="AC788" i="17"/>
  <c r="AD788" i="17"/>
  <c r="C789" i="17"/>
  <c r="D789" i="17"/>
  <c r="E789" i="17"/>
  <c r="F789" i="17"/>
  <c r="G789" i="17"/>
  <c r="H789" i="17"/>
  <c r="I789" i="17"/>
  <c r="J789" i="17"/>
  <c r="K789" i="17"/>
  <c r="L789" i="17"/>
  <c r="M789" i="17"/>
  <c r="N789" i="17"/>
  <c r="O789" i="17"/>
  <c r="P789" i="17"/>
  <c r="Q789" i="17"/>
  <c r="R789" i="17"/>
  <c r="S789" i="17"/>
  <c r="T789" i="17"/>
  <c r="U789" i="17"/>
  <c r="V789" i="17"/>
  <c r="W789" i="17"/>
  <c r="X789" i="17"/>
  <c r="Y789" i="17"/>
  <c r="Z789" i="17"/>
  <c r="AA789" i="17"/>
  <c r="AB789" i="17"/>
  <c r="AC789" i="17"/>
  <c r="AD789" i="17"/>
  <c r="C790" i="17"/>
  <c r="D790" i="17"/>
  <c r="E790" i="17"/>
  <c r="F790" i="17"/>
  <c r="G790" i="17"/>
  <c r="H790" i="17"/>
  <c r="I790" i="17"/>
  <c r="J790" i="17"/>
  <c r="K790" i="17"/>
  <c r="L790" i="17"/>
  <c r="M790" i="17"/>
  <c r="N790" i="17"/>
  <c r="O790" i="17"/>
  <c r="P790" i="17"/>
  <c r="Q790" i="17"/>
  <c r="R790" i="17"/>
  <c r="S790" i="17"/>
  <c r="T790" i="17"/>
  <c r="U790" i="17"/>
  <c r="V790" i="17"/>
  <c r="W790" i="17"/>
  <c r="X790" i="17"/>
  <c r="Y790" i="17"/>
  <c r="Z790" i="17"/>
  <c r="AA790" i="17"/>
  <c r="AB790" i="17"/>
  <c r="AC790" i="17"/>
  <c r="AD790" i="17"/>
  <c r="C791" i="17"/>
  <c r="D791" i="17"/>
  <c r="E791" i="17"/>
  <c r="F791" i="17"/>
  <c r="G791" i="17"/>
  <c r="H791" i="17"/>
  <c r="I791" i="17"/>
  <c r="J791" i="17"/>
  <c r="K791" i="17"/>
  <c r="L791" i="17"/>
  <c r="M791" i="17"/>
  <c r="N791" i="17"/>
  <c r="O791" i="17"/>
  <c r="P791" i="17"/>
  <c r="Q791" i="17"/>
  <c r="R791" i="17"/>
  <c r="S791" i="17"/>
  <c r="T791" i="17"/>
  <c r="U791" i="17"/>
  <c r="V791" i="17"/>
  <c r="W791" i="17"/>
  <c r="X791" i="17"/>
  <c r="Y791" i="17"/>
  <c r="Z791" i="17"/>
  <c r="AA791" i="17"/>
  <c r="AB791" i="17"/>
  <c r="AC791" i="17"/>
  <c r="AD791" i="17"/>
  <c r="C792" i="17"/>
  <c r="D792" i="17"/>
  <c r="E792" i="17"/>
  <c r="F792" i="17"/>
  <c r="G792" i="17"/>
  <c r="H792" i="17"/>
  <c r="I792" i="17"/>
  <c r="J792" i="17"/>
  <c r="K792" i="17"/>
  <c r="L792" i="17"/>
  <c r="M792" i="17"/>
  <c r="N792" i="17"/>
  <c r="O792" i="17"/>
  <c r="P792" i="17"/>
  <c r="Q792" i="17"/>
  <c r="R792" i="17"/>
  <c r="S792" i="17"/>
  <c r="T792" i="17"/>
  <c r="U792" i="17"/>
  <c r="V792" i="17"/>
  <c r="W792" i="17"/>
  <c r="X792" i="17"/>
  <c r="Y792" i="17"/>
  <c r="Z792" i="17"/>
  <c r="AA792" i="17"/>
  <c r="AB792" i="17"/>
  <c r="AC792" i="17"/>
  <c r="AD792" i="17"/>
  <c r="C793" i="17"/>
  <c r="D793" i="17"/>
  <c r="E793" i="17"/>
  <c r="F793" i="17"/>
  <c r="G793" i="17"/>
  <c r="H793" i="17"/>
  <c r="I793" i="17"/>
  <c r="J793" i="17"/>
  <c r="K793" i="17"/>
  <c r="L793" i="17"/>
  <c r="M793" i="17"/>
  <c r="N793" i="17"/>
  <c r="O793" i="17"/>
  <c r="P793" i="17"/>
  <c r="Q793" i="17"/>
  <c r="R793" i="17"/>
  <c r="S793" i="17"/>
  <c r="T793" i="17"/>
  <c r="U793" i="17"/>
  <c r="V793" i="17"/>
  <c r="W793" i="17"/>
  <c r="X793" i="17"/>
  <c r="Y793" i="17"/>
  <c r="Z793" i="17"/>
  <c r="AA793" i="17"/>
  <c r="AB793" i="17"/>
  <c r="AC793" i="17"/>
  <c r="AD793" i="17"/>
  <c r="C794" i="17"/>
  <c r="D794" i="17"/>
  <c r="E794" i="17"/>
  <c r="F794" i="17"/>
  <c r="G794" i="17"/>
  <c r="H794" i="17"/>
  <c r="I794" i="17"/>
  <c r="J794" i="17"/>
  <c r="K794" i="17"/>
  <c r="L794" i="17"/>
  <c r="M794" i="17"/>
  <c r="N794" i="17"/>
  <c r="O794" i="17"/>
  <c r="P794" i="17"/>
  <c r="Q794" i="17"/>
  <c r="R794" i="17"/>
  <c r="S794" i="17"/>
  <c r="T794" i="17"/>
  <c r="U794" i="17"/>
  <c r="V794" i="17"/>
  <c r="W794" i="17"/>
  <c r="X794" i="17"/>
  <c r="Y794" i="17"/>
  <c r="Z794" i="17"/>
  <c r="AA794" i="17"/>
  <c r="AB794" i="17"/>
  <c r="AC794" i="17"/>
  <c r="AD794" i="17"/>
  <c r="C795" i="17"/>
  <c r="D795" i="17"/>
  <c r="E795" i="17"/>
  <c r="F795" i="17"/>
  <c r="G795" i="17"/>
  <c r="H795" i="17"/>
  <c r="I795" i="17"/>
  <c r="J795" i="17"/>
  <c r="K795" i="17"/>
  <c r="L795" i="17"/>
  <c r="M795" i="17"/>
  <c r="N795" i="17"/>
  <c r="O795" i="17"/>
  <c r="P795" i="17"/>
  <c r="Q795" i="17"/>
  <c r="R795" i="17"/>
  <c r="S795" i="17"/>
  <c r="T795" i="17"/>
  <c r="U795" i="17"/>
  <c r="V795" i="17"/>
  <c r="W795" i="17"/>
  <c r="X795" i="17"/>
  <c r="Y795" i="17"/>
  <c r="Z795" i="17"/>
  <c r="AA795" i="17"/>
  <c r="AB795" i="17"/>
  <c r="AC795" i="17"/>
  <c r="AD795" i="17"/>
  <c r="C796" i="17"/>
  <c r="D796" i="17"/>
  <c r="E796" i="17"/>
  <c r="F796" i="17"/>
  <c r="G796" i="17"/>
  <c r="H796" i="17"/>
  <c r="I796" i="17"/>
  <c r="J796" i="17"/>
  <c r="K796" i="17"/>
  <c r="L796" i="17"/>
  <c r="M796" i="17"/>
  <c r="N796" i="17"/>
  <c r="O796" i="17"/>
  <c r="P796" i="17"/>
  <c r="Q796" i="17"/>
  <c r="R796" i="17"/>
  <c r="S796" i="17"/>
  <c r="T796" i="17"/>
  <c r="U796" i="17"/>
  <c r="V796" i="17"/>
  <c r="W796" i="17"/>
  <c r="X796" i="17"/>
  <c r="Y796" i="17"/>
  <c r="Z796" i="17"/>
  <c r="AA796" i="17"/>
  <c r="AB796" i="17"/>
  <c r="AC796" i="17"/>
  <c r="AD796" i="17"/>
  <c r="C797" i="17"/>
  <c r="D797" i="17"/>
  <c r="E797" i="17"/>
  <c r="F797" i="17"/>
  <c r="G797" i="17"/>
  <c r="H797" i="17"/>
  <c r="I797" i="17"/>
  <c r="J797" i="17"/>
  <c r="K797" i="17"/>
  <c r="L797" i="17"/>
  <c r="M797" i="17"/>
  <c r="N797" i="17"/>
  <c r="O797" i="17"/>
  <c r="P797" i="17"/>
  <c r="Q797" i="17"/>
  <c r="R797" i="17"/>
  <c r="S797" i="17"/>
  <c r="T797" i="17"/>
  <c r="U797" i="17"/>
  <c r="V797" i="17"/>
  <c r="W797" i="17"/>
  <c r="X797" i="17"/>
  <c r="Y797" i="17"/>
  <c r="Z797" i="17"/>
  <c r="AA797" i="17"/>
  <c r="AB797" i="17"/>
  <c r="AC797" i="17"/>
  <c r="AD797" i="17"/>
  <c r="C798" i="17"/>
  <c r="D798" i="17"/>
  <c r="E798" i="17"/>
  <c r="F798" i="17"/>
  <c r="G798" i="17"/>
  <c r="H798" i="17"/>
  <c r="I798" i="17"/>
  <c r="J798" i="17"/>
  <c r="K798" i="17"/>
  <c r="L798" i="17"/>
  <c r="M798" i="17"/>
  <c r="N798" i="17"/>
  <c r="O798" i="17"/>
  <c r="P798" i="17"/>
  <c r="Q798" i="17"/>
  <c r="R798" i="17"/>
  <c r="S798" i="17"/>
  <c r="T798" i="17"/>
  <c r="U798" i="17"/>
  <c r="V798" i="17"/>
  <c r="W798" i="17"/>
  <c r="X798" i="17"/>
  <c r="Y798" i="17"/>
  <c r="Z798" i="17"/>
  <c r="AA798" i="17"/>
  <c r="AB798" i="17"/>
  <c r="AC798" i="17"/>
  <c r="AD798" i="17"/>
  <c r="C799" i="17"/>
  <c r="D799" i="17"/>
  <c r="E799" i="17"/>
  <c r="F799" i="17"/>
  <c r="G799" i="17"/>
  <c r="H799" i="17"/>
  <c r="I799" i="17"/>
  <c r="J799" i="17"/>
  <c r="K799" i="17"/>
  <c r="L799" i="17"/>
  <c r="M799" i="17"/>
  <c r="N799" i="17"/>
  <c r="O799" i="17"/>
  <c r="P799" i="17"/>
  <c r="Q799" i="17"/>
  <c r="R799" i="17"/>
  <c r="S799" i="17"/>
  <c r="T799" i="17"/>
  <c r="U799" i="17"/>
  <c r="V799" i="17"/>
  <c r="W799" i="17"/>
  <c r="X799" i="17"/>
  <c r="Y799" i="17"/>
  <c r="Z799" i="17"/>
  <c r="AA799" i="17"/>
  <c r="AB799" i="17"/>
  <c r="AC799" i="17"/>
  <c r="AD799" i="17"/>
  <c r="C800" i="17"/>
  <c r="D800" i="17"/>
  <c r="E800" i="17"/>
  <c r="F800" i="17"/>
  <c r="G800" i="17"/>
  <c r="H800" i="17"/>
  <c r="I800" i="17"/>
  <c r="J800" i="17"/>
  <c r="K800" i="17"/>
  <c r="L800" i="17"/>
  <c r="M800" i="17"/>
  <c r="N800" i="17"/>
  <c r="O800" i="17"/>
  <c r="P800" i="17"/>
  <c r="Q800" i="17"/>
  <c r="R800" i="17"/>
  <c r="S800" i="17"/>
  <c r="T800" i="17"/>
  <c r="U800" i="17"/>
  <c r="V800" i="17"/>
  <c r="W800" i="17"/>
  <c r="X800" i="17"/>
  <c r="Y800" i="17"/>
  <c r="Z800" i="17"/>
  <c r="AA800" i="17"/>
  <c r="AB800" i="17"/>
  <c r="AC800" i="17"/>
  <c r="AD800" i="17"/>
  <c r="C801" i="17"/>
  <c r="D801" i="17"/>
  <c r="E801" i="17"/>
  <c r="F801" i="17"/>
  <c r="G801" i="17"/>
  <c r="H801" i="17"/>
  <c r="I801" i="17"/>
  <c r="J801" i="17"/>
  <c r="K801" i="17"/>
  <c r="L801" i="17"/>
  <c r="M801" i="17"/>
  <c r="N801" i="17"/>
  <c r="O801" i="17"/>
  <c r="P801" i="17"/>
  <c r="Q801" i="17"/>
  <c r="R801" i="17"/>
  <c r="S801" i="17"/>
  <c r="T801" i="17"/>
  <c r="U801" i="17"/>
  <c r="V801" i="17"/>
  <c r="W801" i="17"/>
  <c r="X801" i="17"/>
  <c r="Y801" i="17"/>
  <c r="Z801" i="17"/>
  <c r="AA801" i="17"/>
  <c r="AB801" i="17"/>
  <c r="AC801" i="17"/>
  <c r="AD801" i="17"/>
  <c r="C802" i="17"/>
  <c r="D802" i="17"/>
  <c r="E802" i="17"/>
  <c r="F802" i="17"/>
  <c r="G802" i="17"/>
  <c r="H802" i="17"/>
  <c r="I802" i="17"/>
  <c r="J802" i="17"/>
  <c r="K802" i="17"/>
  <c r="L802" i="17"/>
  <c r="M802" i="17"/>
  <c r="N802" i="17"/>
  <c r="O802" i="17"/>
  <c r="P802" i="17"/>
  <c r="Q802" i="17"/>
  <c r="R802" i="17"/>
  <c r="S802" i="17"/>
  <c r="T802" i="17"/>
  <c r="U802" i="17"/>
  <c r="V802" i="17"/>
  <c r="W802" i="17"/>
  <c r="X802" i="17"/>
  <c r="Y802" i="17"/>
  <c r="Z802" i="17"/>
  <c r="AA802" i="17"/>
  <c r="AB802" i="17"/>
  <c r="AC802" i="17"/>
  <c r="AD802" i="17"/>
  <c r="C803" i="17"/>
  <c r="D803" i="17"/>
  <c r="E803" i="17"/>
  <c r="F803" i="17"/>
  <c r="G803" i="17"/>
  <c r="H803" i="17"/>
  <c r="I803" i="17"/>
  <c r="J803" i="17"/>
  <c r="K803" i="17"/>
  <c r="L803" i="17"/>
  <c r="M803" i="17"/>
  <c r="N803" i="17"/>
  <c r="O803" i="17"/>
  <c r="P803" i="17"/>
  <c r="Q803" i="17"/>
  <c r="R803" i="17"/>
  <c r="S803" i="17"/>
  <c r="T803" i="17"/>
  <c r="U803" i="17"/>
  <c r="V803" i="17"/>
  <c r="W803" i="17"/>
  <c r="X803" i="17"/>
  <c r="Y803" i="17"/>
  <c r="Z803" i="17"/>
  <c r="AA803" i="17"/>
  <c r="AB803" i="17"/>
  <c r="AC803" i="17"/>
  <c r="AD803" i="17"/>
  <c r="C804" i="17"/>
  <c r="D804" i="17"/>
  <c r="E804" i="17"/>
  <c r="F804" i="17"/>
  <c r="G804" i="17"/>
  <c r="H804" i="17"/>
  <c r="I804" i="17"/>
  <c r="J804" i="17"/>
  <c r="K804" i="17"/>
  <c r="L804" i="17"/>
  <c r="M804" i="17"/>
  <c r="N804" i="17"/>
  <c r="O804" i="17"/>
  <c r="P804" i="17"/>
  <c r="Q804" i="17"/>
  <c r="R804" i="17"/>
  <c r="S804" i="17"/>
  <c r="T804" i="17"/>
  <c r="U804" i="17"/>
  <c r="V804" i="17"/>
  <c r="W804" i="17"/>
  <c r="X804" i="17"/>
  <c r="Y804" i="17"/>
  <c r="Z804" i="17"/>
  <c r="AA804" i="17"/>
  <c r="AB804" i="17"/>
  <c r="AC804" i="17"/>
  <c r="AD804" i="17"/>
  <c r="C805" i="17"/>
  <c r="D805" i="17"/>
  <c r="E805" i="17"/>
  <c r="F805" i="17"/>
  <c r="G805" i="17"/>
  <c r="H805" i="17"/>
  <c r="I805" i="17"/>
  <c r="J805" i="17"/>
  <c r="K805" i="17"/>
  <c r="L805" i="17"/>
  <c r="M805" i="17"/>
  <c r="N805" i="17"/>
  <c r="O805" i="17"/>
  <c r="P805" i="17"/>
  <c r="Q805" i="17"/>
  <c r="R805" i="17"/>
  <c r="S805" i="17"/>
  <c r="T805" i="17"/>
  <c r="U805" i="17"/>
  <c r="V805" i="17"/>
  <c r="W805" i="17"/>
  <c r="X805" i="17"/>
  <c r="Y805" i="17"/>
  <c r="Z805" i="17"/>
  <c r="AA805" i="17"/>
  <c r="AB805" i="17"/>
  <c r="AC805" i="17"/>
  <c r="AD805" i="17"/>
  <c r="C806" i="17"/>
  <c r="D806" i="17"/>
  <c r="E806" i="17"/>
  <c r="F806" i="17"/>
  <c r="G806" i="17"/>
  <c r="H806" i="17"/>
  <c r="I806" i="17"/>
  <c r="J806" i="17"/>
  <c r="K806" i="17"/>
  <c r="L806" i="17"/>
  <c r="M806" i="17"/>
  <c r="N806" i="17"/>
  <c r="O806" i="17"/>
  <c r="P806" i="17"/>
  <c r="Q806" i="17"/>
  <c r="R806" i="17"/>
  <c r="S806" i="17"/>
  <c r="T806" i="17"/>
  <c r="U806" i="17"/>
  <c r="V806" i="17"/>
  <c r="W806" i="17"/>
  <c r="X806" i="17"/>
  <c r="Y806" i="17"/>
  <c r="Z806" i="17"/>
  <c r="AA806" i="17"/>
  <c r="AB806" i="17"/>
  <c r="AC806" i="17"/>
  <c r="AD806" i="17"/>
  <c r="C807" i="17"/>
  <c r="D807" i="17"/>
  <c r="E807" i="17"/>
  <c r="F807" i="17"/>
  <c r="G807" i="17"/>
  <c r="H807" i="17"/>
  <c r="I807" i="17"/>
  <c r="J807" i="17"/>
  <c r="K807" i="17"/>
  <c r="L807" i="17"/>
  <c r="M807" i="17"/>
  <c r="N807" i="17"/>
  <c r="O807" i="17"/>
  <c r="P807" i="17"/>
  <c r="Q807" i="17"/>
  <c r="R807" i="17"/>
  <c r="S807" i="17"/>
  <c r="T807" i="17"/>
  <c r="U807" i="17"/>
  <c r="V807" i="17"/>
  <c r="W807" i="17"/>
  <c r="X807" i="17"/>
  <c r="Y807" i="17"/>
  <c r="Z807" i="17"/>
  <c r="AA807" i="17"/>
  <c r="AB807" i="17"/>
  <c r="AC807" i="17"/>
  <c r="AD807" i="17"/>
  <c r="C808" i="17"/>
  <c r="D808" i="17"/>
  <c r="E808" i="17"/>
  <c r="F808" i="17"/>
  <c r="G808" i="17"/>
  <c r="H808" i="17"/>
  <c r="I808" i="17"/>
  <c r="J808" i="17"/>
  <c r="K808" i="17"/>
  <c r="L808" i="17"/>
  <c r="M808" i="17"/>
  <c r="N808" i="17"/>
  <c r="O808" i="17"/>
  <c r="P808" i="17"/>
  <c r="Q808" i="17"/>
  <c r="R808" i="17"/>
  <c r="S808" i="17"/>
  <c r="T808" i="17"/>
  <c r="U808" i="17"/>
  <c r="V808" i="17"/>
  <c r="W808" i="17"/>
  <c r="X808" i="17"/>
  <c r="Y808" i="17"/>
  <c r="Z808" i="17"/>
  <c r="AA808" i="17"/>
  <c r="AB808" i="17"/>
  <c r="AC808" i="17"/>
  <c r="AD808" i="17"/>
  <c r="C809" i="17"/>
  <c r="D809" i="17"/>
  <c r="E809" i="17"/>
  <c r="F809" i="17"/>
  <c r="G809" i="17"/>
  <c r="H809" i="17"/>
  <c r="I809" i="17"/>
  <c r="J809" i="17"/>
  <c r="K809" i="17"/>
  <c r="L809" i="17"/>
  <c r="M809" i="17"/>
  <c r="N809" i="17"/>
  <c r="O809" i="17"/>
  <c r="P809" i="17"/>
  <c r="Q809" i="17"/>
  <c r="R809" i="17"/>
  <c r="S809" i="17"/>
  <c r="T809" i="17"/>
  <c r="U809" i="17"/>
  <c r="V809" i="17"/>
  <c r="W809" i="17"/>
  <c r="X809" i="17"/>
  <c r="Y809" i="17"/>
  <c r="Z809" i="17"/>
  <c r="AA809" i="17"/>
  <c r="AB809" i="17"/>
  <c r="AC809" i="17"/>
  <c r="AD809" i="17"/>
  <c r="C810" i="17"/>
  <c r="D810" i="17"/>
  <c r="E810" i="17"/>
  <c r="F810" i="17"/>
  <c r="G810" i="17"/>
  <c r="H810" i="17"/>
  <c r="I810" i="17"/>
  <c r="J810" i="17"/>
  <c r="K810" i="17"/>
  <c r="L810" i="17"/>
  <c r="M810" i="17"/>
  <c r="N810" i="17"/>
  <c r="O810" i="17"/>
  <c r="P810" i="17"/>
  <c r="Q810" i="17"/>
  <c r="R810" i="17"/>
  <c r="S810" i="17"/>
  <c r="T810" i="17"/>
  <c r="U810" i="17"/>
  <c r="V810" i="17"/>
  <c r="W810" i="17"/>
  <c r="X810" i="17"/>
  <c r="Y810" i="17"/>
  <c r="Z810" i="17"/>
  <c r="AA810" i="17"/>
  <c r="AB810" i="17"/>
  <c r="AC810" i="17"/>
  <c r="AD810" i="17"/>
  <c r="C811" i="17"/>
  <c r="D811" i="17"/>
  <c r="E811" i="17"/>
  <c r="F811" i="17"/>
  <c r="G811" i="17"/>
  <c r="H811" i="17"/>
  <c r="I811" i="17"/>
  <c r="J811" i="17"/>
  <c r="K811" i="17"/>
  <c r="L811" i="17"/>
  <c r="M811" i="17"/>
  <c r="N811" i="17"/>
  <c r="O811" i="17"/>
  <c r="P811" i="17"/>
  <c r="Q811" i="17"/>
  <c r="R811" i="17"/>
  <c r="S811" i="17"/>
  <c r="T811" i="17"/>
  <c r="U811" i="17"/>
  <c r="V811" i="17"/>
  <c r="W811" i="17"/>
  <c r="X811" i="17"/>
  <c r="Y811" i="17"/>
  <c r="Z811" i="17"/>
  <c r="AA811" i="17"/>
  <c r="AB811" i="17"/>
  <c r="AC811" i="17"/>
  <c r="AD811" i="17"/>
  <c r="C812" i="17"/>
  <c r="D812" i="17"/>
  <c r="E812" i="17"/>
  <c r="F812" i="17"/>
  <c r="G812" i="17"/>
  <c r="H812" i="17"/>
  <c r="I812" i="17"/>
  <c r="J812" i="17"/>
  <c r="K812" i="17"/>
  <c r="L812" i="17"/>
  <c r="M812" i="17"/>
  <c r="N812" i="17"/>
  <c r="O812" i="17"/>
  <c r="P812" i="17"/>
  <c r="Q812" i="17"/>
  <c r="R812" i="17"/>
  <c r="S812" i="17"/>
  <c r="T812" i="17"/>
  <c r="U812" i="17"/>
  <c r="V812" i="17"/>
  <c r="W812" i="17"/>
  <c r="X812" i="17"/>
  <c r="Y812" i="17"/>
  <c r="Z812" i="17"/>
  <c r="AA812" i="17"/>
  <c r="AB812" i="17"/>
  <c r="AC812" i="17"/>
  <c r="AD812" i="17"/>
  <c r="C813" i="17"/>
  <c r="D813" i="17"/>
  <c r="E813" i="17"/>
  <c r="F813" i="17"/>
  <c r="G813" i="17"/>
  <c r="H813" i="17"/>
  <c r="I813" i="17"/>
  <c r="J813" i="17"/>
  <c r="K813" i="17"/>
  <c r="L813" i="17"/>
  <c r="M813" i="17"/>
  <c r="N813" i="17"/>
  <c r="O813" i="17"/>
  <c r="P813" i="17"/>
  <c r="Q813" i="17"/>
  <c r="R813" i="17"/>
  <c r="S813" i="17"/>
  <c r="T813" i="17"/>
  <c r="U813" i="17"/>
  <c r="V813" i="17"/>
  <c r="W813" i="17"/>
  <c r="X813" i="17"/>
  <c r="Y813" i="17"/>
  <c r="Z813" i="17"/>
  <c r="AA813" i="17"/>
  <c r="AB813" i="17"/>
  <c r="AC813" i="17"/>
  <c r="AD813" i="17"/>
  <c r="C814" i="17"/>
  <c r="D814" i="17"/>
  <c r="E814" i="17"/>
  <c r="F814" i="17"/>
  <c r="G814" i="17"/>
  <c r="H814" i="17"/>
  <c r="I814" i="17"/>
  <c r="J814" i="17"/>
  <c r="K814" i="17"/>
  <c r="L814" i="17"/>
  <c r="M814" i="17"/>
  <c r="N814" i="17"/>
  <c r="O814" i="17"/>
  <c r="P814" i="17"/>
  <c r="Q814" i="17"/>
  <c r="R814" i="17"/>
  <c r="S814" i="17"/>
  <c r="T814" i="17"/>
  <c r="U814" i="17"/>
  <c r="V814" i="17"/>
  <c r="W814" i="17"/>
  <c r="X814" i="17"/>
  <c r="Y814" i="17"/>
  <c r="Z814" i="17"/>
  <c r="AA814" i="17"/>
  <c r="AB814" i="17"/>
  <c r="AC814" i="17"/>
  <c r="AD814" i="17"/>
  <c r="C815" i="17"/>
  <c r="D815" i="17"/>
  <c r="E815" i="17"/>
  <c r="F815" i="17"/>
  <c r="G815" i="17"/>
  <c r="H815" i="17"/>
  <c r="I815" i="17"/>
  <c r="J815" i="17"/>
  <c r="K815" i="17"/>
  <c r="L815" i="17"/>
  <c r="M815" i="17"/>
  <c r="N815" i="17"/>
  <c r="O815" i="17"/>
  <c r="P815" i="17"/>
  <c r="Q815" i="17"/>
  <c r="R815" i="17"/>
  <c r="S815" i="17"/>
  <c r="T815" i="17"/>
  <c r="U815" i="17"/>
  <c r="V815" i="17"/>
  <c r="W815" i="17"/>
  <c r="X815" i="17"/>
  <c r="Y815" i="17"/>
  <c r="Z815" i="17"/>
  <c r="AA815" i="17"/>
  <c r="AB815" i="17"/>
  <c r="AC815" i="17"/>
  <c r="AD815" i="17"/>
  <c r="C816" i="17"/>
  <c r="D816" i="17"/>
  <c r="E816" i="17"/>
  <c r="F816" i="17"/>
  <c r="G816" i="17"/>
  <c r="H816" i="17"/>
  <c r="I816" i="17"/>
  <c r="J816" i="17"/>
  <c r="K816" i="17"/>
  <c r="L816" i="17"/>
  <c r="M816" i="17"/>
  <c r="N816" i="17"/>
  <c r="O816" i="17"/>
  <c r="P816" i="17"/>
  <c r="Q816" i="17"/>
  <c r="R816" i="17"/>
  <c r="S816" i="17"/>
  <c r="T816" i="17"/>
  <c r="U816" i="17"/>
  <c r="V816" i="17"/>
  <c r="W816" i="17"/>
  <c r="X816" i="17"/>
  <c r="Y816" i="17"/>
  <c r="Z816" i="17"/>
  <c r="AA816" i="17"/>
  <c r="AB816" i="17"/>
  <c r="AC816" i="17"/>
  <c r="AD816" i="17"/>
  <c r="C817" i="17"/>
  <c r="D817" i="17"/>
  <c r="E817" i="17"/>
  <c r="F817" i="17"/>
  <c r="G817" i="17"/>
  <c r="H817" i="17"/>
  <c r="I817" i="17"/>
  <c r="J817" i="17"/>
  <c r="K817" i="17"/>
  <c r="L817" i="17"/>
  <c r="M817" i="17"/>
  <c r="N817" i="17"/>
  <c r="O817" i="17"/>
  <c r="P817" i="17"/>
  <c r="Q817" i="17"/>
  <c r="R817" i="17"/>
  <c r="S817" i="17"/>
  <c r="T817" i="17"/>
  <c r="U817" i="17"/>
  <c r="V817" i="17"/>
  <c r="W817" i="17"/>
  <c r="X817" i="17"/>
  <c r="Y817" i="17"/>
  <c r="Z817" i="17"/>
  <c r="AA817" i="17"/>
  <c r="AB817" i="17"/>
  <c r="AC817" i="17"/>
  <c r="AD817" i="17"/>
  <c r="C818" i="17"/>
  <c r="D818" i="17"/>
  <c r="E818" i="17"/>
  <c r="F818" i="17"/>
  <c r="G818" i="17"/>
  <c r="H818" i="17"/>
  <c r="I818" i="17"/>
  <c r="J818" i="17"/>
  <c r="K818" i="17"/>
  <c r="L818" i="17"/>
  <c r="M818" i="17"/>
  <c r="N818" i="17"/>
  <c r="O818" i="17"/>
  <c r="P818" i="17"/>
  <c r="Q818" i="17"/>
  <c r="R818" i="17"/>
  <c r="S818" i="17"/>
  <c r="T818" i="17"/>
  <c r="U818" i="17"/>
  <c r="V818" i="17"/>
  <c r="W818" i="17"/>
  <c r="X818" i="17"/>
  <c r="Y818" i="17"/>
  <c r="Z818" i="17"/>
  <c r="AA818" i="17"/>
  <c r="AB818" i="17"/>
  <c r="AC818" i="17"/>
  <c r="AD818" i="17"/>
  <c r="C819" i="17"/>
  <c r="D819" i="17"/>
  <c r="E819" i="17"/>
  <c r="F819" i="17"/>
  <c r="G819" i="17"/>
  <c r="H819" i="17"/>
  <c r="I819" i="17"/>
  <c r="J819" i="17"/>
  <c r="K819" i="17"/>
  <c r="L819" i="17"/>
  <c r="M819" i="17"/>
  <c r="N819" i="17"/>
  <c r="O819" i="17"/>
  <c r="P819" i="17"/>
  <c r="Q819" i="17"/>
  <c r="R819" i="17"/>
  <c r="S819" i="17"/>
  <c r="T819" i="17"/>
  <c r="U819" i="17"/>
  <c r="V819" i="17"/>
  <c r="W819" i="17"/>
  <c r="X819" i="17"/>
  <c r="Y819" i="17"/>
  <c r="Z819" i="17"/>
  <c r="AA819" i="17"/>
  <c r="AB819" i="17"/>
  <c r="AC819" i="17"/>
  <c r="AD819" i="17"/>
  <c r="C820" i="17"/>
  <c r="D820" i="17"/>
  <c r="E820" i="17"/>
  <c r="F820" i="17"/>
  <c r="G820" i="17"/>
  <c r="H820" i="17"/>
  <c r="I820" i="17"/>
  <c r="J820" i="17"/>
  <c r="K820" i="17"/>
  <c r="L820" i="17"/>
  <c r="M820" i="17"/>
  <c r="N820" i="17"/>
  <c r="O820" i="17"/>
  <c r="P820" i="17"/>
  <c r="Q820" i="17"/>
  <c r="R820" i="17"/>
  <c r="S820" i="17"/>
  <c r="T820" i="17"/>
  <c r="U820" i="17"/>
  <c r="V820" i="17"/>
  <c r="W820" i="17"/>
  <c r="X820" i="17"/>
  <c r="Y820" i="17"/>
  <c r="Z820" i="17"/>
  <c r="AA820" i="17"/>
  <c r="AB820" i="17"/>
  <c r="AC820" i="17"/>
  <c r="AD820" i="17"/>
  <c r="C821" i="17"/>
  <c r="D821" i="17"/>
  <c r="E821" i="17"/>
  <c r="F821" i="17"/>
  <c r="G821" i="17"/>
  <c r="H821" i="17"/>
  <c r="I821" i="17"/>
  <c r="J821" i="17"/>
  <c r="K821" i="17"/>
  <c r="L821" i="17"/>
  <c r="M821" i="17"/>
  <c r="N821" i="17"/>
  <c r="O821" i="17"/>
  <c r="P821" i="17"/>
  <c r="Q821" i="17"/>
  <c r="R821" i="17"/>
  <c r="S821" i="17"/>
  <c r="T821" i="17"/>
  <c r="U821" i="17"/>
  <c r="V821" i="17"/>
  <c r="W821" i="17"/>
  <c r="X821" i="17"/>
  <c r="Y821" i="17"/>
  <c r="Z821" i="17"/>
  <c r="AA821" i="17"/>
  <c r="AB821" i="17"/>
  <c r="AC821" i="17"/>
  <c r="AD821" i="17"/>
  <c r="C822" i="17"/>
  <c r="D822" i="17"/>
  <c r="E822" i="17"/>
  <c r="F822" i="17"/>
  <c r="G822" i="17"/>
  <c r="H822" i="17"/>
  <c r="I822" i="17"/>
  <c r="J822" i="17"/>
  <c r="K822" i="17"/>
  <c r="L822" i="17"/>
  <c r="M822" i="17"/>
  <c r="N822" i="17"/>
  <c r="O822" i="17"/>
  <c r="P822" i="17"/>
  <c r="Q822" i="17"/>
  <c r="R822" i="17"/>
  <c r="S822" i="17"/>
  <c r="T822" i="17"/>
  <c r="U822" i="17"/>
  <c r="V822" i="17"/>
  <c r="W822" i="17"/>
  <c r="X822" i="17"/>
  <c r="Y822" i="17"/>
  <c r="Z822" i="17"/>
  <c r="AA822" i="17"/>
  <c r="AB822" i="17"/>
  <c r="AC822" i="17"/>
  <c r="AD822" i="17"/>
  <c r="C823" i="17"/>
  <c r="D823" i="17"/>
  <c r="E823" i="17"/>
  <c r="F823" i="17"/>
  <c r="G823" i="17"/>
  <c r="H823" i="17"/>
  <c r="I823" i="17"/>
  <c r="J823" i="17"/>
  <c r="K823" i="17"/>
  <c r="L823" i="17"/>
  <c r="M823" i="17"/>
  <c r="N823" i="17"/>
  <c r="O823" i="17"/>
  <c r="P823" i="17"/>
  <c r="Q823" i="17"/>
  <c r="R823" i="17"/>
  <c r="S823" i="17"/>
  <c r="T823" i="17"/>
  <c r="U823" i="17"/>
  <c r="V823" i="17"/>
  <c r="W823" i="17"/>
  <c r="X823" i="17"/>
  <c r="Y823" i="17"/>
  <c r="Z823" i="17"/>
  <c r="AA823" i="17"/>
  <c r="AB823" i="17"/>
  <c r="AC823" i="17"/>
  <c r="AD823" i="17"/>
  <c r="C824" i="17"/>
  <c r="D824" i="17"/>
  <c r="E824" i="17"/>
  <c r="F824" i="17"/>
  <c r="G824" i="17"/>
  <c r="H824" i="17"/>
  <c r="I824" i="17"/>
  <c r="J824" i="17"/>
  <c r="K824" i="17"/>
  <c r="L824" i="17"/>
  <c r="M824" i="17"/>
  <c r="N824" i="17"/>
  <c r="O824" i="17"/>
  <c r="P824" i="17"/>
  <c r="Q824" i="17"/>
  <c r="R824" i="17"/>
  <c r="S824" i="17"/>
  <c r="T824" i="17"/>
  <c r="U824" i="17"/>
  <c r="V824" i="17"/>
  <c r="W824" i="17"/>
  <c r="X824" i="17"/>
  <c r="Y824" i="17"/>
  <c r="Z824" i="17"/>
  <c r="AA824" i="17"/>
  <c r="AB824" i="17"/>
  <c r="AC824" i="17"/>
  <c r="AD824" i="17"/>
  <c r="C825" i="17"/>
  <c r="D825" i="17"/>
  <c r="E825" i="17"/>
  <c r="F825" i="17"/>
  <c r="G825" i="17"/>
  <c r="H825" i="17"/>
  <c r="I825" i="17"/>
  <c r="J825" i="17"/>
  <c r="K825" i="17"/>
  <c r="L825" i="17"/>
  <c r="M825" i="17"/>
  <c r="N825" i="17"/>
  <c r="O825" i="17"/>
  <c r="P825" i="17"/>
  <c r="Q825" i="17"/>
  <c r="R825" i="17"/>
  <c r="S825" i="17"/>
  <c r="T825" i="17"/>
  <c r="U825" i="17"/>
  <c r="V825" i="17"/>
  <c r="W825" i="17"/>
  <c r="X825" i="17"/>
  <c r="Y825" i="17"/>
  <c r="Z825" i="17"/>
  <c r="AA825" i="17"/>
  <c r="AB825" i="17"/>
  <c r="AC825" i="17"/>
  <c r="AD825" i="17"/>
  <c r="C826" i="17"/>
  <c r="D826" i="17"/>
  <c r="E826" i="17"/>
  <c r="F826" i="17"/>
  <c r="G826" i="17"/>
  <c r="H826" i="17"/>
  <c r="I826" i="17"/>
  <c r="J826" i="17"/>
  <c r="K826" i="17"/>
  <c r="L826" i="17"/>
  <c r="M826" i="17"/>
  <c r="N826" i="17"/>
  <c r="O826" i="17"/>
  <c r="P826" i="17"/>
  <c r="Q826" i="17"/>
  <c r="R826" i="17"/>
  <c r="S826" i="17"/>
  <c r="T826" i="17"/>
  <c r="U826" i="17"/>
  <c r="V826" i="17"/>
  <c r="W826" i="17"/>
  <c r="X826" i="17"/>
  <c r="Y826" i="17"/>
  <c r="Z826" i="17"/>
  <c r="AA826" i="17"/>
  <c r="AB826" i="17"/>
  <c r="AC826" i="17"/>
  <c r="AD826" i="17"/>
  <c r="C827" i="17"/>
  <c r="D827" i="17"/>
  <c r="E827" i="17"/>
  <c r="F827" i="17"/>
  <c r="G827" i="17"/>
  <c r="H827" i="17"/>
  <c r="I827" i="17"/>
  <c r="J827" i="17"/>
  <c r="K827" i="17"/>
  <c r="L827" i="17"/>
  <c r="M827" i="17"/>
  <c r="N827" i="17"/>
  <c r="O827" i="17"/>
  <c r="P827" i="17"/>
  <c r="Q827" i="17"/>
  <c r="R827" i="17"/>
  <c r="S827" i="17"/>
  <c r="T827" i="17"/>
  <c r="U827" i="17"/>
  <c r="V827" i="17"/>
  <c r="W827" i="17"/>
  <c r="X827" i="17"/>
  <c r="Y827" i="17"/>
  <c r="Z827" i="17"/>
  <c r="AA827" i="17"/>
  <c r="AB827" i="17"/>
  <c r="AC827" i="17"/>
  <c r="AD827" i="17"/>
  <c r="C828" i="17"/>
  <c r="D828" i="17"/>
  <c r="E828" i="17"/>
  <c r="F828" i="17"/>
  <c r="G828" i="17"/>
  <c r="H828" i="17"/>
  <c r="I828" i="17"/>
  <c r="J828" i="17"/>
  <c r="K828" i="17"/>
  <c r="L828" i="17"/>
  <c r="M828" i="17"/>
  <c r="N828" i="17"/>
  <c r="O828" i="17"/>
  <c r="P828" i="17"/>
  <c r="Q828" i="17"/>
  <c r="R828" i="17"/>
  <c r="S828" i="17"/>
  <c r="T828" i="17"/>
  <c r="U828" i="17"/>
  <c r="V828" i="17"/>
  <c r="W828" i="17"/>
  <c r="X828" i="17"/>
  <c r="Y828" i="17"/>
  <c r="Z828" i="17"/>
  <c r="AA828" i="17"/>
  <c r="AB828" i="17"/>
  <c r="AC828" i="17"/>
  <c r="AD828" i="17"/>
  <c r="C829" i="17"/>
  <c r="D829" i="17"/>
  <c r="E829" i="17"/>
  <c r="F829" i="17"/>
  <c r="G829" i="17"/>
  <c r="H829" i="17"/>
  <c r="I829" i="17"/>
  <c r="J829" i="17"/>
  <c r="K829" i="17"/>
  <c r="L829" i="17"/>
  <c r="M829" i="17"/>
  <c r="N829" i="17"/>
  <c r="O829" i="17"/>
  <c r="P829" i="17"/>
  <c r="Q829" i="17"/>
  <c r="R829" i="17"/>
  <c r="S829" i="17"/>
  <c r="T829" i="17"/>
  <c r="U829" i="17"/>
  <c r="V829" i="17"/>
  <c r="W829" i="17"/>
  <c r="X829" i="17"/>
  <c r="Y829" i="17"/>
  <c r="Z829" i="17"/>
  <c r="AA829" i="17"/>
  <c r="AB829" i="17"/>
  <c r="AC829" i="17"/>
  <c r="AD829" i="17"/>
  <c r="C830" i="17"/>
  <c r="D830" i="17"/>
  <c r="E830" i="17"/>
  <c r="F830" i="17"/>
  <c r="G830" i="17"/>
  <c r="H830" i="17"/>
  <c r="I830" i="17"/>
  <c r="J830" i="17"/>
  <c r="K830" i="17"/>
  <c r="L830" i="17"/>
  <c r="M830" i="17"/>
  <c r="N830" i="17"/>
  <c r="O830" i="17"/>
  <c r="P830" i="17"/>
  <c r="Q830" i="17"/>
  <c r="R830" i="17"/>
  <c r="S830" i="17"/>
  <c r="T830" i="17"/>
  <c r="U830" i="17"/>
  <c r="V830" i="17"/>
  <c r="W830" i="17"/>
  <c r="X830" i="17"/>
  <c r="Y830" i="17"/>
  <c r="Z830" i="17"/>
  <c r="AA830" i="17"/>
  <c r="AB830" i="17"/>
  <c r="AC830" i="17"/>
  <c r="AD830" i="17"/>
  <c r="C831" i="17"/>
  <c r="D831" i="17"/>
  <c r="E831" i="17"/>
  <c r="F831" i="17"/>
  <c r="G831" i="17"/>
  <c r="H831" i="17"/>
  <c r="I831" i="17"/>
  <c r="J831" i="17"/>
  <c r="K831" i="17"/>
  <c r="L831" i="17"/>
  <c r="M831" i="17"/>
  <c r="N831" i="17"/>
  <c r="O831" i="17"/>
  <c r="P831" i="17"/>
  <c r="Q831" i="17"/>
  <c r="R831" i="17"/>
  <c r="S831" i="17"/>
  <c r="T831" i="17"/>
  <c r="U831" i="17"/>
  <c r="V831" i="17"/>
  <c r="W831" i="17"/>
  <c r="X831" i="17"/>
  <c r="Y831" i="17"/>
  <c r="Z831" i="17"/>
  <c r="AA831" i="17"/>
  <c r="AB831" i="17"/>
  <c r="AC831" i="17"/>
  <c r="AD831" i="17"/>
  <c r="C832" i="17"/>
  <c r="D832" i="17"/>
  <c r="E832" i="17"/>
  <c r="F832" i="17"/>
  <c r="G832" i="17"/>
  <c r="H832" i="17"/>
  <c r="I832" i="17"/>
  <c r="J832" i="17"/>
  <c r="K832" i="17"/>
  <c r="L832" i="17"/>
  <c r="M832" i="17"/>
  <c r="N832" i="17"/>
  <c r="O832" i="17"/>
  <c r="P832" i="17"/>
  <c r="Q832" i="17"/>
  <c r="R832" i="17"/>
  <c r="S832" i="17"/>
  <c r="T832" i="17"/>
  <c r="U832" i="17"/>
  <c r="V832" i="17"/>
  <c r="W832" i="17"/>
  <c r="X832" i="17"/>
  <c r="Y832" i="17"/>
  <c r="Z832" i="17"/>
  <c r="AA832" i="17"/>
  <c r="AB832" i="17"/>
  <c r="AC832" i="17"/>
  <c r="AD832" i="17"/>
  <c r="C833" i="17"/>
  <c r="D833" i="17"/>
  <c r="E833" i="17"/>
  <c r="F833" i="17"/>
  <c r="G833" i="17"/>
  <c r="H833" i="17"/>
  <c r="I833" i="17"/>
  <c r="J833" i="17"/>
  <c r="K833" i="17"/>
  <c r="L833" i="17"/>
  <c r="M833" i="17"/>
  <c r="N833" i="17"/>
  <c r="O833" i="17"/>
  <c r="P833" i="17"/>
  <c r="Q833" i="17"/>
  <c r="R833" i="17"/>
  <c r="S833" i="17"/>
  <c r="T833" i="17"/>
  <c r="U833" i="17"/>
  <c r="V833" i="17"/>
  <c r="W833" i="17"/>
  <c r="X833" i="17"/>
  <c r="Y833" i="17"/>
  <c r="Z833" i="17"/>
  <c r="AA833" i="17"/>
  <c r="AB833" i="17"/>
  <c r="AC833" i="17"/>
  <c r="AD833" i="17"/>
  <c r="C834" i="17"/>
  <c r="D834" i="17"/>
  <c r="E834" i="17"/>
  <c r="F834" i="17"/>
  <c r="G834" i="17"/>
  <c r="H834" i="17"/>
  <c r="I834" i="17"/>
  <c r="J834" i="17"/>
  <c r="K834" i="17"/>
  <c r="L834" i="17"/>
  <c r="M834" i="17"/>
  <c r="N834" i="17"/>
  <c r="O834" i="17"/>
  <c r="P834" i="17"/>
  <c r="Q834" i="17"/>
  <c r="R834" i="17"/>
  <c r="S834" i="17"/>
  <c r="T834" i="17"/>
  <c r="U834" i="17"/>
  <c r="V834" i="17"/>
  <c r="W834" i="17"/>
  <c r="X834" i="17"/>
  <c r="Y834" i="17"/>
  <c r="Z834" i="17"/>
  <c r="AA834" i="17"/>
  <c r="AB834" i="17"/>
  <c r="AC834" i="17"/>
  <c r="AD834" i="17"/>
  <c r="C835" i="17"/>
  <c r="D835" i="17"/>
  <c r="E835" i="17"/>
  <c r="F835" i="17"/>
  <c r="G835" i="17"/>
  <c r="H835" i="17"/>
  <c r="I835" i="17"/>
  <c r="J835" i="17"/>
  <c r="K835" i="17"/>
  <c r="L835" i="17"/>
  <c r="M835" i="17"/>
  <c r="N835" i="17"/>
  <c r="O835" i="17"/>
  <c r="P835" i="17"/>
  <c r="Q835" i="17"/>
  <c r="R835" i="17"/>
  <c r="S835" i="17"/>
  <c r="T835" i="17"/>
  <c r="U835" i="17"/>
  <c r="V835" i="17"/>
  <c r="W835" i="17"/>
  <c r="X835" i="17"/>
  <c r="Y835" i="17"/>
  <c r="Z835" i="17"/>
  <c r="AA835" i="17"/>
  <c r="AB835" i="17"/>
  <c r="AC835" i="17"/>
  <c r="AD835" i="17"/>
  <c r="C836" i="17"/>
  <c r="D836" i="17"/>
  <c r="E836" i="17"/>
  <c r="F836" i="17"/>
  <c r="G836" i="17"/>
  <c r="H836" i="17"/>
  <c r="I836" i="17"/>
  <c r="J836" i="17"/>
  <c r="K836" i="17"/>
  <c r="L836" i="17"/>
  <c r="M836" i="17"/>
  <c r="N836" i="17"/>
  <c r="O836" i="17"/>
  <c r="P836" i="17"/>
  <c r="Q836" i="17"/>
  <c r="R836" i="17"/>
  <c r="S836" i="17"/>
  <c r="T836" i="17"/>
  <c r="U836" i="17"/>
  <c r="V836" i="17"/>
  <c r="W836" i="17"/>
  <c r="X836" i="17"/>
  <c r="Y836" i="17"/>
  <c r="Z836" i="17"/>
  <c r="AA836" i="17"/>
  <c r="AB836" i="17"/>
  <c r="AC836" i="17"/>
  <c r="AD836" i="17"/>
  <c r="C837" i="17"/>
  <c r="D837" i="17"/>
  <c r="E837" i="17"/>
  <c r="F837" i="17"/>
  <c r="G837" i="17"/>
  <c r="H837" i="17"/>
  <c r="I837" i="17"/>
  <c r="J837" i="17"/>
  <c r="K837" i="17"/>
  <c r="L837" i="17"/>
  <c r="M837" i="17"/>
  <c r="N837" i="17"/>
  <c r="O837" i="17"/>
  <c r="P837" i="17"/>
  <c r="Q837" i="17"/>
  <c r="R837" i="17"/>
  <c r="S837" i="17"/>
  <c r="T837" i="17"/>
  <c r="U837" i="17"/>
  <c r="V837" i="17"/>
  <c r="W837" i="17"/>
  <c r="X837" i="17"/>
  <c r="Y837" i="17"/>
  <c r="Z837" i="17"/>
  <c r="AA837" i="17"/>
  <c r="AB837" i="17"/>
  <c r="AC837" i="17"/>
  <c r="AD837" i="17"/>
  <c r="C838" i="17"/>
  <c r="D838" i="17"/>
  <c r="E838" i="17"/>
  <c r="F838" i="17"/>
  <c r="G838" i="17"/>
  <c r="H838" i="17"/>
  <c r="I838" i="17"/>
  <c r="J838" i="17"/>
  <c r="K838" i="17"/>
  <c r="L838" i="17"/>
  <c r="M838" i="17"/>
  <c r="N838" i="17"/>
  <c r="O838" i="17"/>
  <c r="P838" i="17"/>
  <c r="Q838" i="17"/>
  <c r="R838" i="17"/>
  <c r="S838" i="17"/>
  <c r="T838" i="17"/>
  <c r="U838" i="17"/>
  <c r="V838" i="17"/>
  <c r="W838" i="17"/>
  <c r="X838" i="17"/>
  <c r="Y838" i="17"/>
  <c r="Z838" i="17"/>
  <c r="AA838" i="17"/>
  <c r="AB838" i="17"/>
  <c r="AC838" i="17"/>
  <c r="AD838" i="17"/>
  <c r="C839" i="17"/>
  <c r="D839" i="17"/>
  <c r="E839" i="17"/>
  <c r="F839" i="17"/>
  <c r="G839" i="17"/>
  <c r="H839" i="17"/>
  <c r="I839" i="17"/>
  <c r="J839" i="17"/>
  <c r="K839" i="17"/>
  <c r="L839" i="17"/>
  <c r="M839" i="17"/>
  <c r="N839" i="17"/>
  <c r="O839" i="17"/>
  <c r="P839" i="17"/>
  <c r="Q839" i="17"/>
  <c r="R839" i="17"/>
  <c r="S839" i="17"/>
  <c r="T839" i="17"/>
  <c r="U839" i="17"/>
  <c r="V839" i="17"/>
  <c r="W839" i="17"/>
  <c r="X839" i="17"/>
  <c r="Y839" i="17"/>
  <c r="Z839" i="17"/>
  <c r="AA839" i="17"/>
  <c r="AB839" i="17"/>
  <c r="AC839" i="17"/>
  <c r="AD839" i="17"/>
  <c r="C840" i="17"/>
  <c r="D840" i="17"/>
  <c r="E840" i="17"/>
  <c r="F840" i="17"/>
  <c r="G840" i="17"/>
  <c r="H840" i="17"/>
  <c r="I840" i="17"/>
  <c r="J840" i="17"/>
  <c r="K840" i="17"/>
  <c r="L840" i="17"/>
  <c r="M840" i="17"/>
  <c r="N840" i="17"/>
  <c r="O840" i="17"/>
  <c r="P840" i="17"/>
  <c r="Q840" i="17"/>
  <c r="R840" i="17"/>
  <c r="S840" i="17"/>
  <c r="T840" i="17"/>
  <c r="U840" i="17"/>
  <c r="V840" i="17"/>
  <c r="W840" i="17"/>
  <c r="X840" i="17"/>
  <c r="Y840" i="17"/>
  <c r="Z840" i="17"/>
  <c r="AA840" i="17"/>
  <c r="AB840" i="17"/>
  <c r="AC840" i="17"/>
  <c r="AD840" i="17"/>
  <c r="C841" i="17"/>
  <c r="D841" i="17"/>
  <c r="E841" i="17"/>
  <c r="F841" i="17"/>
  <c r="G841" i="17"/>
  <c r="H841" i="17"/>
  <c r="I841" i="17"/>
  <c r="J841" i="17"/>
  <c r="K841" i="17"/>
  <c r="L841" i="17"/>
  <c r="M841" i="17"/>
  <c r="N841" i="17"/>
  <c r="O841" i="17"/>
  <c r="P841" i="17"/>
  <c r="Q841" i="17"/>
  <c r="R841" i="17"/>
  <c r="S841" i="17"/>
  <c r="T841" i="17"/>
  <c r="U841" i="17"/>
  <c r="V841" i="17"/>
  <c r="W841" i="17"/>
  <c r="X841" i="17"/>
  <c r="Y841" i="17"/>
  <c r="Z841" i="17"/>
  <c r="AA841" i="17"/>
  <c r="AB841" i="17"/>
  <c r="AC841" i="17"/>
  <c r="AD841" i="17"/>
  <c r="C842" i="17"/>
  <c r="D842" i="17"/>
  <c r="E842" i="17"/>
  <c r="F842" i="17"/>
  <c r="G842" i="17"/>
  <c r="H842" i="17"/>
  <c r="I842" i="17"/>
  <c r="J842" i="17"/>
  <c r="K842" i="17"/>
  <c r="L842" i="17"/>
  <c r="M842" i="17"/>
  <c r="N842" i="17"/>
  <c r="O842" i="17"/>
  <c r="P842" i="17"/>
  <c r="Q842" i="17"/>
  <c r="R842" i="17"/>
  <c r="S842" i="17"/>
  <c r="T842" i="17"/>
  <c r="U842" i="17"/>
  <c r="V842" i="17"/>
  <c r="W842" i="17"/>
  <c r="X842" i="17"/>
  <c r="Y842" i="17"/>
  <c r="Z842" i="17"/>
  <c r="AA842" i="17"/>
  <c r="AB842" i="17"/>
  <c r="AC842" i="17"/>
  <c r="AD842" i="17"/>
  <c r="C843" i="17"/>
  <c r="D843" i="17"/>
  <c r="E843" i="17"/>
  <c r="F843" i="17"/>
  <c r="G843" i="17"/>
  <c r="H843" i="17"/>
  <c r="I843" i="17"/>
  <c r="J843" i="17"/>
  <c r="K843" i="17"/>
  <c r="L843" i="17"/>
  <c r="M843" i="17"/>
  <c r="N843" i="17"/>
  <c r="O843" i="17"/>
  <c r="P843" i="17"/>
  <c r="Q843" i="17"/>
  <c r="R843" i="17"/>
  <c r="S843" i="17"/>
  <c r="T843" i="17"/>
  <c r="U843" i="17"/>
  <c r="V843" i="17"/>
  <c r="W843" i="17"/>
  <c r="X843" i="17"/>
  <c r="Y843" i="17"/>
  <c r="Z843" i="17"/>
  <c r="AA843" i="17"/>
  <c r="AB843" i="17"/>
  <c r="AC843" i="17"/>
  <c r="AD843" i="17"/>
  <c r="C844" i="17"/>
  <c r="D844" i="17"/>
  <c r="E844" i="17"/>
  <c r="F844" i="17"/>
  <c r="G844" i="17"/>
  <c r="H844" i="17"/>
  <c r="I844" i="17"/>
  <c r="J844" i="17"/>
  <c r="K844" i="17"/>
  <c r="L844" i="17"/>
  <c r="M844" i="17"/>
  <c r="N844" i="17"/>
  <c r="O844" i="17"/>
  <c r="P844" i="17"/>
  <c r="Q844" i="17"/>
  <c r="R844" i="17"/>
  <c r="S844" i="17"/>
  <c r="T844" i="17"/>
  <c r="U844" i="17"/>
  <c r="V844" i="17"/>
  <c r="W844" i="17"/>
  <c r="X844" i="17"/>
  <c r="Y844" i="17"/>
  <c r="Z844" i="17"/>
  <c r="AA844" i="17"/>
  <c r="AB844" i="17"/>
  <c r="AC844" i="17"/>
  <c r="AD844" i="17"/>
  <c r="C845" i="17"/>
  <c r="D845" i="17"/>
  <c r="E845" i="17"/>
  <c r="F845" i="17"/>
  <c r="G845" i="17"/>
  <c r="H845" i="17"/>
  <c r="I845" i="17"/>
  <c r="J845" i="17"/>
  <c r="K845" i="17"/>
  <c r="L845" i="17"/>
  <c r="M845" i="17"/>
  <c r="N845" i="17"/>
  <c r="O845" i="17"/>
  <c r="P845" i="17"/>
  <c r="Q845" i="17"/>
  <c r="R845" i="17"/>
  <c r="S845" i="17"/>
  <c r="T845" i="17"/>
  <c r="U845" i="17"/>
  <c r="V845" i="17"/>
  <c r="W845" i="17"/>
  <c r="X845" i="17"/>
  <c r="Y845" i="17"/>
  <c r="Z845" i="17"/>
  <c r="AA845" i="17"/>
  <c r="AB845" i="17"/>
  <c r="AC845" i="17"/>
  <c r="AD845" i="17"/>
  <c r="C846" i="17"/>
  <c r="D846" i="17"/>
  <c r="E846" i="17"/>
  <c r="F846" i="17"/>
  <c r="G846" i="17"/>
  <c r="H846" i="17"/>
  <c r="I846" i="17"/>
  <c r="J846" i="17"/>
  <c r="K846" i="17"/>
  <c r="L846" i="17"/>
  <c r="M846" i="17"/>
  <c r="N846" i="17"/>
  <c r="O846" i="17"/>
  <c r="P846" i="17"/>
  <c r="Q846" i="17"/>
  <c r="R846" i="17"/>
  <c r="S846" i="17"/>
  <c r="T846" i="17"/>
  <c r="U846" i="17"/>
  <c r="V846" i="17"/>
  <c r="W846" i="17"/>
  <c r="X846" i="17"/>
  <c r="Y846" i="17"/>
  <c r="Z846" i="17"/>
  <c r="AA846" i="17"/>
  <c r="AB846" i="17"/>
  <c r="AC846" i="17"/>
  <c r="AD846" i="17"/>
  <c r="C847" i="17"/>
  <c r="D847" i="17"/>
  <c r="E847" i="17"/>
  <c r="F847" i="17"/>
  <c r="G847" i="17"/>
  <c r="H847" i="17"/>
  <c r="I847" i="17"/>
  <c r="J847" i="17"/>
  <c r="K847" i="17"/>
  <c r="L847" i="17"/>
  <c r="M847" i="17"/>
  <c r="N847" i="17"/>
  <c r="O847" i="17"/>
  <c r="P847" i="17"/>
  <c r="Q847" i="17"/>
  <c r="R847" i="17"/>
  <c r="S847" i="17"/>
  <c r="T847" i="17"/>
  <c r="U847" i="17"/>
  <c r="V847" i="17"/>
  <c r="W847" i="17"/>
  <c r="X847" i="17"/>
  <c r="Y847" i="17"/>
  <c r="Z847" i="17"/>
  <c r="AA847" i="17"/>
  <c r="AB847" i="17"/>
  <c r="AC847" i="17"/>
  <c r="AD847" i="17"/>
  <c r="C848" i="17"/>
  <c r="D848" i="17"/>
  <c r="E848" i="17"/>
  <c r="F848" i="17"/>
  <c r="G848" i="17"/>
  <c r="H848" i="17"/>
  <c r="I848" i="17"/>
  <c r="J848" i="17"/>
  <c r="K848" i="17"/>
  <c r="L848" i="17"/>
  <c r="M848" i="17"/>
  <c r="N848" i="17"/>
  <c r="O848" i="17"/>
  <c r="P848" i="17"/>
  <c r="Q848" i="17"/>
  <c r="R848" i="17"/>
  <c r="S848" i="17"/>
  <c r="T848" i="17"/>
  <c r="U848" i="17"/>
  <c r="V848" i="17"/>
  <c r="W848" i="17"/>
  <c r="X848" i="17"/>
  <c r="Y848" i="17"/>
  <c r="Z848" i="17"/>
  <c r="AA848" i="17"/>
  <c r="AB848" i="17"/>
  <c r="AC848" i="17"/>
  <c r="AD848" i="17"/>
  <c r="C849" i="17"/>
  <c r="D849" i="17"/>
  <c r="E849" i="17"/>
  <c r="F849" i="17"/>
  <c r="G849" i="17"/>
  <c r="H849" i="17"/>
  <c r="I849" i="17"/>
  <c r="J849" i="17"/>
  <c r="K849" i="17"/>
  <c r="L849" i="17"/>
  <c r="M849" i="17"/>
  <c r="N849" i="17"/>
  <c r="O849" i="17"/>
  <c r="P849" i="17"/>
  <c r="Q849" i="17"/>
  <c r="R849" i="17"/>
  <c r="S849" i="17"/>
  <c r="T849" i="17"/>
  <c r="U849" i="17"/>
  <c r="V849" i="17"/>
  <c r="W849" i="17"/>
  <c r="X849" i="17"/>
  <c r="Y849" i="17"/>
  <c r="Z849" i="17"/>
  <c r="AA849" i="17"/>
  <c r="AB849" i="17"/>
  <c r="AC849" i="17"/>
  <c r="AD849" i="17"/>
  <c r="C850" i="17"/>
  <c r="D850" i="17"/>
  <c r="E850" i="17"/>
  <c r="F850" i="17"/>
  <c r="G850" i="17"/>
  <c r="H850" i="17"/>
  <c r="I850" i="17"/>
  <c r="J850" i="17"/>
  <c r="K850" i="17"/>
  <c r="L850" i="17"/>
  <c r="M850" i="17"/>
  <c r="N850" i="17"/>
  <c r="O850" i="17"/>
  <c r="P850" i="17"/>
  <c r="Q850" i="17"/>
  <c r="R850" i="17"/>
  <c r="S850" i="17"/>
  <c r="T850" i="17"/>
  <c r="U850" i="17"/>
  <c r="V850" i="17"/>
  <c r="W850" i="17"/>
  <c r="X850" i="17"/>
  <c r="Y850" i="17"/>
  <c r="Z850" i="17"/>
  <c r="AA850" i="17"/>
  <c r="AB850" i="17"/>
  <c r="AC850" i="17"/>
  <c r="AD850" i="17"/>
  <c r="C851" i="17"/>
  <c r="D851" i="17"/>
  <c r="E851" i="17"/>
  <c r="F851" i="17"/>
  <c r="G851" i="17"/>
  <c r="H851" i="17"/>
  <c r="I851" i="17"/>
  <c r="J851" i="17"/>
  <c r="K851" i="17"/>
  <c r="L851" i="17"/>
  <c r="M851" i="17"/>
  <c r="N851" i="17"/>
  <c r="O851" i="17"/>
  <c r="P851" i="17"/>
  <c r="Q851" i="17"/>
  <c r="R851" i="17"/>
  <c r="S851" i="17"/>
  <c r="T851" i="17"/>
  <c r="U851" i="17"/>
  <c r="V851" i="17"/>
  <c r="W851" i="17"/>
  <c r="X851" i="17"/>
  <c r="Y851" i="17"/>
  <c r="Z851" i="17"/>
  <c r="AA851" i="17"/>
  <c r="AB851" i="17"/>
  <c r="AC851" i="17"/>
  <c r="AD851" i="17"/>
  <c r="C852" i="17"/>
  <c r="D852" i="17"/>
  <c r="E852" i="17"/>
  <c r="F852" i="17"/>
  <c r="G852" i="17"/>
  <c r="H852" i="17"/>
  <c r="I852" i="17"/>
  <c r="J852" i="17"/>
  <c r="K852" i="17"/>
  <c r="L852" i="17"/>
  <c r="M852" i="17"/>
  <c r="N852" i="17"/>
  <c r="O852" i="17"/>
  <c r="P852" i="17"/>
  <c r="Q852" i="17"/>
  <c r="R852" i="17"/>
  <c r="S852" i="17"/>
  <c r="T852" i="17"/>
  <c r="U852" i="17"/>
  <c r="V852" i="17"/>
  <c r="W852" i="17"/>
  <c r="X852" i="17"/>
  <c r="Y852" i="17"/>
  <c r="Z852" i="17"/>
  <c r="AA852" i="17"/>
  <c r="AB852" i="17"/>
  <c r="AC852" i="17"/>
  <c r="AD852" i="17"/>
  <c r="C853" i="17"/>
  <c r="D853" i="17"/>
  <c r="E853" i="17"/>
  <c r="F853" i="17"/>
  <c r="G853" i="17"/>
  <c r="H853" i="17"/>
  <c r="I853" i="17"/>
  <c r="J853" i="17"/>
  <c r="K853" i="17"/>
  <c r="L853" i="17"/>
  <c r="M853" i="17"/>
  <c r="N853" i="17"/>
  <c r="O853" i="17"/>
  <c r="P853" i="17"/>
  <c r="Q853" i="17"/>
  <c r="R853" i="17"/>
  <c r="S853" i="17"/>
  <c r="T853" i="17"/>
  <c r="U853" i="17"/>
  <c r="V853" i="17"/>
  <c r="W853" i="17"/>
  <c r="X853" i="17"/>
  <c r="Y853" i="17"/>
  <c r="Z853" i="17"/>
  <c r="AA853" i="17"/>
  <c r="AB853" i="17"/>
  <c r="AC853" i="17"/>
  <c r="AD853" i="17"/>
  <c r="C854" i="17"/>
  <c r="D854" i="17"/>
  <c r="E854" i="17"/>
  <c r="F854" i="17"/>
  <c r="G854" i="17"/>
  <c r="H854" i="17"/>
  <c r="I854" i="17"/>
  <c r="J854" i="17"/>
  <c r="K854" i="17"/>
  <c r="L854" i="17"/>
  <c r="M854" i="17"/>
  <c r="N854" i="17"/>
  <c r="O854" i="17"/>
  <c r="P854" i="17"/>
  <c r="Q854" i="17"/>
  <c r="R854" i="17"/>
  <c r="S854" i="17"/>
  <c r="T854" i="17"/>
  <c r="U854" i="17"/>
  <c r="V854" i="17"/>
  <c r="W854" i="17"/>
  <c r="X854" i="17"/>
  <c r="Y854" i="17"/>
  <c r="Z854" i="17"/>
  <c r="AA854" i="17"/>
  <c r="AB854" i="17"/>
  <c r="AC854" i="17"/>
  <c r="AD854" i="17"/>
  <c r="C855" i="17"/>
  <c r="D855" i="17"/>
  <c r="E855" i="17"/>
  <c r="F855" i="17"/>
  <c r="G855" i="17"/>
  <c r="H855" i="17"/>
  <c r="I855" i="17"/>
  <c r="J855" i="17"/>
  <c r="K855" i="17"/>
  <c r="L855" i="17"/>
  <c r="M855" i="17"/>
  <c r="N855" i="17"/>
  <c r="O855" i="17"/>
  <c r="P855" i="17"/>
  <c r="Q855" i="17"/>
  <c r="R855" i="17"/>
  <c r="S855" i="17"/>
  <c r="T855" i="17"/>
  <c r="U855" i="17"/>
  <c r="V855" i="17"/>
  <c r="W855" i="17"/>
  <c r="X855" i="17"/>
  <c r="Y855" i="17"/>
  <c r="Z855" i="17"/>
  <c r="AA855" i="17"/>
  <c r="AB855" i="17"/>
  <c r="AC855" i="17"/>
  <c r="AD855" i="17"/>
  <c r="C856" i="17"/>
  <c r="D856" i="17"/>
  <c r="E856" i="17"/>
  <c r="F856" i="17"/>
  <c r="G856" i="17"/>
  <c r="H856" i="17"/>
  <c r="I856" i="17"/>
  <c r="J856" i="17"/>
  <c r="K856" i="17"/>
  <c r="L856" i="17"/>
  <c r="M856" i="17"/>
  <c r="N856" i="17"/>
  <c r="O856" i="17"/>
  <c r="P856" i="17"/>
  <c r="Q856" i="17"/>
  <c r="R856" i="17"/>
  <c r="S856" i="17"/>
  <c r="T856" i="17"/>
  <c r="U856" i="17"/>
  <c r="V856" i="17"/>
  <c r="W856" i="17"/>
  <c r="X856" i="17"/>
  <c r="Y856" i="17"/>
  <c r="Z856" i="17"/>
  <c r="AA856" i="17"/>
  <c r="AB856" i="17"/>
  <c r="AC856" i="17"/>
  <c r="AD856" i="17"/>
  <c r="C857" i="17"/>
  <c r="D857" i="17"/>
  <c r="E857" i="17"/>
  <c r="F857" i="17"/>
  <c r="G857" i="17"/>
  <c r="H857" i="17"/>
  <c r="I857" i="17"/>
  <c r="J857" i="17"/>
  <c r="K857" i="17"/>
  <c r="L857" i="17"/>
  <c r="M857" i="17"/>
  <c r="N857" i="17"/>
  <c r="O857" i="17"/>
  <c r="P857" i="17"/>
  <c r="Q857" i="17"/>
  <c r="R857" i="17"/>
  <c r="S857" i="17"/>
  <c r="T857" i="17"/>
  <c r="U857" i="17"/>
  <c r="V857" i="17"/>
  <c r="W857" i="17"/>
  <c r="X857" i="17"/>
  <c r="Y857" i="17"/>
  <c r="Z857" i="17"/>
  <c r="AA857" i="17"/>
  <c r="AB857" i="17"/>
  <c r="AC857" i="17"/>
  <c r="AD857" i="17"/>
  <c r="C858" i="17"/>
  <c r="D858" i="17"/>
  <c r="E858" i="17"/>
  <c r="F858" i="17"/>
  <c r="G858" i="17"/>
  <c r="H858" i="17"/>
  <c r="I858" i="17"/>
  <c r="J858" i="17"/>
  <c r="K858" i="17"/>
  <c r="L858" i="17"/>
  <c r="M858" i="17"/>
  <c r="N858" i="17"/>
  <c r="O858" i="17"/>
  <c r="P858" i="17"/>
  <c r="Q858" i="17"/>
  <c r="R858" i="17"/>
  <c r="S858" i="17"/>
  <c r="T858" i="17"/>
  <c r="U858" i="17"/>
  <c r="V858" i="17"/>
  <c r="W858" i="17"/>
  <c r="X858" i="17"/>
  <c r="Y858" i="17"/>
  <c r="Z858" i="17"/>
  <c r="AA858" i="17"/>
  <c r="AB858" i="17"/>
  <c r="AC858" i="17"/>
  <c r="AD858" i="17"/>
  <c r="C859" i="17"/>
  <c r="D859" i="17"/>
  <c r="E859" i="17"/>
  <c r="F859" i="17"/>
  <c r="G859" i="17"/>
  <c r="H859" i="17"/>
  <c r="I859" i="17"/>
  <c r="J859" i="17"/>
  <c r="K859" i="17"/>
  <c r="L859" i="17"/>
  <c r="M859" i="17"/>
  <c r="N859" i="17"/>
  <c r="O859" i="17"/>
  <c r="P859" i="17"/>
  <c r="Q859" i="17"/>
  <c r="R859" i="17"/>
  <c r="S859" i="17"/>
  <c r="T859" i="17"/>
  <c r="U859" i="17"/>
  <c r="V859" i="17"/>
  <c r="W859" i="17"/>
  <c r="X859" i="17"/>
  <c r="Y859" i="17"/>
  <c r="Z859" i="17"/>
  <c r="AA859" i="17"/>
  <c r="AB859" i="17"/>
  <c r="AC859" i="17"/>
  <c r="AD859" i="17"/>
  <c r="C860" i="17"/>
  <c r="D860" i="17"/>
  <c r="E860" i="17"/>
  <c r="F860" i="17"/>
  <c r="G860" i="17"/>
  <c r="H860" i="17"/>
  <c r="I860" i="17"/>
  <c r="J860" i="17"/>
  <c r="K860" i="17"/>
  <c r="L860" i="17"/>
  <c r="M860" i="17"/>
  <c r="N860" i="17"/>
  <c r="O860" i="17"/>
  <c r="P860" i="17"/>
  <c r="Q860" i="17"/>
  <c r="R860" i="17"/>
  <c r="S860" i="17"/>
  <c r="T860" i="17"/>
  <c r="U860" i="17"/>
  <c r="V860" i="17"/>
  <c r="W860" i="17"/>
  <c r="X860" i="17"/>
  <c r="Y860" i="17"/>
  <c r="Z860" i="17"/>
  <c r="AA860" i="17"/>
  <c r="AB860" i="17"/>
  <c r="AC860" i="17"/>
  <c r="AD860" i="17"/>
  <c r="C861" i="17"/>
  <c r="D861" i="17"/>
  <c r="E861" i="17"/>
  <c r="F861" i="17"/>
  <c r="G861" i="17"/>
  <c r="H861" i="17"/>
  <c r="I861" i="17"/>
  <c r="J861" i="17"/>
  <c r="K861" i="17"/>
  <c r="L861" i="17"/>
  <c r="M861" i="17"/>
  <c r="N861" i="17"/>
  <c r="O861" i="17"/>
  <c r="P861" i="17"/>
  <c r="Q861" i="17"/>
  <c r="R861" i="17"/>
  <c r="S861" i="17"/>
  <c r="T861" i="17"/>
  <c r="U861" i="17"/>
  <c r="V861" i="17"/>
  <c r="W861" i="17"/>
  <c r="X861" i="17"/>
  <c r="Y861" i="17"/>
  <c r="Z861" i="17"/>
  <c r="AA861" i="17"/>
  <c r="AB861" i="17"/>
  <c r="AC861" i="17"/>
  <c r="AD861" i="17"/>
  <c r="C862" i="17"/>
  <c r="D862" i="17"/>
  <c r="E862" i="17"/>
  <c r="F862" i="17"/>
  <c r="G862" i="17"/>
  <c r="H862" i="17"/>
  <c r="I862" i="17"/>
  <c r="J862" i="17"/>
  <c r="K862" i="17"/>
  <c r="L862" i="17"/>
  <c r="M862" i="17"/>
  <c r="N862" i="17"/>
  <c r="O862" i="17"/>
  <c r="P862" i="17"/>
  <c r="Q862" i="17"/>
  <c r="R862" i="17"/>
  <c r="S862" i="17"/>
  <c r="T862" i="17"/>
  <c r="U862" i="17"/>
  <c r="V862" i="17"/>
  <c r="W862" i="17"/>
  <c r="X862" i="17"/>
  <c r="Y862" i="17"/>
  <c r="Z862" i="17"/>
  <c r="AA862" i="17"/>
  <c r="AB862" i="17"/>
  <c r="AC862" i="17"/>
  <c r="AD862" i="17"/>
  <c r="C863" i="17"/>
  <c r="D863" i="17"/>
  <c r="E863" i="17"/>
  <c r="F863" i="17"/>
  <c r="G863" i="17"/>
  <c r="H863" i="17"/>
  <c r="I863" i="17"/>
  <c r="J863" i="17"/>
  <c r="K863" i="17"/>
  <c r="L863" i="17"/>
  <c r="M863" i="17"/>
  <c r="N863" i="17"/>
  <c r="O863" i="17"/>
  <c r="P863" i="17"/>
  <c r="Q863" i="17"/>
  <c r="R863" i="17"/>
  <c r="S863" i="17"/>
  <c r="T863" i="17"/>
  <c r="U863" i="17"/>
  <c r="V863" i="17"/>
  <c r="W863" i="17"/>
  <c r="X863" i="17"/>
  <c r="Y863" i="17"/>
  <c r="Z863" i="17"/>
  <c r="AA863" i="17"/>
  <c r="AB863" i="17"/>
  <c r="AC863" i="17"/>
  <c r="AD863" i="17"/>
  <c r="C864" i="17"/>
  <c r="D864" i="17"/>
  <c r="E864" i="17"/>
  <c r="F864" i="17"/>
  <c r="G864" i="17"/>
  <c r="H864" i="17"/>
  <c r="I864" i="17"/>
  <c r="J864" i="17"/>
  <c r="K864" i="17"/>
  <c r="L864" i="17"/>
  <c r="M864" i="17"/>
  <c r="N864" i="17"/>
  <c r="O864" i="17"/>
  <c r="P864" i="17"/>
  <c r="Q864" i="17"/>
  <c r="R864" i="17"/>
  <c r="S864" i="17"/>
  <c r="T864" i="17"/>
  <c r="U864" i="17"/>
  <c r="V864" i="17"/>
  <c r="W864" i="17"/>
  <c r="X864" i="17"/>
  <c r="Y864" i="17"/>
  <c r="Z864" i="17"/>
  <c r="AA864" i="17"/>
  <c r="AB864" i="17"/>
  <c r="AC864" i="17"/>
  <c r="AD864" i="17"/>
  <c r="C865" i="17"/>
  <c r="D865" i="17"/>
  <c r="E865" i="17"/>
  <c r="F865" i="17"/>
  <c r="G865" i="17"/>
  <c r="H865" i="17"/>
  <c r="I865" i="17"/>
  <c r="J865" i="17"/>
  <c r="K865" i="17"/>
  <c r="L865" i="17"/>
  <c r="M865" i="17"/>
  <c r="N865" i="17"/>
  <c r="O865" i="17"/>
  <c r="P865" i="17"/>
  <c r="Q865" i="17"/>
  <c r="R865" i="17"/>
  <c r="S865" i="17"/>
  <c r="T865" i="17"/>
  <c r="U865" i="17"/>
  <c r="V865" i="17"/>
  <c r="W865" i="17"/>
  <c r="X865" i="17"/>
  <c r="Y865" i="17"/>
  <c r="Z865" i="17"/>
  <c r="AA865" i="17"/>
  <c r="AB865" i="17"/>
  <c r="AC865" i="17"/>
  <c r="AD865" i="17"/>
  <c r="C866" i="17"/>
  <c r="D866" i="17"/>
  <c r="E866" i="17"/>
  <c r="F866" i="17"/>
  <c r="G866" i="17"/>
  <c r="H866" i="17"/>
  <c r="I866" i="17"/>
  <c r="J866" i="17"/>
  <c r="K866" i="17"/>
  <c r="L866" i="17"/>
  <c r="M866" i="17"/>
  <c r="N866" i="17"/>
  <c r="O866" i="17"/>
  <c r="P866" i="17"/>
  <c r="Q866" i="17"/>
  <c r="R866" i="17"/>
  <c r="S866" i="17"/>
  <c r="T866" i="17"/>
  <c r="U866" i="17"/>
  <c r="V866" i="17"/>
  <c r="W866" i="17"/>
  <c r="X866" i="17"/>
  <c r="Y866" i="17"/>
  <c r="Z866" i="17"/>
  <c r="AA866" i="17"/>
  <c r="AB866" i="17"/>
  <c r="AC866" i="17"/>
  <c r="AD866" i="17"/>
  <c r="C867" i="17"/>
  <c r="D867" i="17"/>
  <c r="E867" i="17"/>
  <c r="F867" i="17"/>
  <c r="G867" i="17"/>
  <c r="H867" i="17"/>
  <c r="I867" i="17"/>
  <c r="J867" i="17"/>
  <c r="K867" i="17"/>
  <c r="L867" i="17"/>
  <c r="M867" i="17"/>
  <c r="N867" i="17"/>
  <c r="O867" i="17"/>
  <c r="P867" i="17"/>
  <c r="Q867" i="17"/>
  <c r="R867" i="17"/>
  <c r="S867" i="17"/>
  <c r="T867" i="17"/>
  <c r="U867" i="17"/>
  <c r="V867" i="17"/>
  <c r="W867" i="17"/>
  <c r="X867" i="17"/>
  <c r="Y867" i="17"/>
  <c r="Z867" i="17"/>
  <c r="AA867" i="17"/>
  <c r="AB867" i="17"/>
  <c r="AC867" i="17"/>
  <c r="AD867" i="17"/>
  <c r="C868" i="17"/>
  <c r="D868" i="17"/>
  <c r="E868" i="17"/>
  <c r="F868" i="17"/>
  <c r="G868" i="17"/>
  <c r="H868" i="17"/>
  <c r="I868" i="17"/>
  <c r="J868" i="17"/>
  <c r="K868" i="17"/>
  <c r="L868" i="17"/>
  <c r="M868" i="17"/>
  <c r="N868" i="17"/>
  <c r="O868" i="17"/>
  <c r="P868" i="17"/>
  <c r="Q868" i="17"/>
  <c r="R868" i="17"/>
  <c r="S868" i="17"/>
  <c r="T868" i="17"/>
  <c r="U868" i="17"/>
  <c r="V868" i="17"/>
  <c r="W868" i="17"/>
  <c r="X868" i="17"/>
  <c r="Y868" i="17"/>
  <c r="Z868" i="17"/>
  <c r="AA868" i="17"/>
  <c r="AB868" i="17"/>
  <c r="AC868" i="17"/>
  <c r="AD868" i="17"/>
  <c r="C869" i="17"/>
  <c r="D869" i="17"/>
  <c r="E869" i="17"/>
  <c r="F869" i="17"/>
  <c r="G869" i="17"/>
  <c r="H869" i="17"/>
  <c r="I869" i="17"/>
  <c r="J869" i="17"/>
  <c r="K869" i="17"/>
  <c r="L869" i="17"/>
  <c r="M869" i="17"/>
  <c r="N869" i="17"/>
  <c r="O869" i="17"/>
  <c r="P869" i="17"/>
  <c r="Q869" i="17"/>
  <c r="R869" i="17"/>
  <c r="S869" i="17"/>
  <c r="T869" i="17"/>
  <c r="U869" i="17"/>
  <c r="V869" i="17"/>
  <c r="W869" i="17"/>
  <c r="X869" i="17"/>
  <c r="Y869" i="17"/>
  <c r="Z869" i="17"/>
  <c r="AA869" i="17"/>
  <c r="AB869" i="17"/>
  <c r="AC869" i="17"/>
  <c r="AD869" i="17"/>
  <c r="C870" i="17"/>
  <c r="D870" i="17"/>
  <c r="E870" i="17"/>
  <c r="F870" i="17"/>
  <c r="G870" i="17"/>
  <c r="H870" i="17"/>
  <c r="I870" i="17"/>
  <c r="J870" i="17"/>
  <c r="K870" i="17"/>
  <c r="L870" i="17"/>
  <c r="M870" i="17"/>
  <c r="N870" i="17"/>
  <c r="O870" i="17"/>
  <c r="P870" i="17"/>
  <c r="Q870" i="17"/>
  <c r="R870" i="17"/>
  <c r="S870" i="17"/>
  <c r="T870" i="17"/>
  <c r="U870" i="17"/>
  <c r="V870" i="17"/>
  <c r="W870" i="17"/>
  <c r="X870" i="17"/>
  <c r="Y870" i="17"/>
  <c r="Z870" i="17"/>
  <c r="AA870" i="17"/>
  <c r="AB870" i="17"/>
  <c r="AC870" i="17"/>
  <c r="AD870" i="17"/>
  <c r="C871" i="17"/>
  <c r="D871" i="17"/>
  <c r="E871" i="17"/>
  <c r="F871" i="17"/>
  <c r="G871" i="17"/>
  <c r="H871" i="17"/>
  <c r="I871" i="17"/>
  <c r="J871" i="17"/>
  <c r="K871" i="17"/>
  <c r="L871" i="17"/>
  <c r="M871" i="17"/>
  <c r="N871" i="17"/>
  <c r="O871" i="17"/>
  <c r="P871" i="17"/>
  <c r="Q871" i="17"/>
  <c r="R871" i="17"/>
  <c r="S871" i="17"/>
  <c r="T871" i="17"/>
  <c r="U871" i="17"/>
  <c r="V871" i="17"/>
  <c r="W871" i="17"/>
  <c r="X871" i="17"/>
  <c r="Y871" i="17"/>
  <c r="Z871" i="17"/>
  <c r="AA871" i="17"/>
  <c r="AB871" i="17"/>
  <c r="AC871" i="17"/>
  <c r="AD871" i="17"/>
  <c r="C872" i="17"/>
  <c r="D872" i="17"/>
  <c r="E872" i="17"/>
  <c r="F872" i="17"/>
  <c r="G872" i="17"/>
  <c r="H872" i="17"/>
  <c r="I872" i="17"/>
  <c r="J872" i="17"/>
  <c r="K872" i="17"/>
  <c r="L872" i="17"/>
  <c r="M872" i="17"/>
  <c r="N872" i="17"/>
  <c r="O872" i="17"/>
  <c r="P872" i="17"/>
  <c r="Q872" i="17"/>
  <c r="R872" i="17"/>
  <c r="S872" i="17"/>
  <c r="T872" i="17"/>
  <c r="U872" i="17"/>
  <c r="V872" i="17"/>
  <c r="W872" i="17"/>
  <c r="X872" i="17"/>
  <c r="Y872" i="17"/>
  <c r="Z872" i="17"/>
  <c r="AA872" i="17"/>
  <c r="AB872" i="17"/>
  <c r="AC872" i="17"/>
  <c r="AD872" i="17"/>
  <c r="C873" i="17"/>
  <c r="D873" i="17"/>
  <c r="E873" i="17"/>
  <c r="F873" i="17"/>
  <c r="G873" i="17"/>
  <c r="H873" i="17"/>
  <c r="I873" i="17"/>
  <c r="J873" i="17"/>
  <c r="K873" i="17"/>
  <c r="L873" i="17"/>
  <c r="M873" i="17"/>
  <c r="N873" i="17"/>
  <c r="O873" i="17"/>
  <c r="P873" i="17"/>
  <c r="Q873" i="17"/>
  <c r="R873" i="17"/>
  <c r="S873" i="17"/>
  <c r="T873" i="17"/>
  <c r="U873" i="17"/>
  <c r="V873" i="17"/>
  <c r="W873" i="17"/>
  <c r="X873" i="17"/>
  <c r="Y873" i="17"/>
  <c r="Z873" i="17"/>
  <c r="AA873" i="17"/>
  <c r="AB873" i="17"/>
  <c r="AC873" i="17"/>
  <c r="AD873" i="17"/>
  <c r="C874" i="17"/>
  <c r="D874" i="17"/>
  <c r="E874" i="17"/>
  <c r="F874" i="17"/>
  <c r="G874" i="17"/>
  <c r="H874" i="17"/>
  <c r="I874" i="17"/>
  <c r="J874" i="17"/>
  <c r="K874" i="17"/>
  <c r="L874" i="17"/>
  <c r="M874" i="17"/>
  <c r="N874" i="17"/>
  <c r="O874" i="17"/>
  <c r="P874" i="17"/>
  <c r="Q874" i="17"/>
  <c r="R874" i="17"/>
  <c r="S874" i="17"/>
  <c r="T874" i="17"/>
  <c r="U874" i="17"/>
  <c r="V874" i="17"/>
  <c r="W874" i="17"/>
  <c r="X874" i="17"/>
  <c r="Y874" i="17"/>
  <c r="Z874" i="17"/>
  <c r="AA874" i="17"/>
  <c r="AB874" i="17"/>
  <c r="AC874" i="17"/>
  <c r="AD874" i="17"/>
  <c r="C875" i="17"/>
  <c r="D875" i="17"/>
  <c r="E875" i="17"/>
  <c r="F875" i="17"/>
  <c r="G875" i="17"/>
  <c r="H875" i="17"/>
  <c r="I875" i="17"/>
  <c r="J875" i="17"/>
  <c r="K875" i="17"/>
  <c r="L875" i="17"/>
  <c r="M875" i="17"/>
  <c r="N875" i="17"/>
  <c r="O875" i="17"/>
  <c r="P875" i="17"/>
  <c r="Q875" i="17"/>
  <c r="R875" i="17"/>
  <c r="S875" i="17"/>
  <c r="T875" i="17"/>
  <c r="U875" i="17"/>
  <c r="V875" i="17"/>
  <c r="W875" i="17"/>
  <c r="X875" i="17"/>
  <c r="Y875" i="17"/>
  <c r="Z875" i="17"/>
  <c r="AA875" i="17"/>
  <c r="AB875" i="17"/>
  <c r="AC875" i="17"/>
  <c r="AD875" i="17"/>
  <c r="C876" i="17"/>
  <c r="D876" i="17"/>
  <c r="E876" i="17"/>
  <c r="F876" i="17"/>
  <c r="G876" i="17"/>
  <c r="H876" i="17"/>
  <c r="I876" i="17"/>
  <c r="J876" i="17"/>
  <c r="K876" i="17"/>
  <c r="L876" i="17"/>
  <c r="M876" i="17"/>
  <c r="N876" i="17"/>
  <c r="O876" i="17"/>
  <c r="P876" i="17"/>
  <c r="Q876" i="17"/>
  <c r="R876" i="17"/>
  <c r="S876" i="17"/>
  <c r="T876" i="17"/>
  <c r="U876" i="17"/>
  <c r="V876" i="17"/>
  <c r="W876" i="17"/>
  <c r="X876" i="17"/>
  <c r="Y876" i="17"/>
  <c r="Z876" i="17"/>
  <c r="AA876" i="17"/>
  <c r="AB876" i="17"/>
  <c r="AC876" i="17"/>
  <c r="AD876" i="17"/>
  <c r="C877" i="17"/>
  <c r="D877" i="17"/>
  <c r="E877" i="17"/>
  <c r="F877" i="17"/>
  <c r="G877" i="17"/>
  <c r="H877" i="17"/>
  <c r="I877" i="17"/>
  <c r="J877" i="17"/>
  <c r="K877" i="17"/>
  <c r="L877" i="17"/>
  <c r="M877" i="17"/>
  <c r="N877" i="17"/>
  <c r="O877" i="17"/>
  <c r="P877" i="17"/>
  <c r="Q877" i="17"/>
  <c r="R877" i="17"/>
  <c r="S877" i="17"/>
  <c r="T877" i="17"/>
  <c r="U877" i="17"/>
  <c r="V877" i="17"/>
  <c r="W877" i="17"/>
  <c r="X877" i="17"/>
  <c r="Y877" i="17"/>
  <c r="Z877" i="17"/>
  <c r="AA877" i="17"/>
  <c r="AB877" i="17"/>
  <c r="AC877" i="17"/>
  <c r="AD877" i="17"/>
  <c r="C878" i="17"/>
  <c r="D878" i="17"/>
  <c r="E878" i="17"/>
  <c r="F878" i="17"/>
  <c r="G878" i="17"/>
  <c r="H878" i="17"/>
  <c r="I878" i="17"/>
  <c r="J878" i="17"/>
  <c r="K878" i="17"/>
  <c r="L878" i="17"/>
  <c r="M878" i="17"/>
  <c r="N878" i="17"/>
  <c r="O878" i="17"/>
  <c r="P878" i="17"/>
  <c r="Q878" i="17"/>
  <c r="R878" i="17"/>
  <c r="S878" i="17"/>
  <c r="T878" i="17"/>
  <c r="U878" i="17"/>
  <c r="V878" i="17"/>
  <c r="W878" i="17"/>
  <c r="X878" i="17"/>
  <c r="Y878" i="17"/>
  <c r="Z878" i="17"/>
  <c r="AA878" i="17"/>
  <c r="AB878" i="17"/>
  <c r="AC878" i="17"/>
  <c r="AD878" i="17"/>
  <c r="C879" i="17"/>
  <c r="D879" i="17"/>
  <c r="E879" i="17"/>
  <c r="F879" i="17"/>
  <c r="G879" i="17"/>
  <c r="H879" i="17"/>
  <c r="I879" i="17"/>
  <c r="J879" i="17"/>
  <c r="K879" i="17"/>
  <c r="L879" i="17"/>
  <c r="M879" i="17"/>
  <c r="N879" i="17"/>
  <c r="O879" i="17"/>
  <c r="P879" i="17"/>
  <c r="Q879" i="17"/>
  <c r="R879" i="17"/>
  <c r="S879" i="17"/>
  <c r="T879" i="17"/>
  <c r="U879" i="17"/>
  <c r="V879" i="17"/>
  <c r="W879" i="17"/>
  <c r="X879" i="17"/>
  <c r="Y879" i="17"/>
  <c r="Z879" i="17"/>
  <c r="AA879" i="17"/>
  <c r="AB879" i="17"/>
  <c r="AC879" i="17"/>
  <c r="AD879" i="17"/>
  <c r="C880" i="17"/>
  <c r="D880" i="17"/>
  <c r="E880" i="17"/>
  <c r="F880" i="17"/>
  <c r="G880" i="17"/>
  <c r="H880" i="17"/>
  <c r="I880" i="17"/>
  <c r="J880" i="17"/>
  <c r="K880" i="17"/>
  <c r="L880" i="17"/>
  <c r="M880" i="17"/>
  <c r="N880" i="17"/>
  <c r="O880" i="17"/>
  <c r="P880" i="17"/>
  <c r="Q880" i="17"/>
  <c r="R880" i="17"/>
  <c r="S880" i="17"/>
  <c r="T880" i="17"/>
  <c r="U880" i="17"/>
  <c r="V880" i="17"/>
  <c r="W880" i="17"/>
  <c r="X880" i="17"/>
  <c r="Y880" i="17"/>
  <c r="Z880" i="17"/>
  <c r="AA880" i="17"/>
  <c r="AB880" i="17"/>
  <c r="AC880" i="17"/>
  <c r="AD880" i="17"/>
  <c r="C881" i="17"/>
  <c r="D881" i="17"/>
  <c r="E881" i="17"/>
  <c r="F881" i="17"/>
  <c r="G881" i="17"/>
  <c r="H881" i="17"/>
  <c r="I881" i="17"/>
  <c r="J881" i="17"/>
  <c r="K881" i="17"/>
  <c r="L881" i="17"/>
  <c r="M881" i="17"/>
  <c r="N881" i="17"/>
  <c r="O881" i="17"/>
  <c r="P881" i="17"/>
  <c r="Q881" i="17"/>
  <c r="R881" i="17"/>
  <c r="S881" i="17"/>
  <c r="T881" i="17"/>
  <c r="U881" i="17"/>
  <c r="V881" i="17"/>
  <c r="W881" i="17"/>
  <c r="X881" i="17"/>
  <c r="Y881" i="17"/>
  <c r="Z881" i="17"/>
  <c r="AA881" i="17"/>
  <c r="AB881" i="17"/>
  <c r="AC881" i="17"/>
  <c r="AD881" i="17"/>
  <c r="C882" i="17"/>
  <c r="D882" i="17"/>
  <c r="E882" i="17"/>
  <c r="F882" i="17"/>
  <c r="G882" i="17"/>
  <c r="H882" i="17"/>
  <c r="I882" i="17"/>
  <c r="J882" i="17"/>
  <c r="K882" i="17"/>
  <c r="L882" i="17"/>
  <c r="M882" i="17"/>
  <c r="N882" i="17"/>
  <c r="O882" i="17"/>
  <c r="P882" i="17"/>
  <c r="Q882" i="17"/>
  <c r="R882" i="17"/>
  <c r="S882" i="17"/>
  <c r="T882" i="17"/>
  <c r="U882" i="17"/>
  <c r="V882" i="17"/>
  <c r="W882" i="17"/>
  <c r="X882" i="17"/>
  <c r="Y882" i="17"/>
  <c r="Z882" i="17"/>
  <c r="AA882" i="17"/>
  <c r="AB882" i="17"/>
  <c r="AC882" i="17"/>
  <c r="AD882" i="17"/>
  <c r="C883" i="17"/>
  <c r="D883" i="17"/>
  <c r="E883" i="17"/>
  <c r="F883" i="17"/>
  <c r="G883" i="17"/>
  <c r="H883" i="17"/>
  <c r="I883" i="17"/>
  <c r="J883" i="17"/>
  <c r="K883" i="17"/>
  <c r="L883" i="17"/>
  <c r="M883" i="17"/>
  <c r="N883" i="17"/>
  <c r="O883" i="17"/>
  <c r="P883" i="17"/>
  <c r="Q883" i="17"/>
  <c r="R883" i="17"/>
  <c r="S883" i="17"/>
  <c r="T883" i="17"/>
  <c r="U883" i="17"/>
  <c r="V883" i="17"/>
  <c r="W883" i="17"/>
  <c r="X883" i="17"/>
  <c r="Y883" i="17"/>
  <c r="Z883" i="17"/>
  <c r="AA883" i="17"/>
  <c r="AB883" i="17"/>
  <c r="AC883" i="17"/>
  <c r="AD883" i="17"/>
  <c r="C884" i="17"/>
  <c r="D884" i="17"/>
  <c r="E884" i="17"/>
  <c r="F884" i="17"/>
  <c r="G884" i="17"/>
  <c r="H884" i="17"/>
  <c r="I884" i="17"/>
  <c r="J884" i="17"/>
  <c r="K884" i="17"/>
  <c r="L884" i="17"/>
  <c r="M884" i="17"/>
  <c r="N884" i="17"/>
  <c r="O884" i="17"/>
  <c r="P884" i="17"/>
  <c r="Q884" i="17"/>
  <c r="R884" i="17"/>
  <c r="S884" i="17"/>
  <c r="T884" i="17"/>
  <c r="U884" i="17"/>
  <c r="V884" i="17"/>
  <c r="W884" i="17"/>
  <c r="X884" i="17"/>
  <c r="Y884" i="17"/>
  <c r="Z884" i="17"/>
  <c r="AA884" i="17"/>
  <c r="AB884" i="17"/>
  <c r="AC884" i="17"/>
  <c r="AD884" i="17"/>
  <c r="C885" i="17"/>
  <c r="D885" i="17"/>
  <c r="E885" i="17"/>
  <c r="F885" i="17"/>
  <c r="G885" i="17"/>
  <c r="H885" i="17"/>
  <c r="I885" i="17"/>
  <c r="J885" i="17"/>
  <c r="K885" i="17"/>
  <c r="L885" i="17"/>
  <c r="M885" i="17"/>
  <c r="N885" i="17"/>
  <c r="O885" i="17"/>
  <c r="P885" i="17"/>
  <c r="Q885" i="17"/>
  <c r="R885" i="17"/>
  <c r="S885" i="17"/>
  <c r="T885" i="17"/>
  <c r="U885" i="17"/>
  <c r="V885" i="17"/>
  <c r="W885" i="17"/>
  <c r="X885" i="17"/>
  <c r="Y885" i="17"/>
  <c r="Z885" i="17"/>
  <c r="AA885" i="17"/>
  <c r="AB885" i="17"/>
  <c r="AC885" i="17"/>
  <c r="AD885" i="17"/>
  <c r="C886" i="17"/>
  <c r="D886" i="17"/>
  <c r="E886" i="17"/>
  <c r="F886" i="17"/>
  <c r="G886" i="17"/>
  <c r="H886" i="17"/>
  <c r="I886" i="17"/>
  <c r="J886" i="17"/>
  <c r="K886" i="17"/>
  <c r="L886" i="17"/>
  <c r="M886" i="17"/>
  <c r="N886" i="17"/>
  <c r="O886" i="17"/>
  <c r="P886" i="17"/>
  <c r="Q886" i="17"/>
  <c r="R886" i="17"/>
  <c r="S886" i="17"/>
  <c r="T886" i="17"/>
  <c r="U886" i="17"/>
  <c r="V886" i="17"/>
  <c r="W886" i="17"/>
  <c r="X886" i="17"/>
  <c r="Y886" i="17"/>
  <c r="Z886" i="17"/>
  <c r="AA886" i="17"/>
  <c r="AB886" i="17"/>
  <c r="AC886" i="17"/>
  <c r="AD886" i="17"/>
  <c r="C887" i="17"/>
  <c r="D887" i="17"/>
  <c r="E887" i="17"/>
  <c r="F887" i="17"/>
  <c r="G887" i="17"/>
  <c r="H887" i="17"/>
  <c r="I887" i="17"/>
  <c r="J887" i="17"/>
  <c r="K887" i="17"/>
  <c r="L887" i="17"/>
  <c r="M887" i="17"/>
  <c r="N887" i="17"/>
  <c r="O887" i="17"/>
  <c r="P887" i="17"/>
  <c r="Q887" i="17"/>
  <c r="R887" i="17"/>
  <c r="S887" i="17"/>
  <c r="T887" i="17"/>
  <c r="U887" i="17"/>
  <c r="V887" i="17"/>
  <c r="W887" i="17"/>
  <c r="X887" i="17"/>
  <c r="Y887" i="17"/>
  <c r="Z887" i="17"/>
  <c r="AA887" i="17"/>
  <c r="AB887" i="17"/>
  <c r="AC887" i="17"/>
  <c r="AD887" i="17"/>
  <c r="C888" i="17"/>
  <c r="D888" i="17"/>
  <c r="E888" i="17"/>
  <c r="F888" i="17"/>
  <c r="G888" i="17"/>
  <c r="H888" i="17"/>
  <c r="I888" i="17"/>
  <c r="J888" i="17"/>
  <c r="K888" i="17"/>
  <c r="L888" i="17"/>
  <c r="M888" i="17"/>
  <c r="N888" i="17"/>
  <c r="O888" i="17"/>
  <c r="P888" i="17"/>
  <c r="Q888" i="17"/>
  <c r="R888" i="17"/>
  <c r="S888" i="17"/>
  <c r="T888" i="17"/>
  <c r="U888" i="17"/>
  <c r="V888" i="17"/>
  <c r="W888" i="17"/>
  <c r="X888" i="17"/>
  <c r="Y888" i="17"/>
  <c r="Z888" i="17"/>
  <c r="AA888" i="17"/>
  <c r="AB888" i="17"/>
  <c r="AC888" i="17"/>
  <c r="AD888" i="17"/>
  <c r="C889" i="17"/>
  <c r="D889" i="17"/>
  <c r="E889" i="17"/>
  <c r="F889" i="17"/>
  <c r="G889" i="17"/>
  <c r="H889" i="17"/>
  <c r="I889" i="17"/>
  <c r="J889" i="17"/>
  <c r="K889" i="17"/>
  <c r="L889" i="17"/>
  <c r="M889" i="17"/>
  <c r="N889" i="17"/>
  <c r="O889" i="17"/>
  <c r="P889" i="17"/>
  <c r="Q889" i="17"/>
  <c r="R889" i="17"/>
  <c r="S889" i="17"/>
  <c r="T889" i="17"/>
  <c r="U889" i="17"/>
  <c r="V889" i="17"/>
  <c r="W889" i="17"/>
  <c r="X889" i="17"/>
  <c r="Y889" i="17"/>
  <c r="Z889" i="17"/>
  <c r="AA889" i="17"/>
  <c r="AB889" i="17"/>
  <c r="AC889" i="17"/>
  <c r="AD889" i="17"/>
  <c r="C890" i="17"/>
  <c r="D890" i="17"/>
  <c r="E890" i="17"/>
  <c r="F890" i="17"/>
  <c r="G890" i="17"/>
  <c r="H890" i="17"/>
  <c r="I890" i="17"/>
  <c r="J890" i="17"/>
  <c r="K890" i="17"/>
  <c r="L890" i="17"/>
  <c r="M890" i="17"/>
  <c r="N890" i="17"/>
  <c r="O890" i="17"/>
  <c r="P890" i="17"/>
  <c r="Q890" i="17"/>
  <c r="R890" i="17"/>
  <c r="S890" i="17"/>
  <c r="T890" i="17"/>
  <c r="U890" i="17"/>
  <c r="V890" i="17"/>
  <c r="W890" i="17"/>
  <c r="X890" i="17"/>
  <c r="Y890" i="17"/>
  <c r="Z890" i="17"/>
  <c r="AA890" i="17"/>
  <c r="AB890" i="17"/>
  <c r="AC890" i="17"/>
  <c r="AD890" i="17"/>
  <c r="C891" i="17"/>
  <c r="D891" i="17"/>
  <c r="E891" i="17"/>
  <c r="F891" i="17"/>
  <c r="G891" i="17"/>
  <c r="H891" i="17"/>
  <c r="I891" i="17"/>
  <c r="J891" i="17"/>
  <c r="K891" i="17"/>
  <c r="L891" i="17"/>
  <c r="M891" i="17"/>
  <c r="N891" i="17"/>
  <c r="O891" i="17"/>
  <c r="P891" i="17"/>
  <c r="Q891" i="17"/>
  <c r="R891" i="17"/>
  <c r="S891" i="17"/>
  <c r="T891" i="17"/>
  <c r="U891" i="17"/>
  <c r="V891" i="17"/>
  <c r="W891" i="17"/>
  <c r="X891" i="17"/>
  <c r="Y891" i="17"/>
  <c r="Z891" i="17"/>
  <c r="AA891" i="17"/>
  <c r="AB891" i="17"/>
  <c r="AC891" i="17"/>
  <c r="AD891" i="17"/>
  <c r="C892" i="17"/>
  <c r="D892" i="17"/>
  <c r="E892" i="17"/>
  <c r="F892" i="17"/>
  <c r="G892" i="17"/>
  <c r="H892" i="17"/>
  <c r="I892" i="17"/>
  <c r="J892" i="17"/>
  <c r="K892" i="17"/>
  <c r="L892" i="17"/>
  <c r="M892" i="17"/>
  <c r="N892" i="17"/>
  <c r="O892" i="17"/>
  <c r="P892" i="17"/>
  <c r="Q892" i="17"/>
  <c r="R892" i="17"/>
  <c r="S892" i="17"/>
  <c r="T892" i="17"/>
  <c r="U892" i="17"/>
  <c r="V892" i="17"/>
  <c r="W892" i="17"/>
  <c r="X892" i="17"/>
  <c r="Y892" i="17"/>
  <c r="Z892" i="17"/>
  <c r="AA892" i="17"/>
  <c r="AB892" i="17"/>
  <c r="AC892" i="17"/>
  <c r="AD892" i="17"/>
  <c r="C893" i="17"/>
  <c r="D893" i="17"/>
  <c r="E893" i="17"/>
  <c r="F893" i="17"/>
  <c r="G893" i="17"/>
  <c r="H893" i="17"/>
  <c r="I893" i="17"/>
  <c r="J893" i="17"/>
  <c r="K893" i="17"/>
  <c r="L893" i="17"/>
  <c r="M893" i="17"/>
  <c r="N893" i="17"/>
  <c r="O893" i="17"/>
  <c r="P893" i="17"/>
  <c r="Q893" i="17"/>
  <c r="R893" i="17"/>
  <c r="S893" i="17"/>
  <c r="T893" i="17"/>
  <c r="U893" i="17"/>
  <c r="V893" i="17"/>
  <c r="W893" i="17"/>
  <c r="X893" i="17"/>
  <c r="Y893" i="17"/>
  <c r="Z893" i="17"/>
  <c r="AA893" i="17"/>
  <c r="AB893" i="17"/>
  <c r="AC893" i="17"/>
  <c r="AD893" i="17"/>
  <c r="C894" i="17"/>
  <c r="D894" i="17"/>
  <c r="E894" i="17"/>
  <c r="F894" i="17"/>
  <c r="G894" i="17"/>
  <c r="H894" i="17"/>
  <c r="I894" i="17"/>
  <c r="J894" i="17"/>
  <c r="K894" i="17"/>
  <c r="L894" i="17"/>
  <c r="M894" i="17"/>
  <c r="N894" i="17"/>
  <c r="O894" i="17"/>
  <c r="P894" i="17"/>
  <c r="Q894" i="17"/>
  <c r="R894" i="17"/>
  <c r="S894" i="17"/>
  <c r="T894" i="17"/>
  <c r="U894" i="17"/>
  <c r="V894" i="17"/>
  <c r="W894" i="17"/>
  <c r="X894" i="17"/>
  <c r="Y894" i="17"/>
  <c r="Z894" i="17"/>
  <c r="AA894" i="17"/>
  <c r="AB894" i="17"/>
  <c r="AC894" i="17"/>
  <c r="AD894" i="17"/>
  <c r="C895" i="17"/>
  <c r="D895" i="17"/>
  <c r="E895" i="17"/>
  <c r="F895" i="17"/>
  <c r="G895" i="17"/>
  <c r="H895" i="17"/>
  <c r="I895" i="17"/>
  <c r="J895" i="17"/>
  <c r="K895" i="17"/>
  <c r="L895" i="17"/>
  <c r="M895" i="17"/>
  <c r="N895" i="17"/>
  <c r="O895" i="17"/>
  <c r="P895" i="17"/>
  <c r="Q895" i="17"/>
  <c r="R895" i="17"/>
  <c r="S895" i="17"/>
  <c r="T895" i="17"/>
  <c r="U895" i="17"/>
  <c r="V895" i="17"/>
  <c r="W895" i="17"/>
  <c r="X895" i="17"/>
  <c r="Y895" i="17"/>
  <c r="Z895" i="17"/>
  <c r="AA895" i="17"/>
  <c r="AB895" i="17"/>
  <c r="AC895" i="17"/>
  <c r="AD895" i="17"/>
  <c r="C896" i="17"/>
  <c r="D896" i="17"/>
  <c r="E896" i="17"/>
  <c r="F896" i="17"/>
  <c r="G896" i="17"/>
  <c r="H896" i="17"/>
  <c r="I896" i="17"/>
  <c r="J896" i="17"/>
  <c r="K896" i="17"/>
  <c r="L896" i="17"/>
  <c r="M896" i="17"/>
  <c r="N896" i="17"/>
  <c r="O896" i="17"/>
  <c r="P896" i="17"/>
  <c r="Q896" i="17"/>
  <c r="R896" i="17"/>
  <c r="S896" i="17"/>
  <c r="T896" i="17"/>
  <c r="U896" i="17"/>
  <c r="V896" i="17"/>
  <c r="W896" i="17"/>
  <c r="X896" i="17"/>
  <c r="Y896" i="17"/>
  <c r="Z896" i="17"/>
  <c r="AA896" i="17"/>
  <c r="AB896" i="17"/>
  <c r="AC896" i="17"/>
  <c r="AD896" i="17"/>
  <c r="C897" i="17"/>
  <c r="D897" i="17"/>
  <c r="E897" i="17"/>
  <c r="F897" i="17"/>
  <c r="G897" i="17"/>
  <c r="H897" i="17"/>
  <c r="I897" i="17"/>
  <c r="J897" i="17"/>
  <c r="K897" i="17"/>
  <c r="L897" i="17"/>
  <c r="M897" i="17"/>
  <c r="N897" i="17"/>
  <c r="O897" i="17"/>
  <c r="P897" i="17"/>
  <c r="Q897" i="17"/>
  <c r="R897" i="17"/>
  <c r="S897" i="17"/>
  <c r="T897" i="17"/>
  <c r="U897" i="17"/>
  <c r="V897" i="17"/>
  <c r="W897" i="17"/>
  <c r="X897" i="17"/>
  <c r="Y897" i="17"/>
  <c r="Z897" i="17"/>
  <c r="AA897" i="17"/>
  <c r="AB897" i="17"/>
  <c r="AC897" i="17"/>
  <c r="AD897" i="17"/>
  <c r="C898" i="17"/>
  <c r="D898" i="17"/>
  <c r="E898" i="17"/>
  <c r="F898" i="17"/>
  <c r="G898" i="17"/>
  <c r="H898" i="17"/>
  <c r="I898" i="17"/>
  <c r="J898" i="17"/>
  <c r="K898" i="17"/>
  <c r="L898" i="17"/>
  <c r="M898" i="17"/>
  <c r="N898" i="17"/>
  <c r="O898" i="17"/>
  <c r="P898" i="17"/>
  <c r="Q898" i="17"/>
  <c r="R898" i="17"/>
  <c r="S898" i="17"/>
  <c r="T898" i="17"/>
  <c r="U898" i="17"/>
  <c r="V898" i="17"/>
  <c r="W898" i="17"/>
  <c r="X898" i="17"/>
  <c r="Y898" i="17"/>
  <c r="Z898" i="17"/>
  <c r="AA898" i="17"/>
  <c r="AB898" i="17"/>
  <c r="AC898" i="17"/>
  <c r="AD898" i="17"/>
  <c r="C899" i="17"/>
  <c r="D899" i="17"/>
  <c r="E899" i="17"/>
  <c r="F899" i="17"/>
  <c r="G899" i="17"/>
  <c r="H899" i="17"/>
  <c r="I899" i="17"/>
  <c r="J899" i="17"/>
  <c r="K899" i="17"/>
  <c r="L899" i="17"/>
  <c r="M899" i="17"/>
  <c r="N899" i="17"/>
  <c r="O899" i="17"/>
  <c r="P899" i="17"/>
  <c r="Q899" i="17"/>
  <c r="R899" i="17"/>
  <c r="S899" i="17"/>
  <c r="T899" i="17"/>
  <c r="U899" i="17"/>
  <c r="V899" i="17"/>
  <c r="W899" i="17"/>
  <c r="X899" i="17"/>
  <c r="Y899" i="17"/>
  <c r="Z899" i="17"/>
  <c r="AA899" i="17"/>
  <c r="AB899" i="17"/>
  <c r="AC899" i="17"/>
  <c r="AD899" i="17"/>
  <c r="C900" i="17"/>
  <c r="D900" i="17"/>
  <c r="E900" i="17"/>
  <c r="F900" i="17"/>
  <c r="G900" i="17"/>
  <c r="H900" i="17"/>
  <c r="I900" i="17"/>
  <c r="J900" i="17"/>
  <c r="K900" i="17"/>
  <c r="L900" i="17"/>
  <c r="M900" i="17"/>
  <c r="N900" i="17"/>
  <c r="O900" i="17"/>
  <c r="P900" i="17"/>
  <c r="Q900" i="17"/>
  <c r="R900" i="17"/>
  <c r="S900" i="17"/>
  <c r="T900" i="17"/>
  <c r="U900" i="17"/>
  <c r="V900" i="17"/>
  <c r="W900" i="17"/>
  <c r="X900" i="17"/>
  <c r="Y900" i="17"/>
  <c r="Z900" i="17"/>
  <c r="AA900" i="17"/>
  <c r="AB900" i="17"/>
  <c r="AC900" i="17"/>
  <c r="AD900" i="17"/>
  <c r="C901" i="17"/>
  <c r="D901" i="17"/>
  <c r="E901" i="17"/>
  <c r="F901" i="17"/>
  <c r="G901" i="17"/>
  <c r="H901" i="17"/>
  <c r="I901" i="17"/>
  <c r="J901" i="17"/>
  <c r="K901" i="17"/>
  <c r="L901" i="17"/>
  <c r="M901" i="17"/>
  <c r="N901" i="17"/>
  <c r="O901" i="17"/>
  <c r="P901" i="17"/>
  <c r="Q901" i="17"/>
  <c r="R901" i="17"/>
  <c r="S901" i="17"/>
  <c r="T901" i="17"/>
  <c r="U901" i="17"/>
  <c r="V901" i="17"/>
  <c r="W901" i="17"/>
  <c r="X901" i="17"/>
  <c r="Y901" i="17"/>
  <c r="Z901" i="17"/>
  <c r="AA901" i="17"/>
  <c r="AB901" i="17"/>
  <c r="AC901" i="17"/>
  <c r="AD901" i="17"/>
  <c r="C902" i="17"/>
  <c r="D902" i="17"/>
  <c r="E902" i="17"/>
  <c r="F902" i="17"/>
  <c r="G902" i="17"/>
  <c r="H902" i="17"/>
  <c r="I902" i="17"/>
  <c r="J902" i="17"/>
  <c r="K902" i="17"/>
  <c r="L902" i="17"/>
  <c r="M902" i="17"/>
  <c r="N902" i="17"/>
  <c r="O902" i="17"/>
  <c r="P902" i="17"/>
  <c r="Q902" i="17"/>
  <c r="R902" i="17"/>
  <c r="S902" i="17"/>
  <c r="T902" i="17"/>
  <c r="U902" i="17"/>
  <c r="V902" i="17"/>
  <c r="W902" i="17"/>
  <c r="X902" i="17"/>
  <c r="Y902" i="17"/>
  <c r="Z902" i="17"/>
  <c r="AA902" i="17"/>
  <c r="AB902" i="17"/>
  <c r="AC902" i="17"/>
  <c r="AD902" i="17"/>
  <c r="C903" i="17"/>
  <c r="D903" i="17"/>
  <c r="E903" i="17"/>
  <c r="F903" i="17"/>
  <c r="G903" i="17"/>
  <c r="H903" i="17"/>
  <c r="I903" i="17"/>
  <c r="J903" i="17"/>
  <c r="K903" i="17"/>
  <c r="L903" i="17"/>
  <c r="M903" i="17"/>
  <c r="N903" i="17"/>
  <c r="O903" i="17"/>
  <c r="P903" i="17"/>
  <c r="Q903" i="17"/>
  <c r="R903" i="17"/>
  <c r="S903" i="17"/>
  <c r="T903" i="17"/>
  <c r="U903" i="17"/>
  <c r="V903" i="17"/>
  <c r="W903" i="17"/>
  <c r="X903" i="17"/>
  <c r="Y903" i="17"/>
  <c r="Z903" i="17"/>
  <c r="AA903" i="17"/>
  <c r="AB903" i="17"/>
  <c r="AC903" i="17"/>
  <c r="AD903" i="17"/>
  <c r="C904" i="17"/>
  <c r="D904" i="17"/>
  <c r="E904" i="17"/>
  <c r="F904" i="17"/>
  <c r="G904" i="17"/>
  <c r="H904" i="17"/>
  <c r="I904" i="17"/>
  <c r="J904" i="17"/>
  <c r="K904" i="17"/>
  <c r="L904" i="17"/>
  <c r="M904" i="17"/>
  <c r="N904" i="17"/>
  <c r="O904" i="17"/>
  <c r="P904" i="17"/>
  <c r="Q904" i="17"/>
  <c r="R904" i="17"/>
  <c r="S904" i="17"/>
  <c r="T904" i="17"/>
  <c r="U904" i="17"/>
  <c r="V904" i="17"/>
  <c r="W904" i="17"/>
  <c r="X904" i="17"/>
  <c r="Y904" i="17"/>
  <c r="Z904" i="17"/>
  <c r="AA904" i="17"/>
  <c r="AB904" i="17"/>
  <c r="AC904" i="17"/>
  <c r="AD904" i="17"/>
  <c r="C905" i="17"/>
  <c r="D905" i="17"/>
  <c r="E905" i="17"/>
  <c r="F905" i="17"/>
  <c r="G905" i="17"/>
  <c r="H905" i="17"/>
  <c r="I905" i="17"/>
  <c r="J905" i="17"/>
  <c r="K905" i="17"/>
  <c r="L905" i="17"/>
  <c r="M905" i="17"/>
  <c r="N905" i="17"/>
  <c r="O905" i="17"/>
  <c r="P905" i="17"/>
  <c r="Q905" i="17"/>
  <c r="R905" i="17"/>
  <c r="S905" i="17"/>
  <c r="T905" i="17"/>
  <c r="U905" i="17"/>
  <c r="V905" i="17"/>
  <c r="W905" i="17"/>
  <c r="X905" i="17"/>
  <c r="Y905" i="17"/>
  <c r="Z905" i="17"/>
  <c r="AA905" i="17"/>
  <c r="AB905" i="17"/>
  <c r="AC905" i="17"/>
  <c r="AD905" i="17"/>
  <c r="C906" i="17"/>
  <c r="D906" i="17"/>
  <c r="E906" i="17"/>
  <c r="F906" i="17"/>
  <c r="G906" i="17"/>
  <c r="H906" i="17"/>
  <c r="I906" i="17"/>
  <c r="J906" i="17"/>
  <c r="K906" i="17"/>
  <c r="L906" i="17"/>
  <c r="M906" i="17"/>
  <c r="N906" i="17"/>
  <c r="O906" i="17"/>
  <c r="P906" i="17"/>
  <c r="Q906" i="17"/>
  <c r="R906" i="17"/>
  <c r="S906" i="17"/>
  <c r="T906" i="17"/>
  <c r="U906" i="17"/>
  <c r="V906" i="17"/>
  <c r="W906" i="17"/>
  <c r="X906" i="17"/>
  <c r="Y906" i="17"/>
  <c r="Z906" i="17"/>
  <c r="AA906" i="17"/>
  <c r="AB906" i="17"/>
  <c r="AC906" i="17"/>
  <c r="AD906" i="17"/>
  <c r="C907" i="17"/>
  <c r="D907" i="17"/>
  <c r="E907" i="17"/>
  <c r="F907" i="17"/>
  <c r="G907" i="17"/>
  <c r="H907" i="17"/>
  <c r="I907" i="17"/>
  <c r="J907" i="17"/>
  <c r="K907" i="17"/>
  <c r="L907" i="17"/>
  <c r="M907" i="17"/>
  <c r="N907" i="17"/>
  <c r="O907" i="17"/>
  <c r="P907" i="17"/>
  <c r="Q907" i="17"/>
  <c r="R907" i="17"/>
  <c r="S907" i="17"/>
  <c r="T907" i="17"/>
  <c r="U907" i="17"/>
  <c r="V907" i="17"/>
  <c r="W907" i="17"/>
  <c r="X907" i="17"/>
  <c r="Y907" i="17"/>
  <c r="Z907" i="17"/>
  <c r="AA907" i="17"/>
  <c r="AB907" i="17"/>
  <c r="AC907" i="17"/>
  <c r="AD907" i="17"/>
  <c r="C908" i="17"/>
  <c r="D908" i="17"/>
  <c r="E908" i="17"/>
  <c r="F908" i="17"/>
  <c r="G908" i="17"/>
  <c r="H908" i="17"/>
  <c r="I908" i="17"/>
  <c r="J908" i="17"/>
  <c r="K908" i="17"/>
  <c r="L908" i="17"/>
  <c r="M908" i="17"/>
  <c r="N908" i="17"/>
  <c r="O908" i="17"/>
  <c r="P908" i="17"/>
  <c r="Q908" i="17"/>
  <c r="R908" i="17"/>
  <c r="S908" i="17"/>
  <c r="T908" i="17"/>
  <c r="U908" i="17"/>
  <c r="V908" i="17"/>
  <c r="W908" i="17"/>
  <c r="X908" i="17"/>
  <c r="Y908" i="17"/>
  <c r="Z908" i="17"/>
  <c r="AA908" i="17"/>
  <c r="AB908" i="17"/>
  <c r="AC908" i="17"/>
  <c r="AD908" i="17"/>
  <c r="C909" i="17"/>
  <c r="D909" i="17"/>
  <c r="E909" i="17"/>
  <c r="F909" i="17"/>
  <c r="G909" i="17"/>
  <c r="H909" i="17"/>
  <c r="I909" i="17"/>
  <c r="J909" i="17"/>
  <c r="K909" i="17"/>
  <c r="L909" i="17"/>
  <c r="M909" i="17"/>
  <c r="N909" i="17"/>
  <c r="O909" i="17"/>
  <c r="P909" i="17"/>
  <c r="Q909" i="17"/>
  <c r="R909" i="17"/>
  <c r="S909" i="17"/>
  <c r="T909" i="17"/>
  <c r="U909" i="17"/>
  <c r="V909" i="17"/>
  <c r="W909" i="17"/>
  <c r="X909" i="17"/>
  <c r="Y909" i="17"/>
  <c r="Z909" i="17"/>
  <c r="AA909" i="17"/>
  <c r="AB909" i="17"/>
  <c r="AC909" i="17"/>
  <c r="AD909" i="17"/>
  <c r="C910" i="17"/>
  <c r="D910" i="17"/>
  <c r="E910" i="17"/>
  <c r="F910" i="17"/>
  <c r="G910" i="17"/>
  <c r="H910" i="17"/>
  <c r="I910" i="17"/>
  <c r="J910" i="17"/>
  <c r="K910" i="17"/>
  <c r="L910" i="17"/>
  <c r="M910" i="17"/>
  <c r="N910" i="17"/>
  <c r="O910" i="17"/>
  <c r="P910" i="17"/>
  <c r="Q910" i="17"/>
  <c r="R910" i="17"/>
  <c r="S910" i="17"/>
  <c r="T910" i="17"/>
  <c r="U910" i="17"/>
  <c r="V910" i="17"/>
  <c r="W910" i="17"/>
  <c r="X910" i="17"/>
  <c r="Y910" i="17"/>
  <c r="Z910" i="17"/>
  <c r="AA910" i="17"/>
  <c r="AB910" i="17"/>
  <c r="AC910" i="17"/>
  <c r="AD910" i="17"/>
  <c r="C911" i="17"/>
  <c r="D911" i="17"/>
  <c r="E911" i="17"/>
  <c r="F911" i="17"/>
  <c r="G911" i="17"/>
  <c r="H911" i="17"/>
  <c r="I911" i="17"/>
  <c r="J911" i="17"/>
  <c r="K911" i="17"/>
  <c r="L911" i="17"/>
  <c r="M911" i="17"/>
  <c r="N911" i="17"/>
  <c r="O911" i="17"/>
  <c r="P911" i="17"/>
  <c r="Q911" i="17"/>
  <c r="R911" i="17"/>
  <c r="S911" i="17"/>
  <c r="T911" i="17"/>
  <c r="U911" i="17"/>
  <c r="V911" i="17"/>
  <c r="W911" i="17"/>
  <c r="X911" i="17"/>
  <c r="Y911" i="17"/>
  <c r="Z911" i="17"/>
  <c r="AA911" i="17"/>
  <c r="AB911" i="17"/>
  <c r="AC911" i="17"/>
  <c r="AD911" i="17"/>
  <c r="C912" i="17"/>
  <c r="D912" i="17"/>
  <c r="E912" i="17"/>
  <c r="F912" i="17"/>
  <c r="G912" i="17"/>
  <c r="H912" i="17"/>
  <c r="I912" i="17"/>
  <c r="J912" i="17"/>
  <c r="K912" i="17"/>
  <c r="L912" i="17"/>
  <c r="M912" i="17"/>
  <c r="N912" i="17"/>
  <c r="O912" i="17"/>
  <c r="P912" i="17"/>
  <c r="Q912" i="17"/>
  <c r="R912" i="17"/>
  <c r="S912" i="17"/>
  <c r="T912" i="17"/>
  <c r="U912" i="17"/>
  <c r="V912" i="17"/>
  <c r="W912" i="17"/>
  <c r="X912" i="17"/>
  <c r="Y912" i="17"/>
  <c r="Z912" i="17"/>
  <c r="AA912" i="17"/>
  <c r="AB912" i="17"/>
  <c r="AC912" i="17"/>
  <c r="AD912" i="17"/>
  <c r="C913" i="17"/>
  <c r="D913" i="17"/>
  <c r="E913" i="17"/>
  <c r="F913" i="17"/>
  <c r="G913" i="17"/>
  <c r="H913" i="17"/>
  <c r="I913" i="17"/>
  <c r="J913" i="17"/>
  <c r="K913" i="17"/>
  <c r="L913" i="17"/>
  <c r="M913" i="17"/>
  <c r="N913" i="17"/>
  <c r="O913" i="17"/>
  <c r="P913" i="17"/>
  <c r="Q913" i="17"/>
  <c r="R913" i="17"/>
  <c r="S913" i="17"/>
  <c r="T913" i="17"/>
  <c r="U913" i="17"/>
  <c r="V913" i="17"/>
  <c r="W913" i="17"/>
  <c r="X913" i="17"/>
  <c r="Y913" i="17"/>
  <c r="Z913" i="17"/>
  <c r="AA913" i="17"/>
  <c r="AB913" i="17"/>
  <c r="AC913" i="17"/>
  <c r="AD913" i="17"/>
  <c r="C914" i="17"/>
  <c r="D914" i="17"/>
  <c r="E914" i="17"/>
  <c r="F914" i="17"/>
  <c r="G914" i="17"/>
  <c r="H914" i="17"/>
  <c r="I914" i="17"/>
  <c r="J914" i="17"/>
  <c r="K914" i="17"/>
  <c r="L914" i="17"/>
  <c r="M914" i="17"/>
  <c r="N914" i="17"/>
  <c r="O914" i="17"/>
  <c r="P914" i="17"/>
  <c r="Q914" i="17"/>
  <c r="R914" i="17"/>
  <c r="S914" i="17"/>
  <c r="T914" i="17"/>
  <c r="U914" i="17"/>
  <c r="V914" i="17"/>
  <c r="W914" i="17"/>
  <c r="X914" i="17"/>
  <c r="Y914" i="17"/>
  <c r="Z914" i="17"/>
  <c r="AA914" i="17"/>
  <c r="AB914" i="17"/>
  <c r="AC914" i="17"/>
  <c r="AD914" i="17"/>
  <c r="C915" i="17"/>
  <c r="D915" i="17"/>
  <c r="E915" i="17"/>
  <c r="F915" i="17"/>
  <c r="G915" i="17"/>
  <c r="H915" i="17"/>
  <c r="I915" i="17"/>
  <c r="J915" i="17"/>
  <c r="K915" i="17"/>
  <c r="L915" i="17"/>
  <c r="M915" i="17"/>
  <c r="N915" i="17"/>
  <c r="O915" i="17"/>
  <c r="P915" i="17"/>
  <c r="Q915" i="17"/>
  <c r="R915" i="17"/>
  <c r="S915" i="17"/>
  <c r="T915" i="17"/>
  <c r="U915" i="17"/>
  <c r="V915" i="17"/>
  <c r="W915" i="17"/>
  <c r="X915" i="17"/>
  <c r="Y915" i="17"/>
  <c r="Z915" i="17"/>
  <c r="AA915" i="17"/>
  <c r="AB915" i="17"/>
  <c r="AC915" i="17"/>
  <c r="AD915" i="17"/>
  <c r="C916" i="17"/>
  <c r="D916" i="17"/>
  <c r="E916" i="17"/>
  <c r="F916" i="17"/>
  <c r="G916" i="17"/>
  <c r="H916" i="17"/>
  <c r="I916" i="17"/>
  <c r="J916" i="17"/>
  <c r="K916" i="17"/>
  <c r="L916" i="17"/>
  <c r="M916" i="17"/>
  <c r="N916" i="17"/>
  <c r="O916" i="17"/>
  <c r="P916" i="17"/>
  <c r="Q916" i="17"/>
  <c r="R916" i="17"/>
  <c r="S916" i="17"/>
  <c r="T916" i="17"/>
  <c r="U916" i="17"/>
  <c r="V916" i="17"/>
  <c r="W916" i="17"/>
  <c r="X916" i="17"/>
  <c r="Y916" i="17"/>
  <c r="Z916" i="17"/>
  <c r="AA916" i="17"/>
  <c r="AB916" i="17"/>
  <c r="AC916" i="17"/>
  <c r="AD916" i="17"/>
  <c r="C917" i="17"/>
  <c r="D917" i="17"/>
  <c r="E917" i="17"/>
  <c r="F917" i="17"/>
  <c r="G917" i="17"/>
  <c r="H917" i="17"/>
  <c r="I917" i="17"/>
  <c r="J917" i="17"/>
  <c r="K917" i="17"/>
  <c r="L917" i="17"/>
  <c r="M917" i="17"/>
  <c r="N917" i="17"/>
  <c r="O917" i="17"/>
  <c r="P917" i="17"/>
  <c r="Q917" i="17"/>
  <c r="R917" i="17"/>
  <c r="S917" i="17"/>
  <c r="T917" i="17"/>
  <c r="U917" i="17"/>
  <c r="V917" i="17"/>
  <c r="W917" i="17"/>
  <c r="X917" i="17"/>
  <c r="Y917" i="17"/>
  <c r="Z917" i="17"/>
  <c r="AA917" i="17"/>
  <c r="AB917" i="17"/>
  <c r="AC917" i="17"/>
  <c r="AD917" i="17"/>
  <c r="C918" i="17"/>
  <c r="D918" i="17"/>
  <c r="E918" i="17"/>
  <c r="F918" i="17"/>
  <c r="G918" i="17"/>
  <c r="H918" i="17"/>
  <c r="I918" i="17"/>
  <c r="J918" i="17"/>
  <c r="K918" i="17"/>
  <c r="L918" i="17"/>
  <c r="M918" i="17"/>
  <c r="N918" i="17"/>
  <c r="O918" i="17"/>
  <c r="P918" i="17"/>
  <c r="Q918" i="17"/>
  <c r="R918" i="17"/>
  <c r="S918" i="17"/>
  <c r="T918" i="17"/>
  <c r="U918" i="17"/>
  <c r="V918" i="17"/>
  <c r="W918" i="17"/>
  <c r="X918" i="17"/>
  <c r="Y918" i="17"/>
  <c r="Z918" i="17"/>
  <c r="AA918" i="17"/>
  <c r="AB918" i="17"/>
  <c r="AC918" i="17"/>
  <c r="AD918" i="17"/>
  <c r="C919" i="17"/>
  <c r="D919" i="17"/>
  <c r="E919" i="17"/>
  <c r="F919" i="17"/>
  <c r="G919" i="17"/>
  <c r="H919" i="17"/>
  <c r="I919" i="17"/>
  <c r="J919" i="17"/>
  <c r="K919" i="17"/>
  <c r="L919" i="17"/>
  <c r="M919" i="17"/>
  <c r="N919" i="17"/>
  <c r="O919" i="17"/>
  <c r="P919" i="17"/>
  <c r="Q919" i="17"/>
  <c r="R919" i="17"/>
  <c r="S919" i="17"/>
  <c r="T919" i="17"/>
  <c r="U919" i="17"/>
  <c r="V919" i="17"/>
  <c r="W919" i="17"/>
  <c r="X919" i="17"/>
  <c r="Y919" i="17"/>
  <c r="Z919" i="17"/>
  <c r="AA919" i="17"/>
  <c r="AB919" i="17"/>
  <c r="AC919" i="17"/>
  <c r="AD919" i="17"/>
  <c r="C920" i="17"/>
  <c r="D920" i="17"/>
  <c r="E920" i="17"/>
  <c r="F920" i="17"/>
  <c r="G920" i="17"/>
  <c r="H920" i="17"/>
  <c r="I920" i="17"/>
  <c r="J920" i="17"/>
  <c r="K920" i="17"/>
  <c r="L920" i="17"/>
  <c r="M920" i="17"/>
  <c r="N920" i="17"/>
  <c r="O920" i="17"/>
  <c r="P920" i="17"/>
  <c r="Q920" i="17"/>
  <c r="R920" i="17"/>
  <c r="S920" i="17"/>
  <c r="T920" i="17"/>
  <c r="U920" i="17"/>
  <c r="V920" i="17"/>
  <c r="W920" i="17"/>
  <c r="X920" i="17"/>
  <c r="Y920" i="17"/>
  <c r="Z920" i="17"/>
  <c r="AA920" i="17"/>
  <c r="AB920" i="17"/>
  <c r="AC920" i="17"/>
  <c r="AD920" i="17"/>
  <c r="C921" i="17"/>
  <c r="D921" i="17"/>
  <c r="E921" i="17"/>
  <c r="F921" i="17"/>
  <c r="G921" i="17"/>
  <c r="H921" i="17"/>
  <c r="I921" i="17"/>
  <c r="J921" i="17"/>
  <c r="K921" i="17"/>
  <c r="L921" i="17"/>
  <c r="M921" i="17"/>
  <c r="N921" i="17"/>
  <c r="O921" i="17"/>
  <c r="P921" i="17"/>
  <c r="Q921" i="17"/>
  <c r="R921" i="17"/>
  <c r="S921" i="17"/>
  <c r="T921" i="17"/>
  <c r="U921" i="17"/>
  <c r="V921" i="17"/>
  <c r="W921" i="17"/>
  <c r="X921" i="17"/>
  <c r="Y921" i="17"/>
  <c r="Z921" i="17"/>
  <c r="AA921" i="17"/>
  <c r="AB921" i="17"/>
  <c r="AC921" i="17"/>
  <c r="AD921" i="17"/>
  <c r="C922" i="17"/>
  <c r="D922" i="17"/>
  <c r="E922" i="17"/>
  <c r="F922" i="17"/>
  <c r="G922" i="17"/>
  <c r="H922" i="17"/>
  <c r="I922" i="17"/>
  <c r="J922" i="17"/>
  <c r="K922" i="17"/>
  <c r="L922" i="17"/>
  <c r="M922" i="17"/>
  <c r="N922" i="17"/>
  <c r="O922" i="17"/>
  <c r="P922" i="17"/>
  <c r="Q922" i="17"/>
  <c r="R922" i="17"/>
  <c r="S922" i="17"/>
  <c r="T922" i="17"/>
  <c r="U922" i="17"/>
  <c r="V922" i="17"/>
  <c r="W922" i="17"/>
  <c r="X922" i="17"/>
  <c r="Y922" i="17"/>
  <c r="Z922" i="17"/>
  <c r="AA922" i="17"/>
  <c r="AB922" i="17"/>
  <c r="AC922" i="17"/>
  <c r="AD922" i="17"/>
  <c r="C923" i="17"/>
  <c r="D923" i="17"/>
  <c r="E923" i="17"/>
  <c r="F923" i="17"/>
  <c r="G923" i="17"/>
  <c r="H923" i="17"/>
  <c r="I923" i="17"/>
  <c r="J923" i="17"/>
  <c r="K923" i="17"/>
  <c r="L923" i="17"/>
  <c r="M923" i="17"/>
  <c r="N923" i="17"/>
  <c r="O923" i="17"/>
  <c r="P923" i="17"/>
  <c r="Q923" i="17"/>
  <c r="R923" i="17"/>
  <c r="S923" i="17"/>
  <c r="T923" i="17"/>
  <c r="U923" i="17"/>
  <c r="V923" i="17"/>
  <c r="W923" i="17"/>
  <c r="X923" i="17"/>
  <c r="Y923" i="17"/>
  <c r="Z923" i="17"/>
  <c r="AA923" i="17"/>
  <c r="AB923" i="17"/>
  <c r="AC923" i="17"/>
  <c r="AD923" i="17"/>
  <c r="C924" i="17"/>
  <c r="D924" i="17"/>
  <c r="E924" i="17"/>
  <c r="F924" i="17"/>
  <c r="G924" i="17"/>
  <c r="H924" i="17"/>
  <c r="I924" i="17"/>
  <c r="J924" i="17"/>
  <c r="K924" i="17"/>
  <c r="L924" i="17"/>
  <c r="M924" i="17"/>
  <c r="N924" i="17"/>
  <c r="O924" i="17"/>
  <c r="P924" i="17"/>
  <c r="Q924" i="17"/>
  <c r="R924" i="17"/>
  <c r="S924" i="17"/>
  <c r="T924" i="17"/>
  <c r="U924" i="17"/>
  <c r="V924" i="17"/>
  <c r="W924" i="17"/>
  <c r="X924" i="17"/>
  <c r="Y924" i="17"/>
  <c r="Z924" i="17"/>
  <c r="AA924" i="17"/>
  <c r="AB924" i="17"/>
  <c r="AC924" i="17"/>
  <c r="AD924" i="17"/>
  <c r="C925" i="17"/>
  <c r="D925" i="17"/>
  <c r="E925" i="17"/>
  <c r="F925" i="17"/>
  <c r="G925" i="17"/>
  <c r="H925" i="17"/>
  <c r="I925" i="17"/>
  <c r="J925" i="17"/>
  <c r="K925" i="17"/>
  <c r="L925" i="17"/>
  <c r="M925" i="17"/>
  <c r="N925" i="17"/>
  <c r="O925" i="17"/>
  <c r="P925" i="17"/>
  <c r="Q925" i="17"/>
  <c r="R925" i="17"/>
  <c r="S925" i="17"/>
  <c r="T925" i="17"/>
  <c r="U925" i="17"/>
  <c r="V925" i="17"/>
  <c r="W925" i="17"/>
  <c r="X925" i="17"/>
  <c r="Y925" i="17"/>
  <c r="Z925" i="17"/>
  <c r="AA925" i="17"/>
  <c r="AB925" i="17"/>
  <c r="AC925" i="17"/>
  <c r="AD925" i="17"/>
  <c r="C926" i="17"/>
  <c r="D926" i="17"/>
  <c r="E926" i="17"/>
  <c r="F926" i="17"/>
  <c r="G926" i="17"/>
  <c r="H926" i="17"/>
  <c r="I926" i="17"/>
  <c r="J926" i="17"/>
  <c r="K926" i="17"/>
  <c r="L926" i="17"/>
  <c r="M926" i="17"/>
  <c r="N926" i="17"/>
  <c r="O926" i="17"/>
  <c r="P926" i="17"/>
  <c r="Q926" i="17"/>
  <c r="R926" i="17"/>
  <c r="S926" i="17"/>
  <c r="T926" i="17"/>
  <c r="U926" i="17"/>
  <c r="V926" i="17"/>
  <c r="W926" i="17"/>
  <c r="X926" i="17"/>
  <c r="Y926" i="17"/>
  <c r="Z926" i="17"/>
  <c r="AA926" i="17"/>
  <c r="AB926" i="17"/>
  <c r="AC926" i="17"/>
  <c r="AD926" i="17"/>
  <c r="C927" i="17"/>
  <c r="D927" i="17"/>
  <c r="E927" i="17"/>
  <c r="F927" i="17"/>
  <c r="G927" i="17"/>
  <c r="H927" i="17"/>
  <c r="I927" i="17"/>
  <c r="J927" i="17"/>
  <c r="K927" i="17"/>
  <c r="L927" i="17"/>
  <c r="M927" i="17"/>
  <c r="N927" i="17"/>
  <c r="O927" i="17"/>
  <c r="P927" i="17"/>
  <c r="Q927" i="17"/>
  <c r="R927" i="17"/>
  <c r="S927" i="17"/>
  <c r="T927" i="17"/>
  <c r="U927" i="17"/>
  <c r="V927" i="17"/>
  <c r="W927" i="17"/>
  <c r="X927" i="17"/>
  <c r="Y927" i="17"/>
  <c r="Z927" i="17"/>
  <c r="AA927" i="17"/>
  <c r="AB927" i="17"/>
  <c r="AC927" i="17"/>
  <c r="AD927" i="17"/>
  <c r="C928" i="17"/>
  <c r="D928" i="17"/>
  <c r="E928" i="17"/>
  <c r="F928" i="17"/>
  <c r="G928" i="17"/>
  <c r="H928" i="17"/>
  <c r="I928" i="17"/>
  <c r="J928" i="17"/>
  <c r="K928" i="17"/>
  <c r="L928" i="17"/>
  <c r="M928" i="17"/>
  <c r="N928" i="17"/>
  <c r="O928" i="17"/>
  <c r="P928" i="17"/>
  <c r="Q928" i="17"/>
  <c r="R928" i="17"/>
  <c r="S928" i="17"/>
  <c r="T928" i="17"/>
  <c r="U928" i="17"/>
  <c r="V928" i="17"/>
  <c r="W928" i="17"/>
  <c r="X928" i="17"/>
  <c r="Y928" i="17"/>
  <c r="Z928" i="17"/>
  <c r="AA928" i="17"/>
  <c r="AB928" i="17"/>
  <c r="AC928" i="17"/>
  <c r="AD928" i="17"/>
  <c r="C929" i="17"/>
  <c r="D929" i="17"/>
  <c r="E929" i="17"/>
  <c r="F929" i="17"/>
  <c r="G929" i="17"/>
  <c r="H929" i="17"/>
  <c r="I929" i="17"/>
  <c r="J929" i="17"/>
  <c r="K929" i="17"/>
  <c r="L929" i="17"/>
  <c r="M929" i="17"/>
  <c r="N929" i="17"/>
  <c r="O929" i="17"/>
  <c r="P929" i="17"/>
  <c r="Q929" i="17"/>
  <c r="R929" i="17"/>
  <c r="S929" i="17"/>
  <c r="T929" i="17"/>
  <c r="U929" i="17"/>
  <c r="V929" i="17"/>
  <c r="W929" i="17"/>
  <c r="X929" i="17"/>
  <c r="Y929" i="17"/>
  <c r="Z929" i="17"/>
  <c r="AA929" i="17"/>
  <c r="AB929" i="17"/>
  <c r="AC929" i="17"/>
  <c r="AD929" i="17"/>
  <c r="C930" i="17"/>
  <c r="D930" i="17"/>
  <c r="E930" i="17"/>
  <c r="F930" i="17"/>
  <c r="G930" i="17"/>
  <c r="H930" i="17"/>
  <c r="I930" i="17"/>
  <c r="J930" i="17"/>
  <c r="K930" i="17"/>
  <c r="L930" i="17"/>
  <c r="M930" i="17"/>
  <c r="N930" i="17"/>
  <c r="O930" i="17"/>
  <c r="P930" i="17"/>
  <c r="Q930" i="17"/>
  <c r="R930" i="17"/>
  <c r="S930" i="17"/>
  <c r="T930" i="17"/>
  <c r="U930" i="17"/>
  <c r="V930" i="17"/>
  <c r="W930" i="17"/>
  <c r="X930" i="17"/>
  <c r="Y930" i="17"/>
  <c r="Z930" i="17"/>
  <c r="AA930" i="17"/>
  <c r="AB930" i="17"/>
  <c r="AC930" i="17"/>
  <c r="AD930" i="17"/>
  <c r="C931" i="17"/>
  <c r="D931" i="17"/>
  <c r="E931" i="17"/>
  <c r="F931" i="17"/>
  <c r="G931" i="17"/>
  <c r="H931" i="17"/>
  <c r="I931" i="17"/>
  <c r="J931" i="17"/>
  <c r="K931" i="17"/>
  <c r="L931" i="17"/>
  <c r="M931" i="17"/>
  <c r="N931" i="17"/>
  <c r="O931" i="17"/>
  <c r="P931" i="17"/>
  <c r="Q931" i="17"/>
  <c r="R931" i="17"/>
  <c r="S931" i="17"/>
  <c r="T931" i="17"/>
  <c r="U931" i="17"/>
  <c r="V931" i="17"/>
  <c r="W931" i="17"/>
  <c r="X931" i="17"/>
  <c r="Y931" i="17"/>
  <c r="Z931" i="17"/>
  <c r="AA931" i="17"/>
  <c r="AB931" i="17"/>
  <c r="AC931" i="17"/>
  <c r="AD931" i="17"/>
  <c r="C932" i="17"/>
  <c r="D932" i="17"/>
  <c r="E932" i="17"/>
  <c r="F932" i="17"/>
  <c r="G932" i="17"/>
  <c r="H932" i="17"/>
  <c r="I932" i="17"/>
  <c r="J932" i="17"/>
  <c r="K932" i="17"/>
  <c r="L932" i="17"/>
  <c r="M932" i="17"/>
  <c r="N932" i="17"/>
  <c r="O932" i="17"/>
  <c r="P932" i="17"/>
  <c r="Q932" i="17"/>
  <c r="R932" i="17"/>
  <c r="S932" i="17"/>
  <c r="T932" i="17"/>
  <c r="U932" i="17"/>
  <c r="V932" i="17"/>
  <c r="W932" i="17"/>
  <c r="X932" i="17"/>
  <c r="Y932" i="17"/>
  <c r="Z932" i="17"/>
  <c r="AA932" i="17"/>
  <c r="AB932" i="17"/>
  <c r="AC932" i="17"/>
  <c r="AD932" i="17"/>
  <c r="C933" i="17"/>
  <c r="D933" i="17"/>
  <c r="E933" i="17"/>
  <c r="F933" i="17"/>
  <c r="G933" i="17"/>
  <c r="H933" i="17"/>
  <c r="I933" i="17"/>
  <c r="J933" i="17"/>
  <c r="K933" i="17"/>
  <c r="L933" i="17"/>
  <c r="M933" i="17"/>
  <c r="N933" i="17"/>
  <c r="O933" i="17"/>
  <c r="P933" i="17"/>
  <c r="Q933" i="17"/>
  <c r="R933" i="17"/>
  <c r="S933" i="17"/>
  <c r="T933" i="17"/>
  <c r="U933" i="17"/>
  <c r="V933" i="17"/>
  <c r="W933" i="17"/>
  <c r="X933" i="17"/>
  <c r="Y933" i="17"/>
  <c r="Z933" i="17"/>
  <c r="AA933" i="17"/>
  <c r="AB933" i="17"/>
  <c r="AC933" i="17"/>
  <c r="AD933" i="17"/>
  <c r="C934" i="17"/>
  <c r="D934" i="17"/>
  <c r="E934" i="17"/>
  <c r="F934" i="17"/>
  <c r="G934" i="17"/>
  <c r="H934" i="17"/>
  <c r="I934" i="17"/>
  <c r="J934" i="17"/>
  <c r="K934" i="17"/>
  <c r="L934" i="17"/>
  <c r="M934" i="17"/>
  <c r="N934" i="17"/>
  <c r="O934" i="17"/>
  <c r="P934" i="17"/>
  <c r="Q934" i="17"/>
  <c r="R934" i="17"/>
  <c r="S934" i="17"/>
  <c r="T934" i="17"/>
  <c r="U934" i="17"/>
  <c r="V934" i="17"/>
  <c r="W934" i="17"/>
  <c r="X934" i="17"/>
  <c r="Y934" i="17"/>
  <c r="Z934" i="17"/>
  <c r="AA934" i="17"/>
  <c r="AB934" i="17"/>
  <c r="AC934" i="17"/>
  <c r="AD934" i="17"/>
  <c r="C935" i="17"/>
  <c r="D935" i="17"/>
  <c r="E935" i="17"/>
  <c r="F935" i="17"/>
  <c r="G935" i="17"/>
  <c r="H935" i="17"/>
  <c r="I935" i="17"/>
  <c r="J935" i="17"/>
  <c r="K935" i="17"/>
  <c r="L935" i="17"/>
  <c r="M935" i="17"/>
  <c r="N935" i="17"/>
  <c r="O935" i="17"/>
  <c r="P935" i="17"/>
  <c r="Q935" i="17"/>
  <c r="R935" i="17"/>
  <c r="S935" i="17"/>
  <c r="T935" i="17"/>
  <c r="U935" i="17"/>
  <c r="V935" i="17"/>
  <c r="W935" i="17"/>
  <c r="X935" i="17"/>
  <c r="Y935" i="17"/>
  <c r="Z935" i="17"/>
  <c r="AA935" i="17"/>
  <c r="AB935" i="17"/>
  <c r="AC935" i="17"/>
  <c r="AD935" i="17"/>
  <c r="C936" i="17"/>
  <c r="D936" i="17"/>
  <c r="E936" i="17"/>
  <c r="F936" i="17"/>
  <c r="G936" i="17"/>
  <c r="H936" i="17"/>
  <c r="I936" i="17"/>
  <c r="J936" i="17"/>
  <c r="K936" i="17"/>
  <c r="L936" i="17"/>
  <c r="M936" i="17"/>
  <c r="N936" i="17"/>
  <c r="O936" i="17"/>
  <c r="P936" i="17"/>
  <c r="Q936" i="17"/>
  <c r="R936" i="17"/>
  <c r="S936" i="17"/>
  <c r="T936" i="17"/>
  <c r="U936" i="17"/>
  <c r="V936" i="17"/>
  <c r="W936" i="17"/>
  <c r="X936" i="17"/>
  <c r="Y936" i="17"/>
  <c r="Z936" i="17"/>
  <c r="AA936" i="17"/>
  <c r="AB936" i="17"/>
  <c r="AC936" i="17"/>
  <c r="AD936" i="17"/>
  <c r="C937" i="17"/>
  <c r="D937" i="17"/>
  <c r="E937" i="17"/>
  <c r="F937" i="17"/>
  <c r="G937" i="17"/>
  <c r="H937" i="17"/>
  <c r="I937" i="17"/>
  <c r="J937" i="17"/>
  <c r="K937" i="17"/>
  <c r="L937" i="17"/>
  <c r="M937" i="17"/>
  <c r="N937" i="17"/>
  <c r="O937" i="17"/>
  <c r="P937" i="17"/>
  <c r="Q937" i="17"/>
  <c r="R937" i="17"/>
  <c r="S937" i="17"/>
  <c r="T937" i="17"/>
  <c r="U937" i="17"/>
  <c r="V937" i="17"/>
  <c r="W937" i="17"/>
  <c r="X937" i="17"/>
  <c r="Y937" i="17"/>
  <c r="Z937" i="17"/>
  <c r="AA937" i="17"/>
  <c r="AB937" i="17"/>
  <c r="AC937" i="17"/>
  <c r="AD937" i="17"/>
  <c r="C938" i="17"/>
  <c r="D938" i="17"/>
  <c r="E938" i="17"/>
  <c r="F938" i="17"/>
  <c r="G938" i="17"/>
  <c r="H938" i="17"/>
  <c r="I938" i="17"/>
  <c r="J938" i="17"/>
  <c r="K938" i="17"/>
  <c r="L938" i="17"/>
  <c r="M938" i="17"/>
  <c r="N938" i="17"/>
  <c r="O938" i="17"/>
  <c r="P938" i="17"/>
  <c r="Q938" i="17"/>
  <c r="R938" i="17"/>
  <c r="S938" i="17"/>
  <c r="T938" i="17"/>
  <c r="U938" i="17"/>
  <c r="V938" i="17"/>
  <c r="W938" i="17"/>
  <c r="X938" i="17"/>
  <c r="Y938" i="17"/>
  <c r="Z938" i="17"/>
  <c r="AA938" i="17"/>
  <c r="AB938" i="17"/>
  <c r="AC938" i="17"/>
  <c r="AD938" i="17"/>
  <c r="C939" i="17"/>
  <c r="D939" i="17"/>
  <c r="E939" i="17"/>
  <c r="F939" i="17"/>
  <c r="G939" i="17"/>
  <c r="H939" i="17"/>
  <c r="I939" i="17"/>
  <c r="J939" i="17"/>
  <c r="K939" i="17"/>
  <c r="L939" i="17"/>
  <c r="M939" i="17"/>
  <c r="N939" i="17"/>
  <c r="O939" i="17"/>
  <c r="P939" i="17"/>
  <c r="Q939" i="17"/>
  <c r="R939" i="17"/>
  <c r="S939" i="17"/>
  <c r="T939" i="17"/>
  <c r="U939" i="17"/>
  <c r="V939" i="17"/>
  <c r="W939" i="17"/>
  <c r="X939" i="17"/>
  <c r="Y939" i="17"/>
  <c r="Z939" i="17"/>
  <c r="AA939" i="17"/>
  <c r="AB939" i="17"/>
  <c r="AC939" i="17"/>
  <c r="AD939" i="17"/>
  <c r="C940" i="17"/>
  <c r="D940" i="17"/>
  <c r="E940" i="17"/>
  <c r="F940" i="17"/>
  <c r="G940" i="17"/>
  <c r="H940" i="17"/>
  <c r="I940" i="17"/>
  <c r="J940" i="17"/>
  <c r="K940" i="17"/>
  <c r="L940" i="17"/>
  <c r="M940" i="17"/>
  <c r="N940" i="17"/>
  <c r="O940" i="17"/>
  <c r="P940" i="17"/>
  <c r="Q940" i="17"/>
  <c r="R940" i="17"/>
  <c r="S940" i="17"/>
  <c r="T940" i="17"/>
  <c r="U940" i="17"/>
  <c r="V940" i="17"/>
  <c r="W940" i="17"/>
  <c r="X940" i="17"/>
  <c r="Y940" i="17"/>
  <c r="Z940" i="17"/>
  <c r="AA940" i="17"/>
  <c r="AB940" i="17"/>
  <c r="AC940" i="17"/>
  <c r="AD940" i="17"/>
  <c r="C941" i="17"/>
  <c r="D941" i="17"/>
  <c r="E941" i="17"/>
  <c r="F941" i="17"/>
  <c r="G941" i="17"/>
  <c r="H941" i="17"/>
  <c r="I941" i="17"/>
  <c r="J941" i="17"/>
  <c r="K941" i="17"/>
  <c r="L941" i="17"/>
  <c r="M941" i="17"/>
  <c r="N941" i="17"/>
  <c r="O941" i="17"/>
  <c r="P941" i="17"/>
  <c r="Q941" i="17"/>
  <c r="R941" i="17"/>
  <c r="S941" i="17"/>
  <c r="T941" i="17"/>
  <c r="U941" i="17"/>
  <c r="V941" i="17"/>
  <c r="W941" i="17"/>
  <c r="X941" i="17"/>
  <c r="Y941" i="17"/>
  <c r="Z941" i="17"/>
  <c r="AA941" i="17"/>
  <c r="AB941" i="17"/>
  <c r="AC941" i="17"/>
  <c r="AD941" i="17"/>
  <c r="C942" i="17"/>
  <c r="D942" i="17"/>
  <c r="E942" i="17"/>
  <c r="F942" i="17"/>
  <c r="G942" i="17"/>
  <c r="H942" i="17"/>
  <c r="I942" i="17"/>
  <c r="J942" i="17"/>
  <c r="K942" i="17"/>
  <c r="L942" i="17"/>
  <c r="M942" i="17"/>
  <c r="N942" i="17"/>
  <c r="O942" i="17"/>
  <c r="P942" i="17"/>
  <c r="Q942" i="17"/>
  <c r="R942" i="17"/>
  <c r="S942" i="17"/>
  <c r="T942" i="17"/>
  <c r="U942" i="17"/>
  <c r="V942" i="17"/>
  <c r="W942" i="17"/>
  <c r="X942" i="17"/>
  <c r="Y942" i="17"/>
  <c r="Z942" i="17"/>
  <c r="AA942" i="17"/>
  <c r="AB942" i="17"/>
  <c r="AC942" i="17"/>
  <c r="AD942" i="17"/>
  <c r="C943" i="17"/>
  <c r="D943" i="17"/>
  <c r="E943" i="17"/>
  <c r="F943" i="17"/>
  <c r="G943" i="17"/>
  <c r="H943" i="17"/>
  <c r="I943" i="17"/>
  <c r="J943" i="17"/>
  <c r="K943" i="17"/>
  <c r="L943" i="17"/>
  <c r="M943" i="17"/>
  <c r="N943" i="17"/>
  <c r="O943" i="17"/>
  <c r="P943" i="17"/>
  <c r="Q943" i="17"/>
  <c r="R943" i="17"/>
  <c r="S943" i="17"/>
  <c r="T943" i="17"/>
  <c r="U943" i="17"/>
  <c r="V943" i="17"/>
  <c r="W943" i="17"/>
  <c r="X943" i="17"/>
  <c r="Y943" i="17"/>
  <c r="Z943" i="17"/>
  <c r="AA943" i="17"/>
  <c r="AB943" i="17"/>
  <c r="AC943" i="17"/>
  <c r="AD943" i="17"/>
  <c r="C944" i="17"/>
  <c r="D944" i="17"/>
  <c r="E944" i="17"/>
  <c r="F944" i="17"/>
  <c r="G944" i="17"/>
  <c r="H944" i="17"/>
  <c r="I944" i="17"/>
  <c r="J944" i="17"/>
  <c r="K944" i="17"/>
  <c r="L944" i="17"/>
  <c r="M944" i="17"/>
  <c r="N944" i="17"/>
  <c r="O944" i="17"/>
  <c r="P944" i="17"/>
  <c r="Q944" i="17"/>
  <c r="R944" i="17"/>
  <c r="S944" i="17"/>
  <c r="T944" i="17"/>
  <c r="U944" i="17"/>
  <c r="V944" i="17"/>
  <c r="W944" i="17"/>
  <c r="X944" i="17"/>
  <c r="Y944" i="17"/>
  <c r="Z944" i="17"/>
  <c r="AA944" i="17"/>
  <c r="AB944" i="17"/>
  <c r="AC944" i="17"/>
  <c r="AD944" i="17"/>
  <c r="C945" i="17"/>
  <c r="D945" i="17"/>
  <c r="E945" i="17"/>
  <c r="F945" i="17"/>
  <c r="G945" i="17"/>
  <c r="H945" i="17"/>
  <c r="I945" i="17"/>
  <c r="J945" i="17"/>
  <c r="K945" i="17"/>
  <c r="L945" i="17"/>
  <c r="M945" i="17"/>
  <c r="N945" i="17"/>
  <c r="O945" i="17"/>
  <c r="P945" i="17"/>
  <c r="Q945" i="17"/>
  <c r="R945" i="17"/>
  <c r="S945" i="17"/>
  <c r="T945" i="17"/>
  <c r="U945" i="17"/>
  <c r="V945" i="17"/>
  <c r="W945" i="17"/>
  <c r="X945" i="17"/>
  <c r="Y945" i="17"/>
  <c r="Z945" i="17"/>
  <c r="AA945" i="17"/>
  <c r="AB945" i="17"/>
  <c r="AC945" i="17"/>
  <c r="AD945" i="17"/>
  <c r="C946" i="17"/>
  <c r="D946" i="17"/>
  <c r="E946" i="17"/>
  <c r="F946" i="17"/>
  <c r="G946" i="17"/>
  <c r="H946" i="17"/>
  <c r="I946" i="17"/>
  <c r="J946" i="17"/>
  <c r="K946" i="17"/>
  <c r="L946" i="17"/>
  <c r="M946" i="17"/>
  <c r="N946" i="17"/>
  <c r="O946" i="17"/>
  <c r="P946" i="17"/>
  <c r="Q946" i="17"/>
  <c r="R946" i="17"/>
  <c r="S946" i="17"/>
  <c r="T946" i="17"/>
  <c r="U946" i="17"/>
  <c r="V946" i="17"/>
  <c r="W946" i="17"/>
  <c r="X946" i="17"/>
  <c r="Y946" i="17"/>
  <c r="Z946" i="17"/>
  <c r="AA946" i="17"/>
  <c r="AB946" i="17"/>
  <c r="AC946" i="17"/>
  <c r="AD946" i="17"/>
  <c r="C947" i="17"/>
  <c r="D947" i="17"/>
  <c r="E947" i="17"/>
  <c r="F947" i="17"/>
  <c r="G947" i="17"/>
  <c r="H947" i="17"/>
  <c r="I947" i="17"/>
  <c r="J947" i="17"/>
  <c r="K947" i="17"/>
  <c r="L947" i="17"/>
  <c r="M947" i="17"/>
  <c r="N947" i="17"/>
  <c r="O947" i="17"/>
  <c r="P947" i="17"/>
  <c r="Q947" i="17"/>
  <c r="R947" i="17"/>
  <c r="S947" i="17"/>
  <c r="T947" i="17"/>
  <c r="U947" i="17"/>
  <c r="V947" i="17"/>
  <c r="W947" i="17"/>
  <c r="X947" i="17"/>
  <c r="Y947" i="17"/>
  <c r="Z947" i="17"/>
  <c r="AA947" i="17"/>
  <c r="AB947" i="17"/>
  <c r="AC947" i="17"/>
  <c r="AD947" i="17"/>
  <c r="C948" i="17"/>
  <c r="D948" i="17"/>
  <c r="E948" i="17"/>
  <c r="F948" i="17"/>
  <c r="G948" i="17"/>
  <c r="H948" i="17"/>
  <c r="I948" i="17"/>
  <c r="J948" i="17"/>
  <c r="K948" i="17"/>
  <c r="L948" i="17"/>
  <c r="M948" i="17"/>
  <c r="N948" i="17"/>
  <c r="O948" i="17"/>
  <c r="P948" i="17"/>
  <c r="Q948" i="17"/>
  <c r="R948" i="17"/>
  <c r="S948" i="17"/>
  <c r="T948" i="17"/>
  <c r="U948" i="17"/>
  <c r="V948" i="17"/>
  <c r="W948" i="17"/>
  <c r="X948" i="17"/>
  <c r="Y948" i="17"/>
  <c r="Z948" i="17"/>
  <c r="AA948" i="17"/>
  <c r="AB948" i="17"/>
  <c r="AC948" i="17"/>
  <c r="AD948" i="17"/>
  <c r="C949" i="17"/>
  <c r="D949" i="17"/>
  <c r="E949" i="17"/>
  <c r="F949" i="17"/>
  <c r="G949" i="17"/>
  <c r="H949" i="17"/>
  <c r="I949" i="17"/>
  <c r="J949" i="17"/>
  <c r="K949" i="17"/>
  <c r="L949" i="17"/>
  <c r="M949" i="17"/>
  <c r="N949" i="17"/>
  <c r="O949" i="17"/>
  <c r="P949" i="17"/>
  <c r="Q949" i="17"/>
  <c r="R949" i="17"/>
  <c r="S949" i="17"/>
  <c r="T949" i="17"/>
  <c r="U949" i="17"/>
  <c r="V949" i="17"/>
  <c r="W949" i="17"/>
  <c r="X949" i="17"/>
  <c r="Y949" i="17"/>
  <c r="Z949" i="17"/>
  <c r="AA949" i="17"/>
  <c r="AB949" i="17"/>
  <c r="AC949" i="17"/>
  <c r="AD949" i="17"/>
  <c r="C950" i="17"/>
  <c r="D950" i="17"/>
  <c r="E950" i="17"/>
  <c r="F950" i="17"/>
  <c r="G950" i="17"/>
  <c r="H950" i="17"/>
  <c r="I950" i="17"/>
  <c r="J950" i="17"/>
  <c r="K950" i="17"/>
  <c r="L950" i="17"/>
  <c r="M950" i="17"/>
  <c r="N950" i="17"/>
  <c r="O950" i="17"/>
  <c r="P950" i="17"/>
  <c r="Q950" i="17"/>
  <c r="R950" i="17"/>
  <c r="S950" i="17"/>
  <c r="T950" i="17"/>
  <c r="U950" i="17"/>
  <c r="V950" i="17"/>
  <c r="W950" i="17"/>
  <c r="X950" i="17"/>
  <c r="Y950" i="17"/>
  <c r="Z950" i="17"/>
  <c r="AA950" i="17"/>
  <c r="AB950" i="17"/>
  <c r="AC950" i="17"/>
  <c r="AD950" i="17"/>
  <c r="C951" i="17"/>
  <c r="D951" i="17"/>
  <c r="E951" i="17"/>
  <c r="F951" i="17"/>
  <c r="G951" i="17"/>
  <c r="H951" i="17"/>
  <c r="I951" i="17"/>
  <c r="J951" i="17"/>
  <c r="K951" i="17"/>
  <c r="L951" i="17"/>
  <c r="M951" i="17"/>
  <c r="N951" i="17"/>
  <c r="O951" i="17"/>
  <c r="P951" i="17"/>
  <c r="Q951" i="17"/>
  <c r="R951" i="17"/>
  <c r="S951" i="17"/>
  <c r="T951" i="17"/>
  <c r="U951" i="17"/>
  <c r="V951" i="17"/>
  <c r="W951" i="17"/>
  <c r="X951" i="17"/>
  <c r="Y951" i="17"/>
  <c r="Z951" i="17"/>
  <c r="AA951" i="17"/>
  <c r="AB951" i="17"/>
  <c r="AC951" i="17"/>
  <c r="AD951" i="17"/>
  <c r="C952" i="17"/>
  <c r="D952" i="17"/>
  <c r="E952" i="17"/>
  <c r="F952" i="17"/>
  <c r="G952" i="17"/>
  <c r="H952" i="17"/>
  <c r="I952" i="17"/>
  <c r="J952" i="17"/>
  <c r="K952" i="17"/>
  <c r="L952" i="17"/>
  <c r="M952" i="17"/>
  <c r="N952" i="17"/>
  <c r="O952" i="17"/>
  <c r="P952" i="17"/>
  <c r="Q952" i="17"/>
  <c r="R952" i="17"/>
  <c r="S952" i="17"/>
  <c r="T952" i="17"/>
  <c r="U952" i="17"/>
  <c r="V952" i="17"/>
  <c r="W952" i="17"/>
  <c r="X952" i="17"/>
  <c r="Y952" i="17"/>
  <c r="Z952" i="17"/>
  <c r="AA952" i="17"/>
  <c r="AB952" i="17"/>
  <c r="AC952" i="17"/>
  <c r="AD952" i="17"/>
  <c r="C953" i="17"/>
  <c r="D953" i="17"/>
  <c r="E953" i="17"/>
  <c r="F953" i="17"/>
  <c r="G953" i="17"/>
  <c r="H953" i="17"/>
  <c r="I953" i="17"/>
  <c r="J953" i="17"/>
  <c r="K953" i="17"/>
  <c r="L953" i="17"/>
  <c r="M953" i="17"/>
  <c r="N953" i="17"/>
  <c r="O953" i="17"/>
  <c r="P953" i="17"/>
  <c r="Q953" i="17"/>
  <c r="R953" i="17"/>
  <c r="S953" i="17"/>
  <c r="T953" i="17"/>
  <c r="U953" i="17"/>
  <c r="V953" i="17"/>
  <c r="W953" i="17"/>
  <c r="X953" i="17"/>
  <c r="Y953" i="17"/>
  <c r="Z953" i="17"/>
  <c r="AA953" i="17"/>
  <c r="AB953" i="17"/>
  <c r="AC953" i="17"/>
  <c r="AD953" i="17"/>
  <c r="C954" i="17"/>
  <c r="D954" i="17"/>
  <c r="E954" i="17"/>
  <c r="F954" i="17"/>
  <c r="G954" i="17"/>
  <c r="H954" i="17"/>
  <c r="I954" i="17"/>
  <c r="J954" i="17"/>
  <c r="K954" i="17"/>
  <c r="L954" i="17"/>
  <c r="M954" i="17"/>
  <c r="N954" i="17"/>
  <c r="O954" i="17"/>
  <c r="P954" i="17"/>
  <c r="Q954" i="17"/>
  <c r="R954" i="17"/>
  <c r="S954" i="17"/>
  <c r="T954" i="17"/>
  <c r="U954" i="17"/>
  <c r="V954" i="17"/>
  <c r="W954" i="17"/>
  <c r="X954" i="17"/>
  <c r="Y954" i="17"/>
  <c r="Z954" i="17"/>
  <c r="AA954" i="17"/>
  <c r="AB954" i="17"/>
  <c r="AC954" i="17"/>
  <c r="AD954" i="17"/>
  <c r="C955" i="17"/>
  <c r="D955" i="17"/>
  <c r="E955" i="17"/>
  <c r="F955" i="17"/>
  <c r="G955" i="17"/>
  <c r="H955" i="17"/>
  <c r="I955" i="17"/>
  <c r="J955" i="17"/>
  <c r="K955" i="17"/>
  <c r="L955" i="17"/>
  <c r="M955" i="17"/>
  <c r="N955" i="17"/>
  <c r="O955" i="17"/>
  <c r="P955" i="17"/>
  <c r="Q955" i="17"/>
  <c r="R955" i="17"/>
  <c r="S955" i="17"/>
  <c r="T955" i="17"/>
  <c r="U955" i="17"/>
  <c r="V955" i="17"/>
  <c r="W955" i="17"/>
  <c r="X955" i="17"/>
  <c r="Y955" i="17"/>
  <c r="Z955" i="17"/>
  <c r="AA955" i="17"/>
  <c r="AB955" i="17"/>
  <c r="AC955" i="17"/>
  <c r="AD955" i="17"/>
  <c r="C956" i="17"/>
  <c r="D956" i="17"/>
  <c r="E956" i="17"/>
  <c r="F956" i="17"/>
  <c r="G956" i="17"/>
  <c r="H956" i="17"/>
  <c r="I956" i="17"/>
  <c r="J956" i="17"/>
  <c r="K956" i="17"/>
  <c r="L956" i="17"/>
  <c r="M956" i="17"/>
  <c r="N956" i="17"/>
  <c r="O956" i="17"/>
  <c r="P956" i="17"/>
  <c r="Q956" i="17"/>
  <c r="R956" i="17"/>
  <c r="S956" i="17"/>
  <c r="T956" i="17"/>
  <c r="U956" i="17"/>
  <c r="V956" i="17"/>
  <c r="W956" i="17"/>
  <c r="X956" i="17"/>
  <c r="Y956" i="17"/>
  <c r="Z956" i="17"/>
  <c r="AA956" i="17"/>
  <c r="AB956" i="17"/>
  <c r="AC956" i="17"/>
  <c r="AD956" i="17"/>
  <c r="C957" i="17"/>
  <c r="D957" i="17"/>
  <c r="E957" i="17"/>
  <c r="F957" i="17"/>
  <c r="G957" i="17"/>
  <c r="H957" i="17"/>
  <c r="I957" i="17"/>
  <c r="J957" i="17"/>
  <c r="K957" i="17"/>
  <c r="L957" i="17"/>
  <c r="M957" i="17"/>
  <c r="N957" i="17"/>
  <c r="O957" i="17"/>
  <c r="P957" i="17"/>
  <c r="Q957" i="17"/>
  <c r="R957" i="17"/>
  <c r="S957" i="17"/>
  <c r="T957" i="17"/>
  <c r="U957" i="17"/>
  <c r="V957" i="17"/>
  <c r="W957" i="17"/>
  <c r="X957" i="17"/>
  <c r="Y957" i="17"/>
  <c r="Z957" i="17"/>
  <c r="AA957" i="17"/>
  <c r="AB957" i="17"/>
  <c r="AC957" i="17"/>
  <c r="AD957" i="17"/>
  <c r="C958" i="17"/>
  <c r="D958" i="17"/>
  <c r="E958" i="17"/>
  <c r="F958" i="17"/>
  <c r="G958" i="17"/>
  <c r="H958" i="17"/>
  <c r="I958" i="17"/>
  <c r="J958" i="17"/>
  <c r="K958" i="17"/>
  <c r="L958" i="17"/>
  <c r="M958" i="17"/>
  <c r="N958" i="17"/>
  <c r="O958" i="17"/>
  <c r="P958" i="17"/>
  <c r="Q958" i="17"/>
  <c r="R958" i="17"/>
  <c r="S958" i="17"/>
  <c r="T958" i="17"/>
  <c r="U958" i="17"/>
  <c r="V958" i="17"/>
  <c r="W958" i="17"/>
  <c r="X958" i="17"/>
  <c r="Y958" i="17"/>
  <c r="Z958" i="17"/>
  <c r="AA958" i="17"/>
  <c r="AB958" i="17"/>
  <c r="AC958" i="17"/>
  <c r="AD958" i="17"/>
  <c r="C959" i="17"/>
  <c r="D959" i="17"/>
  <c r="E959" i="17"/>
  <c r="F959" i="17"/>
  <c r="G959" i="17"/>
  <c r="H959" i="17"/>
  <c r="I959" i="17"/>
  <c r="J959" i="17"/>
  <c r="K959" i="17"/>
  <c r="L959" i="17"/>
  <c r="M959" i="17"/>
  <c r="N959" i="17"/>
  <c r="O959" i="17"/>
  <c r="P959" i="17"/>
  <c r="Q959" i="17"/>
  <c r="R959" i="17"/>
  <c r="S959" i="17"/>
  <c r="T959" i="17"/>
  <c r="U959" i="17"/>
  <c r="V959" i="17"/>
  <c r="W959" i="17"/>
  <c r="X959" i="17"/>
  <c r="Y959" i="17"/>
  <c r="Z959" i="17"/>
  <c r="AA959" i="17"/>
  <c r="AB959" i="17"/>
  <c r="AC959" i="17"/>
  <c r="AD959" i="17"/>
  <c r="C960" i="17"/>
  <c r="D960" i="17"/>
  <c r="E960" i="17"/>
  <c r="F960" i="17"/>
  <c r="G960" i="17"/>
  <c r="H960" i="17"/>
  <c r="I960" i="17"/>
  <c r="J960" i="17"/>
  <c r="K960" i="17"/>
  <c r="L960" i="17"/>
  <c r="M960" i="17"/>
  <c r="N960" i="17"/>
  <c r="O960" i="17"/>
  <c r="P960" i="17"/>
  <c r="Q960" i="17"/>
  <c r="R960" i="17"/>
  <c r="S960" i="17"/>
  <c r="T960" i="17"/>
  <c r="U960" i="17"/>
  <c r="V960" i="17"/>
  <c r="W960" i="17"/>
  <c r="X960" i="17"/>
  <c r="Y960" i="17"/>
  <c r="Z960" i="17"/>
  <c r="AA960" i="17"/>
  <c r="AB960" i="17"/>
  <c r="AC960" i="17"/>
  <c r="AD960" i="17"/>
  <c r="C961" i="17"/>
  <c r="D961" i="17"/>
  <c r="E961" i="17"/>
  <c r="F961" i="17"/>
  <c r="G961" i="17"/>
  <c r="H961" i="17"/>
  <c r="I961" i="17"/>
  <c r="J961" i="17"/>
  <c r="K961" i="17"/>
  <c r="L961" i="17"/>
  <c r="M961" i="17"/>
  <c r="N961" i="17"/>
  <c r="O961" i="17"/>
  <c r="P961" i="17"/>
  <c r="Q961" i="17"/>
  <c r="R961" i="17"/>
  <c r="S961" i="17"/>
  <c r="T961" i="17"/>
  <c r="U961" i="17"/>
  <c r="V961" i="17"/>
  <c r="W961" i="17"/>
  <c r="X961" i="17"/>
  <c r="Y961" i="17"/>
  <c r="Z961" i="17"/>
  <c r="AA961" i="17"/>
  <c r="AB961" i="17"/>
  <c r="AC961" i="17"/>
  <c r="AD961" i="17"/>
  <c r="C962" i="17"/>
  <c r="D962" i="17"/>
  <c r="E962" i="17"/>
  <c r="F962" i="17"/>
  <c r="G962" i="17"/>
  <c r="H962" i="17"/>
  <c r="I962" i="17"/>
  <c r="J962" i="17"/>
  <c r="K962" i="17"/>
  <c r="L962" i="17"/>
  <c r="M962" i="17"/>
  <c r="N962" i="17"/>
  <c r="O962" i="17"/>
  <c r="P962" i="17"/>
  <c r="Q962" i="17"/>
  <c r="R962" i="17"/>
  <c r="S962" i="17"/>
  <c r="T962" i="17"/>
  <c r="U962" i="17"/>
  <c r="V962" i="17"/>
  <c r="W962" i="17"/>
  <c r="X962" i="17"/>
  <c r="Y962" i="17"/>
  <c r="Z962" i="17"/>
  <c r="AA962" i="17"/>
  <c r="AB962" i="17"/>
  <c r="AC962" i="17"/>
  <c r="AD962" i="17"/>
  <c r="C963" i="17"/>
  <c r="D963" i="17"/>
  <c r="E963" i="17"/>
  <c r="F963" i="17"/>
  <c r="G963" i="17"/>
  <c r="H963" i="17"/>
  <c r="I963" i="17"/>
  <c r="J963" i="17"/>
  <c r="K963" i="17"/>
  <c r="L963" i="17"/>
  <c r="M963" i="17"/>
  <c r="N963" i="17"/>
  <c r="O963" i="17"/>
  <c r="P963" i="17"/>
  <c r="Q963" i="17"/>
  <c r="R963" i="17"/>
  <c r="S963" i="17"/>
  <c r="T963" i="17"/>
  <c r="U963" i="17"/>
  <c r="V963" i="17"/>
  <c r="W963" i="17"/>
  <c r="X963" i="17"/>
  <c r="Y963" i="17"/>
  <c r="Z963" i="17"/>
  <c r="AA963" i="17"/>
  <c r="AB963" i="17"/>
  <c r="AC963" i="17"/>
  <c r="AD963" i="17"/>
  <c r="C964" i="17"/>
  <c r="D964" i="17"/>
  <c r="E964" i="17"/>
  <c r="F964" i="17"/>
  <c r="G964" i="17"/>
  <c r="H964" i="17"/>
  <c r="I964" i="17"/>
  <c r="J964" i="17"/>
  <c r="K964" i="17"/>
  <c r="L964" i="17"/>
  <c r="M964" i="17"/>
  <c r="N964" i="17"/>
  <c r="O964" i="17"/>
  <c r="P964" i="17"/>
  <c r="Q964" i="17"/>
  <c r="R964" i="17"/>
  <c r="S964" i="17"/>
  <c r="T964" i="17"/>
  <c r="U964" i="17"/>
  <c r="V964" i="17"/>
  <c r="W964" i="17"/>
  <c r="X964" i="17"/>
  <c r="Y964" i="17"/>
  <c r="Z964" i="17"/>
  <c r="AA964" i="17"/>
  <c r="AB964" i="17"/>
  <c r="AC964" i="17"/>
  <c r="AD964" i="17"/>
  <c r="C965" i="17"/>
  <c r="D965" i="17"/>
  <c r="E965" i="17"/>
  <c r="F965" i="17"/>
  <c r="G965" i="17"/>
  <c r="H965" i="17"/>
  <c r="I965" i="17"/>
  <c r="J965" i="17"/>
  <c r="K965" i="17"/>
  <c r="L965" i="17"/>
  <c r="M965" i="17"/>
  <c r="N965" i="17"/>
  <c r="O965" i="17"/>
  <c r="P965" i="17"/>
  <c r="Q965" i="17"/>
  <c r="R965" i="17"/>
  <c r="S965" i="17"/>
  <c r="T965" i="17"/>
  <c r="U965" i="17"/>
  <c r="V965" i="17"/>
  <c r="W965" i="17"/>
  <c r="X965" i="17"/>
  <c r="Y965" i="17"/>
  <c r="Z965" i="17"/>
  <c r="AA965" i="17"/>
  <c r="AB965" i="17"/>
  <c r="AC965" i="17"/>
  <c r="AD965" i="17"/>
  <c r="C966" i="17"/>
  <c r="D966" i="17"/>
  <c r="E966" i="17"/>
  <c r="F966" i="17"/>
  <c r="G966" i="17"/>
  <c r="H966" i="17"/>
  <c r="I966" i="17"/>
  <c r="J966" i="17"/>
  <c r="K966" i="17"/>
  <c r="L966" i="17"/>
  <c r="M966" i="17"/>
  <c r="N966" i="17"/>
  <c r="O966" i="17"/>
  <c r="P966" i="17"/>
  <c r="Q966" i="17"/>
  <c r="R966" i="17"/>
  <c r="S966" i="17"/>
  <c r="T966" i="17"/>
  <c r="U966" i="17"/>
  <c r="V966" i="17"/>
  <c r="W966" i="17"/>
  <c r="X966" i="17"/>
  <c r="Y966" i="17"/>
  <c r="Z966" i="17"/>
  <c r="AA966" i="17"/>
  <c r="AB966" i="17"/>
  <c r="AC966" i="17"/>
  <c r="AD966" i="17"/>
  <c r="C967" i="17"/>
  <c r="D967" i="17"/>
  <c r="E967" i="17"/>
  <c r="F967" i="17"/>
  <c r="G967" i="17"/>
  <c r="H967" i="17"/>
  <c r="I967" i="17"/>
  <c r="J967" i="17"/>
  <c r="K967" i="17"/>
  <c r="L967" i="17"/>
  <c r="M967" i="17"/>
  <c r="N967" i="17"/>
  <c r="O967" i="17"/>
  <c r="P967" i="17"/>
  <c r="Q967" i="17"/>
  <c r="R967" i="17"/>
  <c r="S967" i="17"/>
  <c r="T967" i="17"/>
  <c r="U967" i="17"/>
  <c r="V967" i="17"/>
  <c r="W967" i="17"/>
  <c r="X967" i="17"/>
  <c r="Y967" i="17"/>
  <c r="Z967" i="17"/>
  <c r="AA967" i="17"/>
  <c r="AB967" i="17"/>
  <c r="AC967" i="17"/>
  <c r="AD967" i="17"/>
  <c r="C968" i="17"/>
  <c r="D968" i="17"/>
  <c r="E968" i="17"/>
  <c r="F968" i="17"/>
  <c r="G968" i="17"/>
  <c r="H968" i="17"/>
  <c r="I968" i="17"/>
  <c r="J968" i="17"/>
  <c r="K968" i="17"/>
  <c r="L968" i="17"/>
  <c r="M968" i="17"/>
  <c r="N968" i="17"/>
  <c r="O968" i="17"/>
  <c r="P968" i="17"/>
  <c r="Q968" i="17"/>
  <c r="R968" i="17"/>
  <c r="S968" i="17"/>
  <c r="T968" i="17"/>
  <c r="U968" i="17"/>
  <c r="V968" i="17"/>
  <c r="W968" i="17"/>
  <c r="X968" i="17"/>
  <c r="Y968" i="17"/>
  <c r="Z968" i="17"/>
  <c r="AA968" i="17"/>
  <c r="AB968" i="17"/>
  <c r="AC968" i="17"/>
  <c r="AD968" i="17"/>
  <c r="C969" i="17"/>
  <c r="D969" i="17"/>
  <c r="E969" i="17"/>
  <c r="F969" i="17"/>
  <c r="G969" i="17"/>
  <c r="H969" i="17"/>
  <c r="I969" i="17"/>
  <c r="J969" i="17"/>
  <c r="K969" i="17"/>
  <c r="L969" i="17"/>
  <c r="M969" i="17"/>
  <c r="N969" i="17"/>
  <c r="O969" i="17"/>
  <c r="P969" i="17"/>
  <c r="Q969" i="17"/>
  <c r="R969" i="17"/>
  <c r="S969" i="17"/>
  <c r="T969" i="17"/>
  <c r="U969" i="17"/>
  <c r="V969" i="17"/>
  <c r="W969" i="17"/>
  <c r="X969" i="17"/>
  <c r="Y969" i="17"/>
  <c r="Z969" i="17"/>
  <c r="AA969" i="17"/>
  <c r="AB969" i="17"/>
  <c r="AC969" i="17"/>
  <c r="AD969" i="17"/>
  <c r="C970" i="17"/>
  <c r="D970" i="17"/>
  <c r="E970" i="17"/>
  <c r="F970" i="17"/>
  <c r="G970" i="17"/>
  <c r="H970" i="17"/>
  <c r="I970" i="17"/>
  <c r="J970" i="17"/>
  <c r="K970" i="17"/>
  <c r="L970" i="17"/>
  <c r="M970" i="17"/>
  <c r="N970" i="17"/>
  <c r="O970" i="17"/>
  <c r="P970" i="17"/>
  <c r="Q970" i="17"/>
  <c r="R970" i="17"/>
  <c r="S970" i="17"/>
  <c r="T970" i="17"/>
  <c r="U970" i="17"/>
  <c r="V970" i="17"/>
  <c r="W970" i="17"/>
  <c r="X970" i="17"/>
  <c r="Y970" i="17"/>
  <c r="Z970" i="17"/>
  <c r="AA970" i="17"/>
  <c r="AB970" i="17"/>
  <c r="AC970" i="17"/>
  <c r="AD970" i="17"/>
  <c r="C971" i="17"/>
  <c r="D971" i="17"/>
  <c r="E971" i="17"/>
  <c r="F971" i="17"/>
  <c r="G971" i="17"/>
  <c r="H971" i="17"/>
  <c r="I971" i="17"/>
  <c r="J971" i="17"/>
  <c r="K971" i="17"/>
  <c r="L971" i="17"/>
  <c r="M971" i="17"/>
  <c r="N971" i="17"/>
  <c r="O971" i="17"/>
  <c r="P971" i="17"/>
  <c r="Q971" i="17"/>
  <c r="R971" i="17"/>
  <c r="S971" i="17"/>
  <c r="T971" i="17"/>
  <c r="U971" i="17"/>
  <c r="V971" i="17"/>
  <c r="W971" i="17"/>
  <c r="X971" i="17"/>
  <c r="Y971" i="17"/>
  <c r="Z971" i="17"/>
  <c r="AA971" i="17"/>
  <c r="AB971" i="17"/>
  <c r="AC971" i="17"/>
  <c r="AD971" i="17"/>
  <c r="C972" i="17"/>
  <c r="D972" i="17"/>
  <c r="E972" i="17"/>
  <c r="F972" i="17"/>
  <c r="G972" i="17"/>
  <c r="H972" i="17"/>
  <c r="I972" i="17"/>
  <c r="J972" i="17"/>
  <c r="K972" i="17"/>
  <c r="L972" i="17"/>
  <c r="M972" i="17"/>
  <c r="N972" i="17"/>
  <c r="O972" i="17"/>
  <c r="P972" i="17"/>
  <c r="Q972" i="17"/>
  <c r="R972" i="17"/>
  <c r="S972" i="17"/>
  <c r="T972" i="17"/>
  <c r="U972" i="17"/>
  <c r="V972" i="17"/>
  <c r="W972" i="17"/>
  <c r="X972" i="17"/>
  <c r="Y972" i="17"/>
  <c r="Z972" i="17"/>
  <c r="AA972" i="17"/>
  <c r="AB972" i="17"/>
  <c r="AC972" i="17"/>
  <c r="AD972" i="17"/>
  <c r="C973" i="17"/>
  <c r="D973" i="17"/>
  <c r="E973" i="17"/>
  <c r="F973" i="17"/>
  <c r="G973" i="17"/>
  <c r="H973" i="17"/>
  <c r="I973" i="17"/>
  <c r="J973" i="17"/>
  <c r="K973" i="17"/>
  <c r="L973" i="17"/>
  <c r="M973" i="17"/>
  <c r="N973" i="17"/>
  <c r="O973" i="17"/>
  <c r="P973" i="17"/>
  <c r="Q973" i="17"/>
  <c r="R973" i="17"/>
  <c r="S973" i="17"/>
  <c r="T973" i="17"/>
  <c r="U973" i="17"/>
  <c r="V973" i="17"/>
  <c r="W973" i="17"/>
  <c r="X973" i="17"/>
  <c r="Y973" i="17"/>
  <c r="Z973" i="17"/>
  <c r="AA973" i="17"/>
  <c r="AB973" i="17"/>
  <c r="AC973" i="17"/>
  <c r="AD973" i="17"/>
  <c r="C974" i="17"/>
  <c r="D974" i="17"/>
  <c r="E974" i="17"/>
  <c r="F974" i="17"/>
  <c r="G974" i="17"/>
  <c r="H974" i="17"/>
  <c r="I974" i="17"/>
  <c r="J974" i="17"/>
  <c r="K974" i="17"/>
  <c r="L974" i="17"/>
  <c r="M974" i="17"/>
  <c r="N974" i="17"/>
  <c r="O974" i="17"/>
  <c r="P974" i="17"/>
  <c r="Q974" i="17"/>
  <c r="R974" i="17"/>
  <c r="S974" i="17"/>
  <c r="T974" i="17"/>
  <c r="U974" i="17"/>
  <c r="V974" i="17"/>
  <c r="W974" i="17"/>
  <c r="X974" i="17"/>
  <c r="Y974" i="17"/>
  <c r="Z974" i="17"/>
  <c r="AA974" i="17"/>
  <c r="AB974" i="17"/>
  <c r="AC974" i="17"/>
  <c r="AD974" i="17"/>
  <c r="C975" i="17"/>
  <c r="D975" i="17"/>
  <c r="E975" i="17"/>
  <c r="F975" i="17"/>
  <c r="G975" i="17"/>
  <c r="H975" i="17"/>
  <c r="I975" i="17"/>
  <c r="J975" i="17"/>
  <c r="K975" i="17"/>
  <c r="L975" i="17"/>
  <c r="M975" i="17"/>
  <c r="N975" i="17"/>
  <c r="O975" i="17"/>
  <c r="P975" i="17"/>
  <c r="Q975" i="17"/>
  <c r="R975" i="17"/>
  <c r="S975" i="17"/>
  <c r="T975" i="17"/>
  <c r="U975" i="17"/>
  <c r="V975" i="17"/>
  <c r="W975" i="17"/>
  <c r="X975" i="17"/>
  <c r="Y975" i="17"/>
  <c r="Z975" i="17"/>
  <c r="AA975" i="17"/>
  <c r="AB975" i="17"/>
  <c r="AC975" i="17"/>
  <c r="AD975" i="17"/>
  <c r="C976" i="17"/>
  <c r="D976" i="17"/>
  <c r="E976" i="17"/>
  <c r="F976" i="17"/>
  <c r="G976" i="17"/>
  <c r="H976" i="17"/>
  <c r="I976" i="17"/>
  <c r="J976" i="17"/>
  <c r="K976" i="17"/>
  <c r="L976" i="17"/>
  <c r="M976" i="17"/>
  <c r="N976" i="17"/>
  <c r="O976" i="17"/>
  <c r="P976" i="17"/>
  <c r="Q976" i="17"/>
  <c r="R976" i="17"/>
  <c r="S976" i="17"/>
  <c r="T976" i="17"/>
  <c r="U976" i="17"/>
  <c r="V976" i="17"/>
  <c r="W976" i="17"/>
  <c r="X976" i="17"/>
  <c r="Y976" i="17"/>
  <c r="Z976" i="17"/>
  <c r="AA976" i="17"/>
  <c r="AB976" i="17"/>
  <c r="AC976" i="17"/>
  <c r="AD976" i="17"/>
  <c r="C977" i="17"/>
  <c r="D977" i="17"/>
  <c r="E977" i="17"/>
  <c r="F977" i="17"/>
  <c r="G977" i="17"/>
  <c r="H977" i="17"/>
  <c r="I977" i="17"/>
  <c r="J977" i="17"/>
  <c r="K977" i="17"/>
  <c r="L977" i="17"/>
  <c r="M977" i="17"/>
  <c r="N977" i="17"/>
  <c r="O977" i="17"/>
  <c r="P977" i="17"/>
  <c r="Q977" i="17"/>
  <c r="R977" i="17"/>
  <c r="S977" i="17"/>
  <c r="T977" i="17"/>
  <c r="U977" i="17"/>
  <c r="V977" i="17"/>
  <c r="W977" i="17"/>
  <c r="X977" i="17"/>
  <c r="Y977" i="17"/>
  <c r="Z977" i="17"/>
  <c r="AA977" i="17"/>
  <c r="AB977" i="17"/>
  <c r="AC977" i="17"/>
  <c r="AD977" i="17"/>
  <c r="C978" i="17"/>
  <c r="D978" i="17"/>
  <c r="E978" i="17"/>
  <c r="F978" i="17"/>
  <c r="G978" i="17"/>
  <c r="H978" i="17"/>
  <c r="I978" i="17"/>
  <c r="J978" i="17"/>
  <c r="K978" i="17"/>
  <c r="L978" i="17"/>
  <c r="M978" i="17"/>
  <c r="N978" i="17"/>
  <c r="O978" i="17"/>
  <c r="P978" i="17"/>
  <c r="Q978" i="17"/>
  <c r="R978" i="17"/>
  <c r="S978" i="17"/>
  <c r="T978" i="17"/>
  <c r="U978" i="17"/>
  <c r="V978" i="17"/>
  <c r="W978" i="17"/>
  <c r="X978" i="17"/>
  <c r="Y978" i="17"/>
  <c r="Z978" i="17"/>
  <c r="AA978" i="17"/>
  <c r="AB978" i="17"/>
  <c r="AC978" i="17"/>
  <c r="AD978" i="17"/>
  <c r="C979" i="17"/>
  <c r="D979" i="17"/>
  <c r="E979" i="17"/>
  <c r="F979" i="17"/>
  <c r="G979" i="17"/>
  <c r="H979" i="17"/>
  <c r="I979" i="17"/>
  <c r="J979" i="17"/>
  <c r="K979" i="17"/>
  <c r="L979" i="17"/>
  <c r="M979" i="17"/>
  <c r="N979" i="17"/>
  <c r="O979" i="17"/>
  <c r="P979" i="17"/>
  <c r="Q979" i="17"/>
  <c r="R979" i="17"/>
  <c r="S979" i="17"/>
  <c r="T979" i="17"/>
  <c r="U979" i="17"/>
  <c r="V979" i="17"/>
  <c r="W979" i="17"/>
  <c r="X979" i="17"/>
  <c r="Y979" i="17"/>
  <c r="Z979" i="17"/>
  <c r="AA979" i="17"/>
  <c r="AB979" i="17"/>
  <c r="AC979" i="17"/>
  <c r="AD979" i="17"/>
  <c r="C980" i="17"/>
  <c r="D980" i="17"/>
  <c r="E980" i="17"/>
  <c r="F980" i="17"/>
  <c r="G980" i="17"/>
  <c r="H980" i="17"/>
  <c r="I980" i="17"/>
  <c r="J980" i="17"/>
  <c r="K980" i="17"/>
  <c r="L980" i="17"/>
  <c r="M980" i="17"/>
  <c r="N980" i="17"/>
  <c r="O980" i="17"/>
  <c r="P980" i="17"/>
  <c r="Q980" i="17"/>
  <c r="R980" i="17"/>
  <c r="S980" i="17"/>
  <c r="T980" i="17"/>
  <c r="U980" i="17"/>
  <c r="V980" i="17"/>
  <c r="W980" i="17"/>
  <c r="X980" i="17"/>
  <c r="Y980" i="17"/>
  <c r="Z980" i="17"/>
  <c r="AA980" i="17"/>
  <c r="AB980" i="17"/>
  <c r="AC980" i="17"/>
  <c r="AD980" i="17"/>
  <c r="C981" i="17"/>
  <c r="D981" i="17"/>
  <c r="E981" i="17"/>
  <c r="F981" i="17"/>
  <c r="G981" i="17"/>
  <c r="H981" i="17"/>
  <c r="I981" i="17"/>
  <c r="J981" i="17"/>
  <c r="K981" i="17"/>
  <c r="L981" i="17"/>
  <c r="M981" i="17"/>
  <c r="N981" i="17"/>
  <c r="O981" i="17"/>
  <c r="P981" i="17"/>
  <c r="Q981" i="17"/>
  <c r="R981" i="17"/>
  <c r="S981" i="17"/>
  <c r="T981" i="17"/>
  <c r="U981" i="17"/>
  <c r="V981" i="17"/>
  <c r="W981" i="17"/>
  <c r="X981" i="17"/>
  <c r="Y981" i="17"/>
  <c r="Z981" i="17"/>
  <c r="AA981" i="17"/>
  <c r="AB981" i="17"/>
  <c r="AC981" i="17"/>
  <c r="AD981" i="17"/>
  <c r="C982" i="17"/>
  <c r="D982" i="17"/>
  <c r="E982" i="17"/>
  <c r="F982" i="17"/>
  <c r="G982" i="17"/>
  <c r="H982" i="17"/>
  <c r="I982" i="17"/>
  <c r="J982" i="17"/>
  <c r="K982" i="17"/>
  <c r="L982" i="17"/>
  <c r="M982" i="17"/>
  <c r="N982" i="17"/>
  <c r="O982" i="17"/>
  <c r="P982" i="17"/>
  <c r="Q982" i="17"/>
  <c r="R982" i="17"/>
  <c r="S982" i="17"/>
  <c r="T982" i="17"/>
  <c r="U982" i="17"/>
  <c r="V982" i="17"/>
  <c r="W982" i="17"/>
  <c r="X982" i="17"/>
  <c r="Y982" i="17"/>
  <c r="Z982" i="17"/>
  <c r="AA982" i="17"/>
  <c r="AB982" i="17"/>
  <c r="AC982" i="17"/>
  <c r="AD982" i="17"/>
  <c r="C983" i="17"/>
  <c r="D983" i="17"/>
  <c r="E983" i="17"/>
  <c r="F983" i="17"/>
  <c r="G983" i="17"/>
  <c r="H983" i="17"/>
  <c r="I983" i="17"/>
  <c r="J983" i="17"/>
  <c r="K983" i="17"/>
  <c r="L983" i="17"/>
  <c r="M983" i="17"/>
  <c r="N983" i="17"/>
  <c r="O983" i="17"/>
  <c r="P983" i="17"/>
  <c r="Q983" i="17"/>
  <c r="R983" i="17"/>
  <c r="S983" i="17"/>
  <c r="T983" i="17"/>
  <c r="U983" i="17"/>
  <c r="V983" i="17"/>
  <c r="W983" i="17"/>
  <c r="X983" i="17"/>
  <c r="Y983" i="17"/>
  <c r="Z983" i="17"/>
  <c r="AA983" i="17"/>
  <c r="AB983" i="17"/>
  <c r="AC983" i="17"/>
  <c r="AD983" i="17"/>
  <c r="C984" i="17"/>
  <c r="D984" i="17"/>
  <c r="E984" i="17"/>
  <c r="F984" i="17"/>
  <c r="G984" i="17"/>
  <c r="H984" i="17"/>
  <c r="I984" i="17"/>
  <c r="J984" i="17"/>
  <c r="K984" i="17"/>
  <c r="L984" i="17"/>
  <c r="M984" i="17"/>
  <c r="N984" i="17"/>
  <c r="O984" i="17"/>
  <c r="P984" i="17"/>
  <c r="Q984" i="17"/>
  <c r="R984" i="17"/>
  <c r="S984" i="17"/>
  <c r="T984" i="17"/>
  <c r="U984" i="17"/>
  <c r="V984" i="17"/>
  <c r="W984" i="17"/>
  <c r="X984" i="17"/>
  <c r="Y984" i="17"/>
  <c r="Z984" i="17"/>
  <c r="AA984" i="17"/>
  <c r="AB984" i="17"/>
  <c r="AC984" i="17"/>
  <c r="AD984" i="17"/>
  <c r="C985" i="17"/>
  <c r="D985" i="17"/>
  <c r="E985" i="17"/>
  <c r="F985" i="17"/>
  <c r="G985" i="17"/>
  <c r="H985" i="17"/>
  <c r="I985" i="17"/>
  <c r="J985" i="17"/>
  <c r="K985" i="17"/>
  <c r="L985" i="17"/>
  <c r="M985" i="17"/>
  <c r="N985" i="17"/>
  <c r="O985" i="17"/>
  <c r="P985" i="17"/>
  <c r="Q985" i="17"/>
  <c r="R985" i="17"/>
  <c r="S985" i="17"/>
  <c r="T985" i="17"/>
  <c r="U985" i="17"/>
  <c r="V985" i="17"/>
  <c r="W985" i="17"/>
  <c r="X985" i="17"/>
  <c r="Y985" i="17"/>
  <c r="Z985" i="17"/>
  <c r="AA985" i="17"/>
  <c r="AB985" i="17"/>
  <c r="AC985" i="17"/>
  <c r="AD985" i="17"/>
  <c r="C986" i="17"/>
  <c r="D986" i="17"/>
  <c r="E986" i="17"/>
  <c r="F986" i="17"/>
  <c r="G986" i="17"/>
  <c r="H986" i="17"/>
  <c r="I986" i="17"/>
  <c r="J986" i="17"/>
  <c r="K986" i="17"/>
  <c r="L986" i="17"/>
  <c r="M986" i="17"/>
  <c r="N986" i="17"/>
  <c r="O986" i="17"/>
  <c r="P986" i="17"/>
  <c r="Q986" i="17"/>
  <c r="R986" i="17"/>
  <c r="S986" i="17"/>
  <c r="T986" i="17"/>
  <c r="U986" i="17"/>
  <c r="V986" i="17"/>
  <c r="W986" i="17"/>
  <c r="X986" i="17"/>
  <c r="Y986" i="17"/>
  <c r="Z986" i="17"/>
  <c r="AA986" i="17"/>
  <c r="AB986" i="17"/>
  <c r="AC986" i="17"/>
  <c r="AD986" i="17"/>
  <c r="C987" i="17"/>
  <c r="D987" i="17"/>
  <c r="E987" i="17"/>
  <c r="F987" i="17"/>
  <c r="G987" i="17"/>
  <c r="H987" i="17"/>
  <c r="I987" i="17"/>
  <c r="J987" i="17"/>
  <c r="K987" i="17"/>
  <c r="L987" i="17"/>
  <c r="M987" i="17"/>
  <c r="N987" i="17"/>
  <c r="O987" i="17"/>
  <c r="P987" i="17"/>
  <c r="Q987" i="17"/>
  <c r="R987" i="17"/>
  <c r="S987" i="17"/>
  <c r="T987" i="17"/>
  <c r="U987" i="17"/>
  <c r="V987" i="17"/>
  <c r="W987" i="17"/>
  <c r="X987" i="17"/>
  <c r="Y987" i="17"/>
  <c r="Z987" i="17"/>
  <c r="AA987" i="17"/>
  <c r="AB987" i="17"/>
  <c r="AC987" i="17"/>
  <c r="AD987" i="17"/>
  <c r="C988" i="17"/>
  <c r="D988" i="17"/>
  <c r="E988" i="17"/>
  <c r="F988" i="17"/>
  <c r="G988" i="17"/>
  <c r="H988" i="17"/>
  <c r="I988" i="17"/>
  <c r="J988" i="17"/>
  <c r="K988" i="17"/>
  <c r="L988" i="17"/>
  <c r="M988" i="17"/>
  <c r="N988" i="17"/>
  <c r="O988" i="17"/>
  <c r="P988" i="17"/>
  <c r="Q988" i="17"/>
  <c r="R988" i="17"/>
  <c r="S988" i="17"/>
  <c r="T988" i="17"/>
  <c r="U988" i="17"/>
  <c r="V988" i="17"/>
  <c r="W988" i="17"/>
  <c r="X988" i="17"/>
  <c r="Y988" i="17"/>
  <c r="Z988" i="17"/>
  <c r="AA988" i="17"/>
  <c r="AB988" i="17"/>
  <c r="AC988" i="17"/>
  <c r="AD988" i="17"/>
  <c r="C989" i="17"/>
  <c r="D989" i="17"/>
  <c r="E989" i="17"/>
  <c r="F989" i="17"/>
  <c r="G989" i="17"/>
  <c r="H989" i="17"/>
  <c r="I989" i="17"/>
  <c r="J989" i="17"/>
  <c r="K989" i="17"/>
  <c r="L989" i="17"/>
  <c r="M989" i="17"/>
  <c r="N989" i="17"/>
  <c r="O989" i="17"/>
  <c r="P989" i="17"/>
  <c r="Q989" i="17"/>
  <c r="R989" i="17"/>
  <c r="S989" i="17"/>
  <c r="T989" i="17"/>
  <c r="U989" i="17"/>
  <c r="V989" i="17"/>
  <c r="W989" i="17"/>
  <c r="X989" i="17"/>
  <c r="Y989" i="17"/>
  <c r="Z989" i="17"/>
  <c r="AA989" i="17"/>
  <c r="AB989" i="17"/>
  <c r="AC989" i="17"/>
  <c r="AD989" i="17"/>
  <c r="C990" i="17"/>
  <c r="D990" i="17"/>
  <c r="E990" i="17"/>
  <c r="F990" i="17"/>
  <c r="G990" i="17"/>
  <c r="H990" i="17"/>
  <c r="I990" i="17"/>
  <c r="J990" i="17"/>
  <c r="K990" i="17"/>
  <c r="L990" i="17"/>
  <c r="M990" i="17"/>
  <c r="N990" i="17"/>
  <c r="O990" i="17"/>
  <c r="P990" i="17"/>
  <c r="Q990" i="17"/>
  <c r="R990" i="17"/>
  <c r="S990" i="17"/>
  <c r="T990" i="17"/>
  <c r="U990" i="17"/>
  <c r="V990" i="17"/>
  <c r="W990" i="17"/>
  <c r="X990" i="17"/>
  <c r="Y990" i="17"/>
  <c r="Z990" i="17"/>
  <c r="AA990" i="17"/>
  <c r="AB990" i="17"/>
  <c r="AC990" i="17"/>
  <c r="AD990" i="17"/>
  <c r="C991" i="17"/>
  <c r="D991" i="17"/>
  <c r="E991" i="17"/>
  <c r="F991" i="17"/>
  <c r="G991" i="17"/>
  <c r="H991" i="17"/>
  <c r="I991" i="17"/>
  <c r="J991" i="17"/>
  <c r="K991" i="17"/>
  <c r="L991" i="17"/>
  <c r="M991" i="17"/>
  <c r="N991" i="17"/>
  <c r="O991" i="17"/>
  <c r="P991" i="17"/>
  <c r="Q991" i="17"/>
  <c r="R991" i="17"/>
  <c r="S991" i="17"/>
  <c r="T991" i="17"/>
  <c r="U991" i="17"/>
  <c r="V991" i="17"/>
  <c r="W991" i="17"/>
  <c r="X991" i="17"/>
  <c r="Y991" i="17"/>
  <c r="Z991" i="17"/>
  <c r="AA991" i="17"/>
  <c r="AB991" i="17"/>
  <c r="AC991" i="17"/>
  <c r="AD991" i="17"/>
  <c r="C992" i="17"/>
  <c r="D992" i="17"/>
  <c r="E992" i="17"/>
  <c r="F992" i="17"/>
  <c r="G992" i="17"/>
  <c r="H992" i="17"/>
  <c r="I992" i="17"/>
  <c r="J992" i="17"/>
  <c r="K992" i="17"/>
  <c r="L992" i="17"/>
  <c r="M992" i="17"/>
  <c r="N992" i="17"/>
  <c r="O992" i="17"/>
  <c r="P992" i="17"/>
  <c r="Q992" i="17"/>
  <c r="R992" i="17"/>
  <c r="S992" i="17"/>
  <c r="T992" i="17"/>
  <c r="U992" i="17"/>
  <c r="V992" i="17"/>
  <c r="W992" i="17"/>
  <c r="X992" i="17"/>
  <c r="Y992" i="17"/>
  <c r="Z992" i="17"/>
  <c r="AA992" i="17"/>
  <c r="AB992" i="17"/>
  <c r="AC992" i="17"/>
  <c r="AD992" i="17"/>
  <c r="C993" i="17"/>
  <c r="D993" i="17"/>
  <c r="E993" i="17"/>
  <c r="F993" i="17"/>
  <c r="G993" i="17"/>
  <c r="H993" i="17"/>
  <c r="I993" i="17"/>
  <c r="J993" i="17"/>
  <c r="K993" i="17"/>
  <c r="L993" i="17"/>
  <c r="M993" i="17"/>
  <c r="N993" i="17"/>
  <c r="O993" i="17"/>
  <c r="P993" i="17"/>
  <c r="Q993" i="17"/>
  <c r="R993" i="17"/>
  <c r="S993" i="17"/>
  <c r="T993" i="17"/>
  <c r="U993" i="17"/>
  <c r="V993" i="17"/>
  <c r="W993" i="17"/>
  <c r="X993" i="17"/>
  <c r="Y993" i="17"/>
  <c r="Z993" i="17"/>
  <c r="AA993" i="17"/>
  <c r="AB993" i="17"/>
  <c r="AC993" i="17"/>
  <c r="AD993" i="17"/>
  <c r="C994" i="17"/>
  <c r="D994" i="17"/>
  <c r="E994" i="17"/>
  <c r="F994" i="17"/>
  <c r="G994" i="17"/>
  <c r="H994" i="17"/>
  <c r="I994" i="17"/>
  <c r="J994" i="17"/>
  <c r="K994" i="17"/>
  <c r="L994" i="17"/>
  <c r="M994" i="17"/>
  <c r="N994" i="17"/>
  <c r="O994" i="17"/>
  <c r="P994" i="17"/>
  <c r="Q994" i="17"/>
  <c r="R994" i="17"/>
  <c r="S994" i="17"/>
  <c r="T994" i="17"/>
  <c r="U994" i="17"/>
  <c r="V994" i="17"/>
  <c r="W994" i="17"/>
  <c r="X994" i="17"/>
  <c r="Y994" i="17"/>
  <c r="Z994" i="17"/>
  <c r="AA994" i="17"/>
  <c r="AB994" i="17"/>
  <c r="AC994" i="17"/>
  <c r="AD994" i="17"/>
  <c r="C995" i="17"/>
  <c r="D995" i="17"/>
  <c r="E995" i="17"/>
  <c r="F995" i="17"/>
  <c r="G995" i="17"/>
  <c r="H995" i="17"/>
  <c r="I995" i="17"/>
  <c r="J995" i="17"/>
  <c r="K995" i="17"/>
  <c r="L995" i="17"/>
  <c r="M995" i="17"/>
  <c r="N995" i="17"/>
  <c r="O995" i="17"/>
  <c r="P995" i="17"/>
  <c r="Q995" i="17"/>
  <c r="R995" i="17"/>
  <c r="S995" i="17"/>
  <c r="T995" i="17"/>
  <c r="U995" i="17"/>
  <c r="V995" i="17"/>
  <c r="W995" i="17"/>
  <c r="X995" i="17"/>
  <c r="Y995" i="17"/>
  <c r="Z995" i="17"/>
  <c r="AA995" i="17"/>
  <c r="AB995" i="17"/>
  <c r="AC995" i="17"/>
  <c r="AD995" i="17"/>
  <c r="C996" i="17"/>
  <c r="D996" i="17"/>
  <c r="E996" i="17"/>
  <c r="F996" i="17"/>
  <c r="G996" i="17"/>
  <c r="H996" i="17"/>
  <c r="I996" i="17"/>
  <c r="J996" i="17"/>
  <c r="K996" i="17"/>
  <c r="L996" i="17"/>
  <c r="M996" i="17"/>
  <c r="N996" i="17"/>
  <c r="O996" i="17"/>
  <c r="P996" i="17"/>
  <c r="Q996" i="17"/>
  <c r="R996" i="17"/>
  <c r="S996" i="17"/>
  <c r="T996" i="17"/>
  <c r="U996" i="17"/>
  <c r="V996" i="17"/>
  <c r="W996" i="17"/>
  <c r="X996" i="17"/>
  <c r="Y996" i="17"/>
  <c r="Z996" i="17"/>
  <c r="AA996" i="17"/>
  <c r="AB996" i="17"/>
  <c r="AC996" i="17"/>
  <c r="AD996" i="17"/>
  <c r="C997" i="17"/>
  <c r="D997" i="17"/>
  <c r="E997" i="17"/>
  <c r="F997" i="17"/>
  <c r="G997" i="17"/>
  <c r="H997" i="17"/>
  <c r="I997" i="17"/>
  <c r="J997" i="17"/>
  <c r="K997" i="17"/>
  <c r="L997" i="17"/>
  <c r="M997" i="17"/>
  <c r="N997" i="17"/>
  <c r="O997" i="17"/>
  <c r="P997" i="17"/>
  <c r="Q997" i="17"/>
  <c r="R997" i="17"/>
  <c r="S997" i="17"/>
  <c r="T997" i="17"/>
  <c r="U997" i="17"/>
  <c r="V997" i="17"/>
  <c r="W997" i="17"/>
  <c r="X997" i="17"/>
  <c r="Y997" i="17"/>
  <c r="Z997" i="17"/>
  <c r="AA997" i="17"/>
  <c r="AB997" i="17"/>
  <c r="AC997" i="17"/>
  <c r="AD997" i="17"/>
  <c r="C998" i="17"/>
  <c r="D998" i="17"/>
  <c r="E998" i="17"/>
  <c r="F998" i="17"/>
  <c r="G998" i="17"/>
  <c r="H998" i="17"/>
  <c r="I998" i="17"/>
  <c r="J998" i="17"/>
  <c r="K998" i="17"/>
  <c r="L998" i="17"/>
  <c r="M998" i="17"/>
  <c r="N998" i="17"/>
  <c r="O998" i="17"/>
  <c r="P998" i="17"/>
  <c r="Q998" i="17"/>
  <c r="R998" i="17"/>
  <c r="S998" i="17"/>
  <c r="T998" i="17"/>
  <c r="U998" i="17"/>
  <c r="V998" i="17"/>
  <c r="W998" i="17"/>
  <c r="X998" i="17"/>
  <c r="Y998" i="17"/>
  <c r="Z998" i="17"/>
  <c r="AA998" i="17"/>
  <c r="AB998" i="17"/>
  <c r="AC998" i="17"/>
  <c r="AD998" i="17"/>
  <c r="C999" i="17"/>
  <c r="D999" i="17"/>
  <c r="E999" i="17"/>
  <c r="F999" i="17"/>
  <c r="G999" i="17"/>
  <c r="H999" i="17"/>
  <c r="I999" i="17"/>
  <c r="J999" i="17"/>
  <c r="K999" i="17"/>
  <c r="L999" i="17"/>
  <c r="M999" i="17"/>
  <c r="N999" i="17"/>
  <c r="O999" i="17"/>
  <c r="P999" i="17"/>
  <c r="Q999" i="17"/>
  <c r="R999" i="17"/>
  <c r="S999" i="17"/>
  <c r="T999" i="17"/>
  <c r="U999" i="17"/>
  <c r="V999" i="17"/>
  <c r="W999" i="17"/>
  <c r="X999" i="17"/>
  <c r="Y999" i="17"/>
  <c r="Z999" i="17"/>
  <c r="AA999" i="17"/>
  <c r="AB999" i="17"/>
  <c r="AC999" i="17"/>
  <c r="AD999" i="17"/>
  <c r="C1000" i="17"/>
  <c r="D1000" i="17"/>
  <c r="E1000" i="17"/>
  <c r="F1000" i="17"/>
  <c r="G1000" i="17"/>
  <c r="H1000" i="17"/>
  <c r="I1000" i="17"/>
  <c r="J1000" i="17"/>
  <c r="K1000" i="17"/>
  <c r="L1000" i="17"/>
  <c r="M1000" i="17"/>
  <c r="N1000" i="17"/>
  <c r="O1000" i="17"/>
  <c r="P1000" i="17"/>
  <c r="Q1000" i="17"/>
  <c r="R1000" i="17"/>
  <c r="S1000" i="17"/>
  <c r="T1000" i="17"/>
  <c r="U1000" i="17"/>
  <c r="V1000" i="17"/>
  <c r="W1000" i="17"/>
  <c r="X1000" i="17"/>
  <c r="Y1000" i="17"/>
  <c r="Z1000" i="17"/>
  <c r="AA1000" i="17"/>
  <c r="AB1000" i="17"/>
  <c r="AC1000" i="17"/>
  <c r="AD1000" i="17"/>
  <c r="C1001" i="17"/>
  <c r="D1001" i="17"/>
  <c r="E1001" i="17"/>
  <c r="F1001" i="17"/>
  <c r="G1001" i="17"/>
  <c r="H1001" i="17"/>
  <c r="I1001" i="17"/>
  <c r="J1001" i="17"/>
  <c r="K1001" i="17"/>
  <c r="L1001" i="17"/>
  <c r="M1001" i="17"/>
  <c r="N1001" i="17"/>
  <c r="O1001" i="17"/>
  <c r="P1001" i="17"/>
  <c r="Q1001" i="17"/>
  <c r="R1001" i="17"/>
  <c r="S1001" i="17"/>
  <c r="T1001" i="17"/>
  <c r="U1001" i="17"/>
  <c r="V1001" i="17"/>
  <c r="W1001" i="17"/>
  <c r="X1001" i="17"/>
  <c r="Y1001" i="17"/>
  <c r="Z1001" i="17"/>
  <c r="AA1001" i="17"/>
  <c r="AB1001" i="17"/>
  <c r="AC1001" i="17"/>
  <c r="AD1001" i="17"/>
  <c r="B753" i="17" l="1"/>
  <c r="A860" i="17"/>
  <c r="A856" i="17"/>
  <c r="A852" i="17"/>
  <c r="A848" i="17"/>
  <c r="B817" i="17"/>
  <c r="A164" i="17"/>
  <c r="B973" i="17"/>
  <c r="A972" i="17"/>
  <c r="A968" i="17"/>
  <c r="B785" i="17"/>
  <c r="A48" i="17"/>
  <c r="A1000" i="17"/>
  <c r="A509" i="17"/>
  <c r="A477" i="17"/>
  <c r="A445" i="17"/>
  <c r="A413" i="17"/>
  <c r="A357" i="17"/>
  <c r="A324" i="17"/>
  <c r="A292" i="17"/>
  <c r="A288" i="17"/>
  <c r="A260" i="17"/>
  <c r="A240" i="17"/>
  <c r="A196" i="17"/>
  <c r="A176" i="17"/>
  <c r="B997" i="17"/>
  <c r="A984" i="17"/>
  <c r="B962" i="17"/>
  <c r="B877" i="17"/>
  <c r="A160" i="17"/>
  <c r="A128" i="17"/>
  <c r="A100" i="17"/>
  <c r="A56" i="17"/>
  <c r="A24" i="17"/>
  <c r="A16" i="17"/>
  <c r="A4" i="17"/>
  <c r="B985" i="17"/>
  <c r="B977" i="17"/>
  <c r="A625" i="17"/>
  <c r="A593" i="17"/>
  <c r="A465" i="17"/>
  <c r="A433" i="17"/>
  <c r="A304" i="17"/>
  <c r="A256" i="17"/>
  <c r="A224" i="17"/>
  <c r="B173" i="17"/>
  <c r="B989" i="17"/>
  <c r="B604" i="17"/>
  <c r="B603" i="17"/>
  <c r="A971" i="17"/>
  <c r="B965" i="17"/>
  <c r="B959" i="17"/>
  <c r="B845" i="17"/>
  <c r="A120" i="17"/>
  <c r="A104" i="17"/>
  <c r="A80" i="17"/>
  <c r="A64" i="17"/>
  <c r="A36" i="17"/>
  <c r="A20" i="17"/>
  <c r="B992" i="17"/>
  <c r="B781" i="17"/>
  <c r="B717" i="17"/>
  <c r="A715" i="17"/>
  <c r="B657" i="17"/>
  <c r="A613" i="17"/>
  <c r="A581" i="17"/>
  <c r="A549" i="17"/>
  <c r="A517" i="17"/>
  <c r="A485" i="17"/>
  <c r="A453" i="17"/>
  <c r="A421" i="17"/>
  <c r="A419" i="17"/>
  <c r="A389" i="17"/>
  <c r="A373" i="17"/>
  <c r="B993" i="17"/>
  <c r="A711" i="17"/>
  <c r="B816" i="17"/>
  <c r="B813" i="17"/>
  <c r="B809" i="17"/>
  <c r="B805" i="17"/>
  <c r="B804" i="17"/>
  <c r="B801" i="17"/>
  <c r="B797" i="17"/>
  <c r="B793" i="17"/>
  <c r="B792" i="17"/>
  <c r="B789" i="17"/>
  <c r="B788" i="17"/>
  <c r="A132" i="17"/>
  <c r="A88" i="17"/>
  <c r="A996" i="17"/>
  <c r="A992" i="17"/>
  <c r="A988" i="17"/>
  <c r="A980" i="17"/>
  <c r="A978" i="17"/>
  <c r="A977" i="17"/>
  <c r="A976" i="17"/>
  <c r="B721" i="17"/>
  <c r="B689" i="17"/>
  <c r="A637" i="17"/>
  <c r="A617" i="17"/>
  <c r="A605" i="17"/>
  <c r="A585" i="17"/>
  <c r="A573" i="17"/>
  <c r="A553" i="17"/>
  <c r="A541" i="17"/>
  <c r="A521" i="17"/>
  <c r="A501" i="17"/>
  <c r="A489" i="17"/>
  <c r="A469" i="17"/>
  <c r="A460" i="17"/>
  <c r="B460" i="17" s="1"/>
  <c r="A457" i="17"/>
  <c r="A437" i="17"/>
  <c r="A425" i="17"/>
  <c r="A399" i="17"/>
  <c r="A381" i="17"/>
  <c r="B417" i="17"/>
  <c r="A417" i="17"/>
  <c r="B96" i="17"/>
  <c r="A96" i="17"/>
  <c r="A967" i="17"/>
  <c r="B936" i="17"/>
  <c r="B932" i="17"/>
  <c r="B924" i="17"/>
  <c r="A828" i="17"/>
  <c r="A824" i="17"/>
  <c r="A820" i="17"/>
  <c r="B777" i="17"/>
  <c r="B773" i="17"/>
  <c r="B772" i="17"/>
  <c r="B769" i="17"/>
  <c r="B765" i="17"/>
  <c r="B761" i="17"/>
  <c r="B760" i="17"/>
  <c r="B757" i="17"/>
  <c r="B756" i="17"/>
  <c r="B752" i="17"/>
  <c r="B749" i="17"/>
  <c r="B745" i="17"/>
  <c r="B741" i="17"/>
  <c r="B740" i="17"/>
  <c r="B737" i="17"/>
  <c r="B733" i="17"/>
  <c r="B729" i="17"/>
  <c r="B725" i="17"/>
  <c r="B654" i="17"/>
  <c r="A647" i="17"/>
  <c r="B641" i="17"/>
  <c r="A641" i="17"/>
  <c r="B572" i="17"/>
  <c r="A561" i="17"/>
  <c r="A428" i="17"/>
  <c r="A370" i="17"/>
  <c r="B369" i="17"/>
  <c r="B365" i="17"/>
  <c r="A365" i="17"/>
  <c r="A285" i="17"/>
  <c r="A273" i="17"/>
  <c r="A272" i="17"/>
  <c r="B52" i="17"/>
  <c r="A52" i="17"/>
  <c r="A40" i="17"/>
  <c r="B956" i="17"/>
  <c r="B946" i="17"/>
  <c r="B934" i="17"/>
  <c r="B988" i="17"/>
  <c r="B974" i="17"/>
  <c r="A973" i="17"/>
  <c r="B969" i="17"/>
  <c r="B968" i="17"/>
  <c r="B963" i="17"/>
  <c r="A961" i="17"/>
  <c r="A816" i="17"/>
  <c r="A796" i="17"/>
  <c r="A792" i="17"/>
  <c r="A788" i="17"/>
  <c r="B713" i="17"/>
  <c r="B709" i="17"/>
  <c r="B705" i="17"/>
  <c r="B701" i="17"/>
  <c r="B697" i="17"/>
  <c r="B693" i="17"/>
  <c r="A611" i="17"/>
  <c r="B609" i="17"/>
  <c r="A609" i="17"/>
  <c r="B538" i="17"/>
  <c r="A529" i="17"/>
  <c r="A192" i="17"/>
  <c r="A8" i="17"/>
  <c r="A1001" i="17"/>
  <c r="A999" i="17"/>
  <c r="A983" i="17"/>
  <c r="A981" i="17"/>
  <c r="B944" i="17"/>
  <c r="A921" i="17"/>
  <c r="A911" i="17"/>
  <c r="B908" i="17"/>
  <c r="A907" i="17"/>
  <c r="A905" i="17"/>
  <c r="B904" i="17"/>
  <c r="A903" i="17"/>
  <c r="A901" i="17"/>
  <c r="A893" i="17"/>
  <c r="A891" i="17"/>
  <c r="A889" i="17"/>
  <c r="A879" i="17"/>
  <c r="A764" i="17"/>
  <c r="A760" i="17"/>
  <c r="A756" i="17"/>
  <c r="A752" i="17"/>
  <c r="A732" i="17"/>
  <c r="A728" i="17"/>
  <c r="A724" i="17"/>
  <c r="A579" i="17"/>
  <c r="B577" i="17"/>
  <c r="A577" i="17"/>
  <c r="B506" i="17"/>
  <c r="A497" i="17"/>
  <c r="B299" i="17"/>
  <c r="B297" i="17"/>
  <c r="B295" i="17"/>
  <c r="A117" i="17"/>
  <c r="A116" i="17"/>
  <c r="B957" i="17"/>
  <c r="B1001" i="17"/>
  <c r="A997" i="17"/>
  <c r="A990" i="17"/>
  <c r="A965" i="17"/>
  <c r="A949" i="17"/>
  <c r="A945" i="17"/>
  <c r="A937" i="17"/>
  <c r="B1000" i="17"/>
  <c r="B984" i="17"/>
  <c r="A979" i="17"/>
  <c r="A970" i="17"/>
  <c r="A969" i="17"/>
  <c r="B960" i="17"/>
  <c r="B876" i="17"/>
  <c r="A875" i="17"/>
  <c r="A873" i="17"/>
  <c r="B872" i="17"/>
  <c r="A871" i="17"/>
  <c r="A869" i="17"/>
  <c r="A861" i="17"/>
  <c r="A859" i="17"/>
  <c r="A857" i="17"/>
  <c r="A847" i="17"/>
  <c r="A700" i="17"/>
  <c r="A547" i="17"/>
  <c r="B545" i="17"/>
  <c r="A545" i="17"/>
  <c r="B474" i="17"/>
  <c r="A397" i="17"/>
  <c r="A395" i="17"/>
  <c r="B223" i="17"/>
  <c r="B221" i="17"/>
  <c r="B213" i="17"/>
  <c r="B211" i="17"/>
  <c r="B209" i="17"/>
  <c r="A77" i="17"/>
  <c r="A72" i="17"/>
  <c r="A985" i="17"/>
  <c r="B972" i="17"/>
  <c r="A995" i="17"/>
  <c r="A986" i="17"/>
  <c r="B981" i="17"/>
  <c r="B980" i="17"/>
  <c r="A966" i="17"/>
  <c r="B952" i="17"/>
  <c r="B941" i="17"/>
  <c r="B940" i="17"/>
  <c r="B929" i="17"/>
  <c r="B928" i="17"/>
  <c r="B926" i="17"/>
  <c r="B920" i="17"/>
  <c r="B917" i="17"/>
  <c r="B913" i="17"/>
  <c r="B905" i="17"/>
  <c r="B901" i="17"/>
  <c r="B897" i="17"/>
  <c r="B893" i="17"/>
  <c r="B889" i="17"/>
  <c r="B885" i="17"/>
  <c r="B881" i="17"/>
  <c r="A843" i="17"/>
  <c r="A841" i="17"/>
  <c r="A839" i="17"/>
  <c r="A837" i="17"/>
  <c r="A829" i="17"/>
  <c r="A827" i="17"/>
  <c r="A825" i="17"/>
  <c r="A628" i="17"/>
  <c r="B627" i="17"/>
  <c r="A626" i="17"/>
  <c r="B556" i="17"/>
  <c r="A515" i="17"/>
  <c r="B513" i="17"/>
  <c r="A513" i="17"/>
  <c r="B442" i="17"/>
  <c r="A320" i="17"/>
  <c r="A32" i="17"/>
  <c r="A994" i="17"/>
  <c r="A987" i="17"/>
  <c r="A993" i="17"/>
  <c r="B958" i="17"/>
  <c r="B948" i="17"/>
  <c r="B930" i="17"/>
  <c r="B925" i="17"/>
  <c r="B921" i="17"/>
  <c r="B909" i="17"/>
  <c r="B996" i="17"/>
  <c r="A975" i="17"/>
  <c r="A959" i="17"/>
  <c r="B873" i="17"/>
  <c r="B869" i="17"/>
  <c r="B865" i="17"/>
  <c r="B861" i="17"/>
  <c r="B857" i="17"/>
  <c r="B856" i="17"/>
  <c r="B853" i="17"/>
  <c r="B852" i="17"/>
  <c r="B849" i="17"/>
  <c r="B848" i="17"/>
  <c r="A815" i="17"/>
  <c r="A811" i="17"/>
  <c r="A809" i="17"/>
  <c r="A807" i="17"/>
  <c r="A805" i="17"/>
  <c r="A797" i="17"/>
  <c r="A795" i="17"/>
  <c r="A793" i="17"/>
  <c r="A596" i="17"/>
  <c r="A594" i="17"/>
  <c r="A524" i="17"/>
  <c r="A522" i="17"/>
  <c r="A483" i="17"/>
  <c r="B481" i="17"/>
  <c r="A481" i="17"/>
  <c r="A402" i="17"/>
  <c r="A228" i="17"/>
  <c r="A208" i="17"/>
  <c r="B85" i="17"/>
  <c r="B998" i="17"/>
  <c r="A991" i="17"/>
  <c r="A989" i="17"/>
  <c r="B982" i="17"/>
  <c r="B976" i="17"/>
  <c r="A954" i="17"/>
  <c r="B953" i="17"/>
  <c r="B950" i="17"/>
  <c r="A944" i="17"/>
  <c r="A942" i="17"/>
  <c r="A932" i="17"/>
  <c r="A920" i="17"/>
  <c r="A916" i="17"/>
  <c r="A912" i="17"/>
  <c r="A892" i="17"/>
  <c r="A888" i="17"/>
  <c r="A884" i="17"/>
  <c r="A880" i="17"/>
  <c r="B841" i="17"/>
  <c r="B837" i="17"/>
  <c r="B836" i="17"/>
  <c r="B833" i="17"/>
  <c r="B829" i="17"/>
  <c r="B825" i="17"/>
  <c r="B824" i="17"/>
  <c r="B821" i="17"/>
  <c r="B820" i="17"/>
  <c r="A779" i="17"/>
  <c r="A777" i="17"/>
  <c r="A775" i="17"/>
  <c r="A773" i="17"/>
  <c r="A765" i="17"/>
  <c r="A763" i="17"/>
  <c r="A761" i="17"/>
  <c r="A747" i="17"/>
  <c r="A745" i="17"/>
  <c r="A743" i="17"/>
  <c r="A741" i="17"/>
  <c r="A733" i="17"/>
  <c r="A731" i="17"/>
  <c r="B636" i="17"/>
  <c r="A635" i="17"/>
  <c r="A564" i="17"/>
  <c r="A562" i="17"/>
  <c r="A492" i="17"/>
  <c r="A490" i="17"/>
  <c r="A451" i="17"/>
  <c r="B449" i="17"/>
  <c r="A449" i="17"/>
  <c r="B354" i="17"/>
  <c r="B350" i="17"/>
  <c r="B257" i="17"/>
  <c r="A144" i="17"/>
  <c r="B45" i="17"/>
  <c r="B41" i="17"/>
  <c r="A720" i="17"/>
  <c r="B685" i="17"/>
  <c r="B681" i="17"/>
  <c r="B677" i="17"/>
  <c r="B673" i="17"/>
  <c r="B669" i="17"/>
  <c r="B665" i="17"/>
  <c r="B661" i="17"/>
  <c r="B637" i="17"/>
  <c r="B632" i="17"/>
  <c r="A631" i="17"/>
  <c r="A624" i="17"/>
  <c r="B623" i="17"/>
  <c r="A622" i="17"/>
  <c r="A607" i="17"/>
  <c r="B605" i="17"/>
  <c r="B600" i="17"/>
  <c r="B599" i="17"/>
  <c r="A592" i="17"/>
  <c r="A590" i="17"/>
  <c r="A575" i="17"/>
  <c r="B573" i="17"/>
  <c r="B568" i="17"/>
  <c r="A560" i="17"/>
  <c r="A558" i="17"/>
  <c r="A543" i="17"/>
  <c r="B541" i="17"/>
  <c r="B534" i="17"/>
  <c r="A520" i="17"/>
  <c r="A518" i="17"/>
  <c r="A511" i="17"/>
  <c r="B509" i="17"/>
  <c r="B502" i="17"/>
  <c r="A488" i="17"/>
  <c r="A486" i="17"/>
  <c r="A479" i="17"/>
  <c r="B477" i="17"/>
  <c r="B470" i="17"/>
  <c r="A456" i="17"/>
  <c r="A447" i="17"/>
  <c r="B445" i="17"/>
  <c r="A438" i="17"/>
  <c r="A424" i="17"/>
  <c r="A415" i="17"/>
  <c r="B413" i="17"/>
  <c r="A393" i="17"/>
  <c r="A392" i="17"/>
  <c r="A362" i="17"/>
  <c r="B346" i="17"/>
  <c r="A342" i="17"/>
  <c r="A269" i="17"/>
  <c r="B203" i="17"/>
  <c r="B201" i="17"/>
  <c r="B199" i="17"/>
  <c r="A189" i="17"/>
  <c r="A177" i="17"/>
  <c r="B161" i="17"/>
  <c r="B127" i="17"/>
  <c r="B125" i="17"/>
  <c r="B121" i="17"/>
  <c r="B81" i="17"/>
  <c r="A69" i="17"/>
  <c r="B48" i="17"/>
  <c r="B37" i="17"/>
  <c r="A31" i="17"/>
  <c r="A29" i="17"/>
  <c r="A696" i="17"/>
  <c r="A692" i="17"/>
  <c r="B633" i="17"/>
  <c r="B628" i="17"/>
  <c r="A627" i="17"/>
  <c r="A620" i="17"/>
  <c r="B619" i="17"/>
  <c r="A618" i="17"/>
  <c r="A603" i="17"/>
  <c r="B601" i="17"/>
  <c r="B596" i="17"/>
  <c r="B595" i="17"/>
  <c r="A588" i="17"/>
  <c r="A586" i="17"/>
  <c r="A571" i="17"/>
  <c r="B569" i="17"/>
  <c r="B562" i="17"/>
  <c r="A556" i="17"/>
  <c r="A554" i="17"/>
  <c r="A539" i="17"/>
  <c r="B537" i="17"/>
  <c r="B530" i="17"/>
  <c r="A516" i="17"/>
  <c r="A514" i="17"/>
  <c r="A507" i="17"/>
  <c r="B505" i="17"/>
  <c r="B498" i="17"/>
  <c r="A484" i="17"/>
  <c r="A482" i="17"/>
  <c r="A475" i="17"/>
  <c r="B473" i="17"/>
  <c r="B466" i="17"/>
  <c r="A452" i="17"/>
  <c r="A443" i="17"/>
  <c r="B441" i="17"/>
  <c r="A434" i="17"/>
  <c r="A420" i="17"/>
  <c r="B401" i="17"/>
  <c r="A388" i="17"/>
  <c r="A385" i="17"/>
  <c r="A354" i="17"/>
  <c r="B353" i="17"/>
  <c r="B349" i="17"/>
  <c r="B321" i="17"/>
  <c r="B287" i="17"/>
  <c r="B285" i="17"/>
  <c r="B277" i="17"/>
  <c r="B275" i="17"/>
  <c r="B273" i="17"/>
  <c r="B237" i="17"/>
  <c r="A173" i="17"/>
  <c r="B117" i="17"/>
  <c r="A109" i="17"/>
  <c r="B84" i="17"/>
  <c r="B77" i="17"/>
  <c r="B73" i="17"/>
  <c r="B33" i="17"/>
  <c r="A23" i="17"/>
  <c r="A21" i="17"/>
  <c r="A783" i="17"/>
  <c r="A688" i="17"/>
  <c r="A668" i="17"/>
  <c r="A664" i="17"/>
  <c r="A660" i="17"/>
  <c r="B629" i="17"/>
  <c r="B624" i="17"/>
  <c r="A616" i="17"/>
  <c r="A614" i="17"/>
  <c r="A599" i="17"/>
  <c r="B597" i="17"/>
  <c r="B592" i="17"/>
  <c r="B591" i="17"/>
  <c r="A584" i="17"/>
  <c r="A582" i="17"/>
  <c r="B574" i="17"/>
  <c r="A567" i="17"/>
  <c r="B565" i="17"/>
  <c r="B558" i="17"/>
  <c r="A552" i="17"/>
  <c r="A550" i="17"/>
  <c r="B544" i="17"/>
  <c r="A535" i="17"/>
  <c r="B533" i="17"/>
  <c r="B526" i="17"/>
  <c r="A512" i="17"/>
  <c r="A510" i="17"/>
  <c r="A503" i="17"/>
  <c r="B501" i="17"/>
  <c r="B494" i="17"/>
  <c r="A480" i="17"/>
  <c r="A478" i="17"/>
  <c r="A471" i="17"/>
  <c r="B469" i="17"/>
  <c r="A462" i="17"/>
  <c r="A448" i="17"/>
  <c r="A446" i="17"/>
  <c r="A439" i="17"/>
  <c r="B437" i="17"/>
  <c r="A430" i="17"/>
  <c r="A416" i="17"/>
  <c r="A380" i="17"/>
  <c r="A377" i="17"/>
  <c r="B267" i="17"/>
  <c r="B265" i="17"/>
  <c r="B263" i="17"/>
  <c r="A253" i="17"/>
  <c r="A241" i="17"/>
  <c r="B225" i="17"/>
  <c r="B191" i="17"/>
  <c r="B189" i="17"/>
  <c r="B181" i="17"/>
  <c r="B179" i="17"/>
  <c r="B177" i="17"/>
  <c r="B141" i="17"/>
  <c r="B113" i="17"/>
  <c r="A101" i="17"/>
  <c r="B80" i="17"/>
  <c r="B69" i="17"/>
  <c r="A61" i="17"/>
  <c r="B36" i="17"/>
  <c r="B29" i="17"/>
  <c r="B25" i="17"/>
  <c r="A729" i="17"/>
  <c r="A705" i="17"/>
  <c r="A701" i="17"/>
  <c r="A697" i="17"/>
  <c r="A693" i="17"/>
  <c r="A656" i="17"/>
  <c r="B651" i="17"/>
  <c r="A642" i="17"/>
  <c r="A633" i="17"/>
  <c r="B625" i="17"/>
  <c r="B620" i="17"/>
  <c r="A612" i="17"/>
  <c r="A610" i="17"/>
  <c r="A601" i="17"/>
  <c r="A595" i="17"/>
  <c r="B593" i="17"/>
  <c r="B588" i="17"/>
  <c r="B587" i="17"/>
  <c r="A580" i="17"/>
  <c r="A578" i="17"/>
  <c r="B570" i="17"/>
  <c r="A569" i="17"/>
  <c r="A563" i="17"/>
  <c r="B561" i="17"/>
  <c r="B554" i="17"/>
  <c r="A548" i="17"/>
  <c r="A546" i="17"/>
  <c r="B540" i="17"/>
  <c r="A537" i="17"/>
  <c r="A531" i="17"/>
  <c r="B529" i="17"/>
  <c r="B522" i="17"/>
  <c r="A508" i="17"/>
  <c r="A506" i="17"/>
  <c r="A505" i="17"/>
  <c r="A499" i="17"/>
  <c r="B497" i="17"/>
  <c r="B490" i="17"/>
  <c r="A476" i="17"/>
  <c r="A474" i="17"/>
  <c r="A473" i="17"/>
  <c r="A467" i="17"/>
  <c r="B465" i="17"/>
  <c r="A458" i="17"/>
  <c r="A444" i="17"/>
  <c r="A442" i="17"/>
  <c r="A441" i="17"/>
  <c r="A435" i="17"/>
  <c r="B433" i="17"/>
  <c r="A426" i="17"/>
  <c r="B412" i="17"/>
  <c r="A406" i="17"/>
  <c r="A403" i="17"/>
  <c r="A401" i="17"/>
  <c r="B397" i="17"/>
  <c r="B386" i="17"/>
  <c r="B382" i="17"/>
  <c r="A372" i="17"/>
  <c r="A369" i="17"/>
  <c r="A349" i="17"/>
  <c r="B301" i="17"/>
  <c r="A237" i="17"/>
  <c r="B171" i="17"/>
  <c r="B169" i="17"/>
  <c r="B167" i="17"/>
  <c r="A157" i="17"/>
  <c r="A145" i="17"/>
  <c r="B129" i="17"/>
  <c r="B116" i="17"/>
  <c r="B109" i="17"/>
  <c r="B105" i="17"/>
  <c r="A84" i="17"/>
  <c r="B65" i="17"/>
  <c r="A53" i="17"/>
  <c r="B32" i="17"/>
  <c r="B21" i="17"/>
  <c r="A15" i="17"/>
  <c r="A13" i="17"/>
  <c r="B784" i="17"/>
  <c r="A673" i="17"/>
  <c r="A669" i="17"/>
  <c r="A665" i="17"/>
  <c r="A661" i="17"/>
  <c r="A640" i="17"/>
  <c r="A638" i="17"/>
  <c r="A629" i="17"/>
  <c r="A623" i="17"/>
  <c r="B621" i="17"/>
  <c r="B616" i="17"/>
  <c r="B615" i="17"/>
  <c r="A608" i="17"/>
  <c r="A606" i="17"/>
  <c r="A597" i="17"/>
  <c r="A591" i="17"/>
  <c r="B589" i="17"/>
  <c r="B584" i="17"/>
  <c r="B583" i="17"/>
  <c r="A576" i="17"/>
  <c r="A574" i="17"/>
  <c r="B566" i="17"/>
  <c r="A565" i="17"/>
  <c r="A559" i="17"/>
  <c r="B557" i="17"/>
  <c r="B550" i="17"/>
  <c r="A544" i="17"/>
  <c r="A542" i="17"/>
  <c r="B536" i="17"/>
  <c r="A534" i="17"/>
  <c r="A533" i="17"/>
  <c r="A527" i="17"/>
  <c r="B525" i="17"/>
  <c r="B518" i="17"/>
  <c r="A504" i="17"/>
  <c r="A502" i="17"/>
  <c r="A495" i="17"/>
  <c r="B493" i="17"/>
  <c r="B486" i="17"/>
  <c r="A472" i="17"/>
  <c r="A470" i="17"/>
  <c r="A463" i="17"/>
  <c r="B463" i="17" s="1"/>
  <c r="A454" i="17"/>
  <c r="A440" i="17"/>
  <c r="A431" i="17"/>
  <c r="B429" i="17"/>
  <c r="A422" i="17"/>
  <c r="B378" i="17"/>
  <c r="B374" i="17"/>
  <c r="A364" i="17"/>
  <c r="A361" i="17"/>
  <c r="B339" i="17"/>
  <c r="B331" i="17"/>
  <c r="B329" i="17"/>
  <c r="B327" i="17"/>
  <c r="A317" i="17"/>
  <c r="A305" i="17"/>
  <c r="B289" i="17"/>
  <c r="B255" i="17"/>
  <c r="B253" i="17"/>
  <c r="B245" i="17"/>
  <c r="B243" i="17"/>
  <c r="B241" i="17"/>
  <c r="B205" i="17"/>
  <c r="A141" i="17"/>
  <c r="B112" i="17"/>
  <c r="B101" i="17"/>
  <c r="A93" i="17"/>
  <c r="B68" i="17"/>
  <c r="B61" i="17"/>
  <c r="B57" i="17"/>
  <c r="B17" i="17"/>
  <c r="A7" i="17"/>
  <c r="A5" i="17"/>
  <c r="A699" i="17"/>
  <c r="B648" i="17"/>
  <c r="B647" i="17"/>
  <c r="A643" i="17"/>
  <c r="A636" i="17"/>
  <c r="A634" i="17"/>
  <c r="A619" i="17"/>
  <c r="B617" i="17"/>
  <c r="B612" i="17"/>
  <c r="B611" i="17"/>
  <c r="A604" i="17"/>
  <c r="A602" i="17"/>
  <c r="A587" i="17"/>
  <c r="B585" i="17"/>
  <c r="B580" i="17"/>
  <c r="A572" i="17"/>
  <c r="A570" i="17"/>
  <c r="B564" i="17"/>
  <c r="A555" i="17"/>
  <c r="B553" i="17"/>
  <c r="B546" i="17"/>
  <c r="A540" i="17"/>
  <c r="A538" i="17"/>
  <c r="A532" i="17"/>
  <c r="A530" i="17"/>
  <c r="A523" i="17"/>
  <c r="B521" i="17"/>
  <c r="B514" i="17"/>
  <c r="A500" i="17"/>
  <c r="A498" i="17"/>
  <c r="A491" i="17"/>
  <c r="B489" i="17"/>
  <c r="B482" i="17"/>
  <c r="A468" i="17"/>
  <c r="A466" i="17"/>
  <c r="A459" i="17"/>
  <c r="B457" i="17"/>
  <c r="A450" i="17"/>
  <c r="A436" i="17"/>
  <c r="A427" i="17"/>
  <c r="B425" i="17"/>
  <c r="A418" i="17"/>
  <c r="A386" i="17"/>
  <c r="B385" i="17"/>
  <c r="B381" i="17"/>
  <c r="B370" i="17"/>
  <c r="B366" i="17"/>
  <c r="A356" i="17"/>
  <c r="A353" i="17"/>
  <c r="A301" i="17"/>
  <c r="B235" i="17"/>
  <c r="B233" i="17"/>
  <c r="B231" i="17"/>
  <c r="A221" i="17"/>
  <c r="A209" i="17"/>
  <c r="B193" i="17"/>
  <c r="B159" i="17"/>
  <c r="B157" i="17"/>
  <c r="B149" i="17"/>
  <c r="B147" i="17"/>
  <c r="B145" i="17"/>
  <c r="B97" i="17"/>
  <c r="A85" i="17"/>
  <c r="B64" i="17"/>
  <c r="B53" i="17"/>
  <c r="A45" i="17"/>
  <c r="B20" i="17"/>
  <c r="B13" i="17"/>
  <c r="B9" i="17"/>
  <c r="A784" i="17"/>
  <c r="A683" i="17"/>
  <c r="A679" i="17"/>
  <c r="A667" i="17"/>
  <c r="B640" i="17"/>
  <c r="A639" i="17"/>
  <c r="A632" i="17"/>
  <c r="B631" i="17"/>
  <c r="A630" i="17"/>
  <c r="A621" i="17"/>
  <c r="A615" i="17"/>
  <c r="B613" i="17"/>
  <c r="B608" i="17"/>
  <c r="B607" i="17"/>
  <c r="A600" i="17"/>
  <c r="A598" i="17"/>
  <c r="A589" i="17"/>
  <c r="A583" i="17"/>
  <c r="B581" i="17"/>
  <c r="B576" i="17"/>
  <c r="A568" i="17"/>
  <c r="A566" i="17"/>
  <c r="B560" i="17"/>
  <c r="A557" i="17"/>
  <c r="A551" i="17"/>
  <c r="B549" i="17"/>
  <c r="B542" i="17"/>
  <c r="A536" i="17"/>
  <c r="A528" i="17"/>
  <c r="A526" i="17"/>
  <c r="A525" i="17"/>
  <c r="A519" i="17"/>
  <c r="B517" i="17"/>
  <c r="B510" i="17"/>
  <c r="A496" i="17"/>
  <c r="A494" i="17"/>
  <c r="A493" i="17"/>
  <c r="A487" i="17"/>
  <c r="B485" i="17"/>
  <c r="B478" i="17"/>
  <c r="A464" i="17"/>
  <c r="A461" i="17"/>
  <c r="B461" i="17" s="1"/>
  <c r="A455" i="17"/>
  <c r="B453" i="17"/>
  <c r="B446" i="17"/>
  <c r="A432" i="17"/>
  <c r="A429" i="17"/>
  <c r="A423" i="17"/>
  <c r="B421" i="17"/>
  <c r="A414" i="17"/>
  <c r="A378" i="17"/>
  <c r="B362" i="17"/>
  <c r="B358" i="17"/>
  <c r="A348" i="17"/>
  <c r="A345" i="17"/>
  <c r="B319" i="17"/>
  <c r="B317" i="17"/>
  <c r="B309" i="17"/>
  <c r="B307" i="17"/>
  <c r="B305" i="17"/>
  <c r="B269" i="17"/>
  <c r="A205" i="17"/>
  <c r="B139" i="17"/>
  <c r="B137" i="17"/>
  <c r="B135" i="17"/>
  <c r="A125" i="17"/>
  <c r="A112" i="17"/>
  <c r="B100" i="17"/>
  <c r="B93" i="17"/>
  <c r="B89" i="17"/>
  <c r="A68" i="17"/>
  <c r="B49" i="17"/>
  <c r="A39" i="17"/>
  <c r="A37" i="17"/>
  <c r="B5" i="17"/>
  <c r="A858" i="17"/>
  <c r="B858" i="17"/>
  <c r="A762" i="17"/>
  <c r="B762" i="17"/>
  <c r="A730" i="17"/>
  <c r="B730" i="17"/>
  <c r="A371" i="17"/>
  <c r="B371" i="17"/>
  <c r="A822" i="17"/>
  <c r="B822" i="17"/>
  <c r="A960" i="17"/>
  <c r="A957" i="17"/>
  <c r="B954" i="17"/>
  <c r="A952" i="17"/>
  <c r="B949" i="17"/>
  <c r="A947" i="17"/>
  <c r="B947" i="17"/>
  <c r="A930" i="17"/>
  <c r="A925" i="17"/>
  <c r="A914" i="17"/>
  <c r="B914" i="17"/>
  <c r="B900" i="17"/>
  <c r="A899" i="17"/>
  <c r="A897" i="17"/>
  <c r="A882" i="17"/>
  <c r="B882" i="17"/>
  <c r="B868" i="17"/>
  <c r="A867" i="17"/>
  <c r="A865" i="17"/>
  <c r="A850" i="17"/>
  <c r="B850" i="17"/>
  <c r="B844" i="17"/>
  <c r="A835" i="17"/>
  <c r="A833" i="17"/>
  <c r="A818" i="17"/>
  <c r="B818" i="17"/>
  <c r="B812" i="17"/>
  <c r="A803" i="17"/>
  <c r="A801" i="17"/>
  <c r="A786" i="17"/>
  <c r="B786" i="17"/>
  <c r="B780" i="17"/>
  <c r="A771" i="17"/>
  <c r="A769" i="17"/>
  <c r="A754" i="17"/>
  <c r="B754" i="17"/>
  <c r="B748" i="17"/>
  <c r="A739" i="17"/>
  <c r="A737" i="17"/>
  <c r="A722" i="17"/>
  <c r="B722" i="17"/>
  <c r="A707" i="17"/>
  <c r="A690" i="17"/>
  <c r="B690" i="17"/>
  <c r="A675" i="17"/>
  <c r="A658" i="17"/>
  <c r="B658" i="17"/>
  <c r="A890" i="17"/>
  <c r="B890" i="17"/>
  <c r="A918" i="17"/>
  <c r="B918" i="17"/>
  <c r="B978" i="17"/>
  <c r="B942" i="17"/>
  <c r="A940" i="17"/>
  <c r="B937" i="17"/>
  <c r="A935" i="17"/>
  <c r="B935" i="17"/>
  <c r="A910" i="17"/>
  <c r="B910" i="17"/>
  <c r="B896" i="17"/>
  <c r="A895" i="17"/>
  <c r="A878" i="17"/>
  <c r="B878" i="17"/>
  <c r="A863" i="17"/>
  <c r="A846" i="17"/>
  <c r="B846" i="17"/>
  <c r="B840" i="17"/>
  <c r="A831" i="17"/>
  <c r="A814" i="17"/>
  <c r="B814" i="17"/>
  <c r="B808" i="17"/>
  <c r="A799" i="17"/>
  <c r="A782" i="17"/>
  <c r="B782" i="17"/>
  <c r="B776" i="17"/>
  <c r="A767" i="17"/>
  <c r="A750" i="17"/>
  <c r="B750" i="17"/>
  <c r="B744" i="17"/>
  <c r="A735" i="17"/>
  <c r="A718" i="17"/>
  <c r="B718" i="17"/>
  <c r="A703" i="17"/>
  <c r="A686" i="17"/>
  <c r="B686" i="17"/>
  <c r="A671" i="17"/>
  <c r="A698" i="17"/>
  <c r="B698" i="17"/>
  <c r="B994" i="17"/>
  <c r="B970" i="17"/>
  <c r="A998" i="17"/>
  <c r="A982" i="17"/>
  <c r="A974" i="17"/>
  <c r="A964" i="17"/>
  <c r="A963" i="17"/>
  <c r="A955" i="17"/>
  <c r="B955" i="17"/>
  <c r="A938" i="17"/>
  <c r="A933" i="17"/>
  <c r="A928" i="17"/>
  <c r="A923" i="17"/>
  <c r="A908" i="17"/>
  <c r="A906" i="17"/>
  <c r="B906" i="17"/>
  <c r="B892" i="17"/>
  <c r="A876" i="17"/>
  <c r="A874" i="17"/>
  <c r="B874" i="17"/>
  <c r="A844" i="17"/>
  <c r="A842" i="17"/>
  <c r="B842" i="17"/>
  <c r="A812" i="17"/>
  <c r="A810" i="17"/>
  <c r="B810" i="17"/>
  <c r="A780" i="17"/>
  <c r="A778" i="17"/>
  <c r="B778" i="17"/>
  <c r="A748" i="17"/>
  <c r="A746" i="17"/>
  <c r="B746" i="17"/>
  <c r="A716" i="17"/>
  <c r="A714" i="17"/>
  <c r="B714" i="17"/>
  <c r="A689" i="17"/>
  <c r="A684" i="17"/>
  <c r="A682" i="17"/>
  <c r="B682" i="17"/>
  <c r="A657" i="17"/>
  <c r="A646" i="17"/>
  <c r="B646" i="17"/>
  <c r="A939" i="17"/>
  <c r="B939" i="17"/>
  <c r="A758" i="17"/>
  <c r="B758" i="17"/>
  <c r="B990" i="17"/>
  <c r="B986" i="17"/>
  <c r="B999" i="17"/>
  <c r="B995" i="17"/>
  <c r="B991" i="17"/>
  <c r="B987" i="17"/>
  <c r="B983" i="17"/>
  <c r="B979" i="17"/>
  <c r="B975" i="17"/>
  <c r="B971" i="17"/>
  <c r="B967" i="17"/>
  <c r="A958" i="17"/>
  <c r="A953" i="17"/>
  <c r="A948" i="17"/>
  <c r="B945" i="17"/>
  <c r="A943" i="17"/>
  <c r="B943" i="17"/>
  <c r="A926" i="17"/>
  <c r="A919" i="17"/>
  <c r="A917" i="17"/>
  <c r="A904" i="17"/>
  <c r="A902" i="17"/>
  <c r="B902" i="17"/>
  <c r="B888" i="17"/>
  <c r="A887" i="17"/>
  <c r="A885" i="17"/>
  <c r="A872" i="17"/>
  <c r="A870" i="17"/>
  <c r="B870" i="17"/>
  <c r="B864" i="17"/>
  <c r="A855" i="17"/>
  <c r="A853" i="17"/>
  <c r="A840" i="17"/>
  <c r="A838" i="17"/>
  <c r="B838" i="17"/>
  <c r="B832" i="17"/>
  <c r="A823" i="17"/>
  <c r="A821" i="17"/>
  <c r="A808" i="17"/>
  <c r="A806" i="17"/>
  <c r="B806" i="17"/>
  <c r="B800" i="17"/>
  <c r="A791" i="17"/>
  <c r="A789" i="17"/>
  <c r="A776" i="17"/>
  <c r="A774" i="17"/>
  <c r="B774" i="17"/>
  <c r="B768" i="17"/>
  <c r="A759" i="17"/>
  <c r="A757" i="17"/>
  <c r="A744" i="17"/>
  <c r="A742" i="17"/>
  <c r="B742" i="17"/>
  <c r="B736" i="17"/>
  <c r="A727" i="17"/>
  <c r="A725" i="17"/>
  <c r="A712" i="17"/>
  <c r="A710" i="17"/>
  <c r="B710" i="17"/>
  <c r="A695" i="17"/>
  <c r="A685" i="17"/>
  <c r="A680" i="17"/>
  <c r="A678" i="17"/>
  <c r="B678" i="17"/>
  <c r="A663" i="17"/>
  <c r="A666" i="17"/>
  <c r="B666" i="17"/>
  <c r="A927" i="17"/>
  <c r="B927" i="17"/>
  <c r="A886" i="17"/>
  <c r="B886" i="17"/>
  <c r="A854" i="17"/>
  <c r="B854" i="17"/>
  <c r="A790" i="17"/>
  <c r="B790" i="17"/>
  <c r="A662" i="17"/>
  <c r="B662" i="17"/>
  <c r="A950" i="17"/>
  <c r="B964" i="17"/>
  <c r="B961" i="17"/>
  <c r="A946" i="17"/>
  <c r="A941" i="17"/>
  <c r="B938" i="17"/>
  <c r="A936" i="17"/>
  <c r="B933" i="17"/>
  <c r="A931" i="17"/>
  <c r="B931" i="17"/>
  <c r="B916" i="17"/>
  <c r="A915" i="17"/>
  <c r="A913" i="17"/>
  <c r="A900" i="17"/>
  <c r="A898" i="17"/>
  <c r="B898" i="17"/>
  <c r="B884" i="17"/>
  <c r="A883" i="17"/>
  <c r="A881" i="17"/>
  <c r="A868" i="17"/>
  <c r="A866" i="17"/>
  <c r="B866" i="17"/>
  <c r="B860" i="17"/>
  <c r="A851" i="17"/>
  <c r="A849" i="17"/>
  <c r="A836" i="17"/>
  <c r="A834" i="17"/>
  <c r="B834" i="17"/>
  <c r="B828" i="17"/>
  <c r="A819" i="17"/>
  <c r="A817" i="17"/>
  <c r="A804" i="17"/>
  <c r="A802" i="17"/>
  <c r="B802" i="17"/>
  <c r="B796" i="17"/>
  <c r="A787" i="17"/>
  <c r="A785" i="17"/>
  <c r="A772" i="17"/>
  <c r="A770" i="17"/>
  <c r="B770" i="17"/>
  <c r="B764" i="17"/>
  <c r="A755" i="17"/>
  <c r="A753" i="17"/>
  <c r="A740" i="17"/>
  <c r="A738" i="17"/>
  <c r="B738" i="17"/>
  <c r="A723" i="17"/>
  <c r="A721" i="17"/>
  <c r="A713" i="17"/>
  <c r="A708" i="17"/>
  <c r="A706" i="17"/>
  <c r="B706" i="17"/>
  <c r="A691" i="17"/>
  <c r="A681" i="17"/>
  <c r="A676" i="17"/>
  <c r="A674" i="17"/>
  <c r="B674" i="17"/>
  <c r="A659" i="17"/>
  <c r="A922" i="17"/>
  <c r="B922" i="17"/>
  <c r="A826" i="17"/>
  <c r="B826" i="17"/>
  <c r="A794" i="17"/>
  <c r="B794" i="17"/>
  <c r="A726" i="17"/>
  <c r="B726" i="17"/>
  <c r="A694" i="17"/>
  <c r="B694" i="17"/>
  <c r="B966" i="17"/>
  <c r="A962" i="17"/>
  <c r="A956" i="17"/>
  <c r="A951" i="17"/>
  <c r="B951" i="17"/>
  <c r="A934" i="17"/>
  <c r="A929" i="17"/>
  <c r="A924" i="17"/>
  <c r="B912" i="17"/>
  <c r="A909" i="17"/>
  <c r="A896" i="17"/>
  <c r="A894" i="17"/>
  <c r="B894" i="17"/>
  <c r="B880" i="17"/>
  <c r="A877" i="17"/>
  <c r="A864" i="17"/>
  <c r="A862" i="17"/>
  <c r="B862" i="17"/>
  <c r="A845" i="17"/>
  <c r="A832" i="17"/>
  <c r="A830" i="17"/>
  <c r="B830" i="17"/>
  <c r="A813" i="17"/>
  <c r="A800" i="17"/>
  <c r="A798" i="17"/>
  <c r="B798" i="17"/>
  <c r="A781" i="17"/>
  <c r="A768" i="17"/>
  <c r="A766" i="17"/>
  <c r="B766" i="17"/>
  <c r="A751" i="17"/>
  <c r="A749" i="17"/>
  <c r="A736" i="17"/>
  <c r="A734" i="17"/>
  <c r="B734" i="17"/>
  <c r="A719" i="17"/>
  <c r="A717" i="17"/>
  <c r="A709" i="17"/>
  <c r="A704" i="17"/>
  <c r="A702" i="17"/>
  <c r="B702" i="17"/>
  <c r="A687" i="17"/>
  <c r="A677" i="17"/>
  <c r="A672" i="17"/>
  <c r="A670" i="17"/>
  <c r="B670" i="17"/>
  <c r="A653" i="17"/>
  <c r="A649" i="17"/>
  <c r="B649" i="17"/>
  <c r="A644" i="17"/>
  <c r="B406" i="17"/>
  <c r="A28" i="17"/>
  <c r="A655" i="17"/>
  <c r="A652" i="17"/>
  <c r="A407" i="17"/>
  <c r="B407" i="17"/>
  <c r="A322" i="17"/>
  <c r="B322" i="17"/>
  <c r="B248" i="17"/>
  <c r="A248" i="17"/>
  <c r="A60" i="17"/>
  <c r="B644" i="17"/>
  <c r="A355" i="17"/>
  <c r="B355" i="17"/>
  <c r="A174" i="17"/>
  <c r="B174" i="17"/>
  <c r="B172" i="17"/>
  <c r="A172" i="17"/>
  <c r="A92" i="17"/>
  <c r="B923" i="17"/>
  <c r="B919" i="17"/>
  <c r="B915" i="17"/>
  <c r="B911" i="17"/>
  <c r="B907" i="17"/>
  <c r="B903" i="17"/>
  <c r="B899" i="17"/>
  <c r="B895" i="17"/>
  <c r="B891" i="17"/>
  <c r="B887" i="17"/>
  <c r="B883" i="17"/>
  <c r="B879" i="17"/>
  <c r="B875" i="17"/>
  <c r="B871" i="17"/>
  <c r="B867" i="17"/>
  <c r="B863" i="17"/>
  <c r="B859" i="17"/>
  <c r="B855" i="17"/>
  <c r="B851" i="17"/>
  <c r="B847" i="17"/>
  <c r="B843" i="17"/>
  <c r="B839" i="17"/>
  <c r="B835" i="17"/>
  <c r="B831" i="17"/>
  <c r="B827" i="17"/>
  <c r="B823" i="17"/>
  <c r="B819" i="17"/>
  <c r="B815" i="17"/>
  <c r="B811" i="17"/>
  <c r="B807" i="17"/>
  <c r="B803" i="17"/>
  <c r="B799" i="17"/>
  <c r="B795" i="17"/>
  <c r="B791" i="17"/>
  <c r="B787" i="17"/>
  <c r="B783" i="17"/>
  <c r="B779" i="17"/>
  <c r="B775" i="17"/>
  <c r="B771" i="17"/>
  <c r="B767" i="17"/>
  <c r="B763" i="17"/>
  <c r="B759" i="17"/>
  <c r="B755" i="17"/>
  <c r="B751" i="17"/>
  <c r="B747" i="17"/>
  <c r="B743" i="17"/>
  <c r="B739" i="17"/>
  <c r="B735" i="17"/>
  <c r="B731" i="17"/>
  <c r="B727" i="17"/>
  <c r="B723" i="17"/>
  <c r="B719" i="17"/>
  <c r="B715" i="17"/>
  <c r="B711" i="17"/>
  <c r="B707" i="17"/>
  <c r="B703" i="17"/>
  <c r="B699" i="17"/>
  <c r="B695" i="17"/>
  <c r="B691" i="17"/>
  <c r="B687" i="17"/>
  <c r="B683" i="17"/>
  <c r="B679" i="17"/>
  <c r="B675" i="17"/>
  <c r="B671" i="17"/>
  <c r="B667" i="17"/>
  <c r="B663" i="17"/>
  <c r="B659" i="17"/>
  <c r="B655" i="17"/>
  <c r="B652" i="17"/>
  <c r="A650" i="17"/>
  <c r="B650" i="17"/>
  <c r="B645" i="17"/>
  <c r="A409" i="17"/>
  <c r="A187" i="17"/>
  <c r="B187" i="17"/>
  <c r="B185" i="17"/>
  <c r="A124" i="17"/>
  <c r="A410" i="17"/>
  <c r="B410" i="17"/>
  <c r="A387" i="17"/>
  <c r="B387" i="17"/>
  <c r="A337" i="17"/>
  <c r="B337" i="17"/>
  <c r="A336" i="17"/>
  <c r="B732" i="17"/>
  <c r="B728" i="17"/>
  <c r="B724" i="17"/>
  <c r="B720" i="17"/>
  <c r="B716" i="17"/>
  <c r="B712" i="17"/>
  <c r="B708" i="17"/>
  <c r="B704" i="17"/>
  <c r="B700" i="17"/>
  <c r="B696" i="17"/>
  <c r="B692" i="17"/>
  <c r="B688" i="17"/>
  <c r="B684" i="17"/>
  <c r="B680" i="17"/>
  <c r="B676" i="17"/>
  <c r="B672" i="17"/>
  <c r="B668" i="17"/>
  <c r="B664" i="17"/>
  <c r="B660" i="17"/>
  <c r="B656" i="17"/>
  <c r="B653" i="17"/>
  <c r="A648" i="17"/>
  <c r="A645" i="17"/>
  <c r="A654" i="17"/>
  <c r="A651" i="17"/>
  <c r="A411" i="17"/>
  <c r="B411" i="17"/>
  <c r="A405" i="17"/>
  <c r="B293" i="17"/>
  <c r="B642" i="17"/>
  <c r="B638" i="17"/>
  <c r="B634" i="17"/>
  <c r="B630" i="17"/>
  <c r="B626" i="17"/>
  <c r="B622" i="17"/>
  <c r="B618" i="17"/>
  <c r="B614" i="17"/>
  <c r="B610" i="17"/>
  <c r="B606" i="17"/>
  <c r="B602" i="17"/>
  <c r="B598" i="17"/>
  <c r="B594" i="17"/>
  <c r="B590" i="17"/>
  <c r="B586" i="17"/>
  <c r="B582" i="17"/>
  <c r="B578" i="17"/>
  <c r="B462" i="17"/>
  <c r="B454" i="17"/>
  <c r="B450" i="17"/>
  <c r="B438" i="17"/>
  <c r="B434" i="17"/>
  <c r="B430" i="17"/>
  <c r="B426" i="17"/>
  <c r="B422" i="17"/>
  <c r="B418" i="17"/>
  <c r="B414" i="17"/>
  <c r="A408" i="17"/>
  <c r="A394" i="17"/>
  <c r="B394" i="17"/>
  <c r="B325" i="17"/>
  <c r="B280" i="17"/>
  <c r="A280" i="17"/>
  <c r="A219" i="17"/>
  <c r="B219" i="17"/>
  <c r="B217" i="17"/>
  <c r="A206" i="17"/>
  <c r="B206" i="17"/>
  <c r="B204" i="17"/>
  <c r="A204" i="17"/>
  <c r="A143" i="17"/>
  <c r="B143" i="17"/>
  <c r="A102" i="17"/>
  <c r="B102" i="17"/>
  <c r="A70" i="17"/>
  <c r="B70" i="17"/>
  <c r="A38" i="17"/>
  <c r="B38" i="17"/>
  <c r="A6" i="17"/>
  <c r="B6" i="17"/>
  <c r="B405" i="17"/>
  <c r="B402" i="17"/>
  <c r="B395" i="17"/>
  <c r="A383" i="17"/>
  <c r="B383" i="17"/>
  <c r="A382" i="17"/>
  <c r="A376" i="17"/>
  <c r="A367" i="17"/>
  <c r="B367" i="17"/>
  <c r="A366" i="17"/>
  <c r="A360" i="17"/>
  <c r="A351" i="17"/>
  <c r="B351" i="17"/>
  <c r="A350" i="17"/>
  <c r="A344" i="17"/>
  <c r="B312" i="17"/>
  <c r="A312" i="17"/>
  <c r="A251" i="17"/>
  <c r="B251" i="17"/>
  <c r="B249" i="17"/>
  <c r="A238" i="17"/>
  <c r="B238" i="17"/>
  <c r="B236" i="17"/>
  <c r="A236" i="17"/>
  <c r="A175" i="17"/>
  <c r="B175" i="17"/>
  <c r="A130" i="17"/>
  <c r="B130" i="17"/>
  <c r="A107" i="17"/>
  <c r="B107" i="17"/>
  <c r="A75" i="17"/>
  <c r="B75" i="17"/>
  <c r="B43" i="17"/>
  <c r="A11" i="17"/>
  <c r="B11" i="17"/>
  <c r="B643" i="17"/>
  <c r="B639" i="17"/>
  <c r="B635" i="17"/>
  <c r="B579" i="17"/>
  <c r="B575" i="17"/>
  <c r="B571" i="17"/>
  <c r="B567" i="17"/>
  <c r="B563" i="17"/>
  <c r="B559" i="17"/>
  <c r="B555" i="17"/>
  <c r="B551" i="17"/>
  <c r="B547" i="17"/>
  <c r="B543" i="17"/>
  <c r="B539" i="17"/>
  <c r="B535" i="17"/>
  <c r="B531" i="17"/>
  <c r="B527" i="17"/>
  <c r="B523" i="17"/>
  <c r="B519" i="17"/>
  <c r="B515" i="17"/>
  <c r="B511" i="17"/>
  <c r="B507" i="17"/>
  <c r="B503" i="17"/>
  <c r="B499" i="17"/>
  <c r="B495" i="17"/>
  <c r="B491" i="17"/>
  <c r="B487" i="17"/>
  <c r="B483" i="17"/>
  <c r="B479" i="17"/>
  <c r="B475" i="17"/>
  <c r="B471" i="17"/>
  <c r="B467" i="17"/>
  <c r="B459" i="17"/>
  <c r="B455" i="17"/>
  <c r="B451" i="17"/>
  <c r="B447" i="17"/>
  <c r="B443" i="17"/>
  <c r="B439" i="17"/>
  <c r="B435" i="17"/>
  <c r="B431" i="17"/>
  <c r="B427" i="17"/>
  <c r="B423" i="17"/>
  <c r="B419" i="17"/>
  <c r="B415" i="17"/>
  <c r="A412" i="17"/>
  <c r="B408" i="17"/>
  <c r="B403" i="17"/>
  <c r="A400" i="17"/>
  <c r="A340" i="17"/>
  <c r="B340" i="17"/>
  <c r="A283" i="17"/>
  <c r="B283" i="17"/>
  <c r="B281" i="17"/>
  <c r="A270" i="17"/>
  <c r="B270" i="17"/>
  <c r="B268" i="17"/>
  <c r="A268" i="17"/>
  <c r="A207" i="17"/>
  <c r="B207" i="17"/>
  <c r="A162" i="17"/>
  <c r="B162" i="17"/>
  <c r="B133" i="17"/>
  <c r="B409" i="17"/>
  <c r="B393" i="17"/>
  <c r="A390" i="17"/>
  <c r="B390" i="17"/>
  <c r="A379" i="17"/>
  <c r="B379" i="17"/>
  <c r="A363" i="17"/>
  <c r="B363" i="17"/>
  <c r="A347" i="17"/>
  <c r="B347" i="17"/>
  <c r="B336" i="17"/>
  <c r="A315" i="17"/>
  <c r="B315" i="17"/>
  <c r="B313" i="17"/>
  <c r="A302" i="17"/>
  <c r="B302" i="17"/>
  <c r="B300" i="17"/>
  <c r="A300" i="17"/>
  <c r="A239" i="17"/>
  <c r="B239" i="17"/>
  <c r="A194" i="17"/>
  <c r="B194" i="17"/>
  <c r="B165" i="17"/>
  <c r="A108" i="17"/>
  <c r="A76" i="17"/>
  <c r="A44" i="17"/>
  <c r="B12" i="17"/>
  <c r="A12" i="17"/>
  <c r="B552" i="17"/>
  <c r="B548" i="17"/>
  <c r="B532" i="17"/>
  <c r="B528" i="17"/>
  <c r="B524" i="17"/>
  <c r="B520" i="17"/>
  <c r="B516" i="17"/>
  <c r="B512" i="17"/>
  <c r="B508" i="17"/>
  <c r="B504" i="17"/>
  <c r="B500" i="17"/>
  <c r="B496" i="17"/>
  <c r="B492" i="17"/>
  <c r="B488" i="17"/>
  <c r="B484" i="17"/>
  <c r="B480" i="17"/>
  <c r="B476" i="17"/>
  <c r="B472" i="17"/>
  <c r="B468" i="17"/>
  <c r="B464" i="17"/>
  <c r="B456" i="17"/>
  <c r="B452" i="17"/>
  <c r="B448" i="17"/>
  <c r="B444" i="17"/>
  <c r="B440" i="17"/>
  <c r="B436" i="17"/>
  <c r="B432" i="17"/>
  <c r="B428" i="17"/>
  <c r="B424" i="17"/>
  <c r="B420" i="17"/>
  <c r="B416" i="17"/>
  <c r="B391" i="17"/>
  <c r="B377" i="17"/>
  <c r="B361" i="17"/>
  <c r="B345" i="17"/>
  <c r="A334" i="17"/>
  <c r="B334" i="17"/>
  <c r="B332" i="17"/>
  <c r="A332" i="17"/>
  <c r="A271" i="17"/>
  <c r="B271" i="17"/>
  <c r="A226" i="17"/>
  <c r="B226" i="17"/>
  <c r="B197" i="17"/>
  <c r="B152" i="17"/>
  <c r="A152" i="17"/>
  <c r="A118" i="17"/>
  <c r="B118" i="17"/>
  <c r="A86" i="17"/>
  <c r="B86" i="17"/>
  <c r="A54" i="17"/>
  <c r="B54" i="17"/>
  <c r="A22" i="17"/>
  <c r="B22" i="17"/>
  <c r="A398" i="17"/>
  <c r="B398" i="17"/>
  <c r="A396" i="17"/>
  <c r="A384" i="17"/>
  <c r="A375" i="17"/>
  <c r="B375" i="17"/>
  <c r="A374" i="17"/>
  <c r="A368" i="17"/>
  <c r="A359" i="17"/>
  <c r="B359" i="17"/>
  <c r="A358" i="17"/>
  <c r="A352" i="17"/>
  <c r="A346" i="17"/>
  <c r="A343" i="17"/>
  <c r="B343" i="17"/>
  <c r="A303" i="17"/>
  <c r="B303" i="17"/>
  <c r="A258" i="17"/>
  <c r="B258" i="17"/>
  <c r="B229" i="17"/>
  <c r="B184" i="17"/>
  <c r="A184" i="17"/>
  <c r="A123" i="17"/>
  <c r="B123" i="17"/>
  <c r="A91" i="17"/>
  <c r="B91" i="17"/>
  <c r="A59" i="17"/>
  <c r="B59" i="17"/>
  <c r="B27" i="17"/>
  <c r="A404" i="17"/>
  <c r="B404" i="17"/>
  <c r="B399" i="17"/>
  <c r="A391" i="17"/>
  <c r="B389" i="17"/>
  <c r="B373" i="17"/>
  <c r="B357" i="17"/>
  <c r="A335" i="17"/>
  <c r="B335" i="17"/>
  <c r="A290" i="17"/>
  <c r="B290" i="17"/>
  <c r="B261" i="17"/>
  <c r="B216" i="17"/>
  <c r="A216" i="17"/>
  <c r="A155" i="17"/>
  <c r="B155" i="17"/>
  <c r="B153" i="17"/>
  <c r="A142" i="17"/>
  <c r="B142" i="17"/>
  <c r="B140" i="17"/>
  <c r="A140" i="17"/>
  <c r="A325" i="17"/>
  <c r="A323" i="17"/>
  <c r="B320" i="17"/>
  <c r="A310" i="17"/>
  <c r="B310" i="17"/>
  <c r="A293" i="17"/>
  <c r="A291" i="17"/>
  <c r="B288" i="17"/>
  <c r="A278" i="17"/>
  <c r="B278" i="17"/>
  <c r="A261" i="17"/>
  <c r="A259" i="17"/>
  <c r="B256" i="17"/>
  <c r="A246" i="17"/>
  <c r="B246" i="17"/>
  <c r="A229" i="17"/>
  <c r="A227" i="17"/>
  <c r="B224" i="17"/>
  <c r="A214" i="17"/>
  <c r="B214" i="17"/>
  <c r="A197" i="17"/>
  <c r="A195" i="17"/>
  <c r="B192" i="17"/>
  <c r="A182" i="17"/>
  <c r="B182" i="17"/>
  <c r="A165" i="17"/>
  <c r="A163" i="17"/>
  <c r="B160" i="17"/>
  <c r="A150" i="17"/>
  <c r="B150" i="17"/>
  <c r="A133" i="17"/>
  <c r="A131" i="17"/>
  <c r="B128" i="17"/>
  <c r="A121" i="17"/>
  <c r="A119" i="17"/>
  <c r="B119" i="17"/>
  <c r="A114" i="17"/>
  <c r="B114" i="17"/>
  <c r="A105" i="17"/>
  <c r="A103" i="17"/>
  <c r="B103" i="17"/>
  <c r="A98" i="17"/>
  <c r="B98" i="17"/>
  <c r="A89" i="17"/>
  <c r="A87" i="17"/>
  <c r="B87" i="17"/>
  <c r="A82" i="17"/>
  <c r="B82" i="17"/>
  <c r="A73" i="17"/>
  <c r="A71" i="17"/>
  <c r="B71" i="17"/>
  <c r="A66" i="17"/>
  <c r="B66" i="17"/>
  <c r="A57" i="17"/>
  <c r="A55" i="17"/>
  <c r="B55" i="17"/>
  <c r="A50" i="17"/>
  <c r="B50" i="17"/>
  <c r="A43" i="17"/>
  <c r="A41" i="17"/>
  <c r="B39" i="17"/>
  <c r="A34" i="17"/>
  <c r="B34" i="17"/>
  <c r="A27" i="17"/>
  <c r="A25" i="17"/>
  <c r="B23" i="17"/>
  <c r="A18" i="17"/>
  <c r="B18" i="17"/>
  <c r="A9" i="17"/>
  <c r="B7" i="17"/>
  <c r="A330" i="17"/>
  <c r="B330" i="17"/>
  <c r="A313" i="17"/>
  <c r="A311" i="17"/>
  <c r="B308" i="17"/>
  <c r="A298" i="17"/>
  <c r="B298" i="17"/>
  <c r="A281" i="17"/>
  <c r="A279" i="17"/>
  <c r="B276" i="17"/>
  <c r="A266" i="17"/>
  <c r="B266" i="17"/>
  <c r="A249" i="17"/>
  <c r="A247" i="17"/>
  <c r="B244" i="17"/>
  <c r="A234" i="17"/>
  <c r="B234" i="17"/>
  <c r="A217" i="17"/>
  <c r="A215" i="17"/>
  <c r="B212" i="17"/>
  <c r="A202" i="17"/>
  <c r="B202" i="17"/>
  <c r="A185" i="17"/>
  <c r="A183" i="17"/>
  <c r="B180" i="17"/>
  <c r="A170" i="17"/>
  <c r="B170" i="17"/>
  <c r="A153" i="17"/>
  <c r="A151" i="17"/>
  <c r="B148" i="17"/>
  <c r="A138" i="17"/>
  <c r="B138" i="17"/>
  <c r="B8" i="17"/>
  <c r="A341" i="17"/>
  <c r="A338" i="17"/>
  <c r="B338" i="17"/>
  <c r="A333" i="17"/>
  <c r="A331" i="17"/>
  <c r="B328" i="17"/>
  <c r="A318" i="17"/>
  <c r="B318" i="17"/>
  <c r="A299" i="17"/>
  <c r="B296" i="17"/>
  <c r="A286" i="17"/>
  <c r="B286" i="17"/>
  <c r="A267" i="17"/>
  <c r="B264" i="17"/>
  <c r="A254" i="17"/>
  <c r="B254" i="17"/>
  <c r="A235" i="17"/>
  <c r="B232" i="17"/>
  <c r="A222" i="17"/>
  <c r="B222" i="17"/>
  <c r="A203" i="17"/>
  <c r="B200" i="17"/>
  <c r="A190" i="17"/>
  <c r="B190" i="17"/>
  <c r="A171" i="17"/>
  <c r="B168" i="17"/>
  <c r="A158" i="17"/>
  <c r="B158" i="17"/>
  <c r="A139" i="17"/>
  <c r="B136" i="17"/>
  <c r="A126" i="17"/>
  <c r="B126" i="17"/>
  <c r="A115" i="17"/>
  <c r="B115" i="17"/>
  <c r="A110" i="17"/>
  <c r="B110" i="17"/>
  <c r="A99" i="17"/>
  <c r="B99" i="17"/>
  <c r="A94" i="17"/>
  <c r="B94" i="17"/>
  <c r="A83" i="17"/>
  <c r="B83" i="17"/>
  <c r="A78" i="17"/>
  <c r="B78" i="17"/>
  <c r="A67" i="17"/>
  <c r="B67" i="17"/>
  <c r="A62" i="17"/>
  <c r="B62" i="17"/>
  <c r="A51" i="17"/>
  <c r="B51" i="17"/>
  <c r="A46" i="17"/>
  <c r="B46" i="17"/>
  <c r="B35" i="17"/>
  <c r="A30" i="17"/>
  <c r="B30" i="17"/>
  <c r="B19" i="17"/>
  <c r="A14" i="17"/>
  <c r="B14" i="17"/>
  <c r="B3" i="17"/>
  <c r="B400" i="17"/>
  <c r="B396" i="17"/>
  <c r="B392" i="17"/>
  <c r="B388" i="17"/>
  <c r="B384" i="17"/>
  <c r="B380" i="17"/>
  <c r="B376" i="17"/>
  <c r="B372" i="17"/>
  <c r="B368" i="17"/>
  <c r="B364" i="17"/>
  <c r="B360" i="17"/>
  <c r="B356" i="17"/>
  <c r="B352" i="17"/>
  <c r="B348" i="17"/>
  <c r="B344" i="17"/>
  <c r="A339" i="17"/>
  <c r="A321" i="17"/>
  <c r="A319" i="17"/>
  <c r="B316" i="17"/>
  <c r="A308" i="17"/>
  <c r="A306" i="17"/>
  <c r="B306" i="17"/>
  <c r="A289" i="17"/>
  <c r="A287" i="17"/>
  <c r="B284" i="17"/>
  <c r="A276" i="17"/>
  <c r="A274" i="17"/>
  <c r="B274" i="17"/>
  <c r="A257" i="17"/>
  <c r="A255" i="17"/>
  <c r="B252" i="17"/>
  <c r="A244" i="17"/>
  <c r="A242" i="17"/>
  <c r="B242" i="17"/>
  <c r="A225" i="17"/>
  <c r="A223" i="17"/>
  <c r="B220" i="17"/>
  <c r="A212" i="17"/>
  <c r="A210" i="17"/>
  <c r="B210" i="17"/>
  <c r="A193" i="17"/>
  <c r="A191" i="17"/>
  <c r="B188" i="17"/>
  <c r="A180" i="17"/>
  <c r="A178" i="17"/>
  <c r="B178" i="17"/>
  <c r="A161" i="17"/>
  <c r="A159" i="17"/>
  <c r="B156" i="17"/>
  <c r="A148" i="17"/>
  <c r="A146" i="17"/>
  <c r="B146" i="17"/>
  <c r="A129" i="17"/>
  <c r="A127" i="17"/>
  <c r="B124" i="17"/>
  <c r="B108" i="17"/>
  <c r="B92" i="17"/>
  <c r="B76" i="17"/>
  <c r="B60" i="17"/>
  <c r="B44" i="17"/>
  <c r="B28" i="17"/>
  <c r="B4" i="17"/>
  <c r="B341" i="17"/>
  <c r="B333" i="17"/>
  <c r="A328" i="17"/>
  <c r="A326" i="17"/>
  <c r="B326" i="17"/>
  <c r="B323" i="17"/>
  <c r="A309" i="17"/>
  <c r="A307" i="17"/>
  <c r="B304" i="17"/>
  <c r="A296" i="17"/>
  <c r="A294" i="17"/>
  <c r="B294" i="17"/>
  <c r="B291" i="17"/>
  <c r="A277" i="17"/>
  <c r="A275" i="17"/>
  <c r="B272" i="17"/>
  <c r="A264" i="17"/>
  <c r="A262" i="17"/>
  <c r="B262" i="17"/>
  <c r="B259" i="17"/>
  <c r="A245" i="17"/>
  <c r="A243" i="17"/>
  <c r="B240" i="17"/>
  <c r="A232" i="17"/>
  <c r="A230" i="17"/>
  <c r="B230" i="17"/>
  <c r="B227" i="17"/>
  <c r="A213" i="17"/>
  <c r="A211" i="17"/>
  <c r="B208" i="17"/>
  <c r="A200" i="17"/>
  <c r="A198" i="17"/>
  <c r="B198" i="17"/>
  <c r="B195" i="17"/>
  <c r="A181" i="17"/>
  <c r="A179" i="17"/>
  <c r="B176" i="17"/>
  <c r="A168" i="17"/>
  <c r="A166" i="17"/>
  <c r="B166" i="17"/>
  <c r="B163" i="17"/>
  <c r="A149" i="17"/>
  <c r="A147" i="17"/>
  <c r="B144" i="17"/>
  <c r="A136" i="17"/>
  <c r="A134" i="17"/>
  <c r="B134" i="17"/>
  <c r="B131" i="17"/>
  <c r="A122" i="17"/>
  <c r="B122" i="17"/>
  <c r="A113" i="17"/>
  <c r="A111" i="17"/>
  <c r="B111" i="17"/>
  <c r="A106" i="17"/>
  <c r="B106" i="17"/>
  <c r="A97" i="17"/>
  <c r="A95" i="17"/>
  <c r="B95" i="17"/>
  <c r="A90" i="17"/>
  <c r="B90" i="17"/>
  <c r="A81" i="17"/>
  <c r="A79" i="17"/>
  <c r="B79" i="17"/>
  <c r="A74" i="17"/>
  <c r="B74" i="17"/>
  <c r="A65" i="17"/>
  <c r="A63" i="17"/>
  <c r="B63" i="17"/>
  <c r="A58" i="17"/>
  <c r="B58" i="17"/>
  <c r="A49" i="17"/>
  <c r="A47" i="17"/>
  <c r="B47" i="17"/>
  <c r="A42" i="17"/>
  <c r="B42" i="17"/>
  <c r="A35" i="17"/>
  <c r="A33" i="17"/>
  <c r="B31" i="17"/>
  <c r="A26" i="17"/>
  <c r="B26" i="17"/>
  <c r="A19" i="17"/>
  <c r="A17" i="17"/>
  <c r="B15" i="17"/>
  <c r="A10" i="17"/>
  <c r="B10" i="17"/>
  <c r="A3" i="17"/>
  <c r="B342" i="17"/>
  <c r="A329" i="17"/>
  <c r="A327" i="17"/>
  <c r="B324" i="17"/>
  <c r="A316" i="17"/>
  <c r="A314" i="17"/>
  <c r="B314" i="17"/>
  <c r="B311" i="17"/>
  <c r="A297" i="17"/>
  <c r="A295" i="17"/>
  <c r="B292" i="17"/>
  <c r="A284" i="17"/>
  <c r="A282" i="17"/>
  <c r="B282" i="17"/>
  <c r="B279" i="17"/>
  <c r="A265" i="17"/>
  <c r="A263" i="17"/>
  <c r="B260" i="17"/>
  <c r="A252" i="17"/>
  <c r="A250" i="17"/>
  <c r="B250" i="17"/>
  <c r="B247" i="17"/>
  <c r="A233" i="17"/>
  <c r="A231" i="17"/>
  <c r="B228" i="17"/>
  <c r="A220" i="17"/>
  <c r="A218" i="17"/>
  <c r="B218" i="17"/>
  <c r="B215" i="17"/>
  <c r="A201" i="17"/>
  <c r="A199" i="17"/>
  <c r="B196" i="17"/>
  <c r="A188" i="17"/>
  <c r="A186" i="17"/>
  <c r="B186" i="17"/>
  <c r="B183" i="17"/>
  <c r="A169" i="17"/>
  <c r="A167" i="17"/>
  <c r="B164" i="17"/>
  <c r="A156" i="17"/>
  <c r="A154" i="17"/>
  <c r="B154" i="17"/>
  <c r="B151" i="17"/>
  <c r="A137" i="17"/>
  <c r="A135" i="17"/>
  <c r="B132" i="17"/>
  <c r="B120" i="17"/>
  <c r="B104" i="17"/>
  <c r="B88" i="17"/>
  <c r="B72" i="17"/>
  <c r="B56" i="17"/>
  <c r="B40" i="17"/>
  <c r="B24" i="17"/>
  <c r="B16" i="17"/>
  <c r="AD2" i="17"/>
  <c r="AC2" i="17"/>
  <c r="AB2" i="17"/>
  <c r="AA2" i="17"/>
  <c r="Z2" i="17"/>
  <c r="Y2" i="17"/>
  <c r="X2" i="17"/>
  <c r="W2" i="17"/>
  <c r="V2" i="17"/>
  <c r="U2" i="17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E2" i="17"/>
  <c r="D2" i="17"/>
  <c r="C2" i="17"/>
  <c r="AC1" i="17"/>
  <c r="AA1" i="17"/>
  <c r="Y1" i="17"/>
  <c r="W1" i="17"/>
  <c r="U1" i="17"/>
  <c r="S1" i="17"/>
  <c r="Q1" i="17"/>
  <c r="O1" i="17"/>
  <c r="M1" i="17"/>
  <c r="K1" i="17"/>
  <c r="I1" i="17"/>
  <c r="G1" i="17"/>
  <c r="E1" i="17"/>
  <c r="C1" i="17"/>
  <c r="A2" i="17" l="1"/>
  <c r="B2" i="17" l="1"/>
  <c r="M9" i="4" s="1"/>
  <c r="B458" i="17"/>
  <c r="G9" i="4"/>
  <c r="L102" i="4"/>
  <c r="M101" i="4"/>
  <c r="E97" i="4"/>
  <c r="D108" i="4"/>
  <c r="H102" i="4"/>
  <c r="E107" i="4"/>
  <c r="E101" i="4"/>
  <c r="L103" i="4"/>
  <c r="D99" i="4"/>
  <c r="J94" i="4"/>
  <c r="I108" i="4"/>
  <c r="B107" i="4"/>
  <c r="L104" i="4"/>
  <c r="J103" i="4"/>
  <c r="F101" i="4"/>
  <c r="B99" i="4"/>
  <c r="L96" i="4"/>
  <c r="G94" i="4"/>
  <c r="M89" i="4"/>
  <c r="G108" i="4"/>
  <c r="M105" i="4"/>
  <c r="O98" i="4"/>
  <c r="B10" i="4"/>
  <c r="D11" i="4"/>
  <c r="F12" i="4"/>
  <c r="H13" i="4"/>
  <c r="J14" i="4"/>
  <c r="L15" i="4"/>
  <c r="N16" i="4"/>
  <c r="B18" i="4"/>
  <c r="D19" i="4"/>
  <c r="F20" i="4"/>
  <c r="H21" i="4"/>
  <c r="J22" i="4"/>
  <c r="L23" i="4"/>
  <c r="N24" i="4"/>
  <c r="B26" i="4"/>
  <c r="D27" i="4"/>
  <c r="F28" i="4"/>
  <c r="H29" i="4"/>
  <c r="J30" i="4"/>
  <c r="L31" i="4"/>
  <c r="N32" i="4"/>
  <c r="B34" i="4"/>
  <c r="O10" i="4"/>
  <c r="C12" i="4"/>
  <c r="E13" i="4"/>
  <c r="G14" i="4"/>
  <c r="I15" i="4"/>
  <c r="K16" i="4"/>
  <c r="M17" i="4"/>
  <c r="O18" i="4"/>
  <c r="C20" i="4"/>
  <c r="E21" i="4"/>
  <c r="G22" i="4"/>
  <c r="I23" i="4"/>
  <c r="K24" i="4"/>
  <c r="M25" i="4"/>
  <c r="O26" i="4"/>
  <c r="C28" i="4"/>
  <c r="E29" i="4"/>
  <c r="G30" i="4"/>
  <c r="I31" i="4"/>
  <c r="K32" i="4"/>
  <c r="B11" i="4"/>
  <c r="D12" i="4"/>
  <c r="F13" i="4"/>
  <c r="H14" i="4"/>
  <c r="J15" i="4"/>
  <c r="L16" i="4"/>
  <c r="N17" i="4"/>
  <c r="B19" i="4"/>
  <c r="D20" i="4"/>
  <c r="F21" i="4"/>
  <c r="H22" i="4"/>
  <c r="J23" i="4"/>
  <c r="L24" i="4"/>
  <c r="N25" i="4"/>
  <c r="B27" i="4"/>
  <c r="D28" i="4"/>
  <c r="F29" i="4"/>
  <c r="H30" i="4"/>
  <c r="J31" i="4"/>
  <c r="L32" i="4"/>
  <c r="N33" i="4"/>
  <c r="I12" i="4"/>
  <c r="C17" i="4"/>
  <c r="K21" i="4"/>
  <c r="E26" i="4"/>
  <c r="M30" i="4"/>
  <c r="C34" i="4"/>
  <c r="F35" i="4"/>
  <c r="H36" i="4"/>
  <c r="J37" i="4"/>
  <c r="L38" i="4"/>
  <c r="N39" i="4"/>
  <c r="B41" i="4"/>
  <c r="D42" i="4"/>
  <c r="F43" i="4"/>
  <c r="H44" i="4"/>
  <c r="J45" i="4"/>
  <c r="L46" i="4"/>
  <c r="N47" i="4"/>
  <c r="B49" i="4"/>
  <c r="D50" i="4"/>
  <c r="I10" i="4"/>
  <c r="C15" i="4"/>
  <c r="K19" i="4"/>
  <c r="E24" i="4"/>
  <c r="M28" i="4"/>
  <c r="C33" i="4"/>
  <c r="M34" i="4"/>
  <c r="O35" i="4"/>
  <c r="C37" i="4"/>
  <c r="E38" i="4"/>
  <c r="G39" i="4"/>
  <c r="I40" i="4"/>
  <c r="K41" i="4"/>
  <c r="M42" i="4"/>
  <c r="O43" i="4"/>
  <c r="C45" i="4"/>
  <c r="E46" i="4"/>
  <c r="G47" i="4"/>
  <c r="I48" i="4"/>
  <c r="K49" i="4"/>
  <c r="M50" i="4"/>
  <c r="O51" i="4"/>
  <c r="E14" i="4"/>
  <c r="M18" i="4"/>
  <c r="G23" i="4"/>
  <c r="O27" i="4"/>
  <c r="I32" i="4"/>
  <c r="J34" i="4"/>
  <c r="L35" i="4"/>
  <c r="N36" i="4"/>
  <c r="B38" i="4"/>
  <c r="D39" i="4"/>
  <c r="F40" i="4"/>
  <c r="H41" i="4"/>
  <c r="J42" i="4"/>
  <c r="L43" i="4"/>
  <c r="N44" i="4"/>
  <c r="B46" i="4"/>
  <c r="D47" i="4"/>
  <c r="F48" i="4"/>
  <c r="H49" i="4"/>
  <c r="J50" i="4"/>
  <c r="L51" i="4"/>
  <c r="E20" i="4"/>
  <c r="O34" i="4"/>
  <c r="I39" i="4"/>
  <c r="C44" i="4"/>
  <c r="K48" i="4"/>
  <c r="D52" i="4"/>
  <c r="F53" i="4"/>
  <c r="H54" i="4"/>
  <c r="J55" i="4"/>
  <c r="L56" i="4"/>
  <c r="N57" i="4"/>
  <c r="B59" i="4"/>
  <c r="D60" i="4"/>
  <c r="F61" i="4"/>
  <c r="H62" i="4"/>
  <c r="J63" i="4"/>
  <c r="L64" i="4"/>
  <c r="N65" i="4"/>
  <c r="B67" i="4"/>
  <c r="F10" i="4"/>
  <c r="H11" i="4"/>
  <c r="J12" i="4"/>
  <c r="L13" i="4"/>
  <c r="N14" i="4"/>
  <c r="B16" i="4"/>
  <c r="D17" i="4"/>
  <c r="F18" i="4"/>
  <c r="H19" i="4"/>
  <c r="J20" i="4"/>
  <c r="L21" i="4"/>
  <c r="N22" i="4"/>
  <c r="B24" i="4"/>
  <c r="D25" i="4"/>
  <c r="F26" i="4"/>
  <c r="H27" i="4"/>
  <c r="J28" i="4"/>
  <c r="L29" i="4"/>
  <c r="N30" i="4"/>
  <c r="B32" i="4"/>
  <c r="D33" i="4"/>
  <c r="C10" i="4"/>
  <c r="E11" i="4"/>
  <c r="G12" i="4"/>
  <c r="I13" i="4"/>
  <c r="K14" i="4"/>
  <c r="M15" i="4"/>
  <c r="O16" i="4"/>
  <c r="C18" i="4"/>
  <c r="E19" i="4"/>
  <c r="G20" i="4"/>
  <c r="I21" i="4"/>
  <c r="K22" i="4"/>
  <c r="M23" i="4"/>
  <c r="C26" i="4"/>
  <c r="E27" i="4"/>
  <c r="G28" i="4"/>
  <c r="I29" i="4"/>
  <c r="K30" i="4"/>
  <c r="M31" i="4"/>
  <c r="D10" i="4"/>
  <c r="F11" i="4"/>
  <c r="H12" i="4"/>
  <c r="J13" i="4"/>
  <c r="L14" i="4"/>
  <c r="N15" i="4"/>
  <c r="B17" i="4"/>
  <c r="D18" i="4"/>
  <c r="F19" i="4"/>
  <c r="H20" i="4"/>
  <c r="J21" i="4"/>
  <c r="L22" i="4"/>
  <c r="N23" i="4"/>
  <c r="B25" i="4"/>
  <c r="D26" i="4"/>
  <c r="F27" i="4"/>
  <c r="H28" i="4"/>
  <c r="J29" i="4"/>
  <c r="L30" i="4"/>
  <c r="N31" i="4"/>
  <c r="B33" i="4"/>
  <c r="D34" i="4"/>
  <c r="K13" i="4"/>
  <c r="E18" i="4"/>
  <c r="M22" i="4"/>
  <c r="G27" i="4"/>
  <c r="O31" i="4"/>
  <c r="H34" i="4"/>
  <c r="J35" i="4"/>
  <c r="L36" i="4"/>
  <c r="N37" i="4"/>
  <c r="B39" i="4"/>
  <c r="D40" i="4"/>
  <c r="F41" i="4"/>
  <c r="H42" i="4"/>
  <c r="J43" i="4"/>
  <c r="L44" i="4"/>
  <c r="N45" i="4"/>
  <c r="B47" i="4"/>
  <c r="D48" i="4"/>
  <c r="F49" i="4"/>
  <c r="H50" i="4"/>
  <c r="K11" i="4"/>
  <c r="E16" i="4"/>
  <c r="M20" i="4"/>
  <c r="G25" i="4"/>
  <c r="O29" i="4"/>
  <c r="K33" i="4"/>
  <c r="C35" i="4"/>
  <c r="E36" i="4"/>
  <c r="G37" i="4"/>
  <c r="I38" i="4"/>
  <c r="K39" i="4"/>
  <c r="M40" i="4"/>
  <c r="O41" i="4"/>
  <c r="C43" i="4"/>
  <c r="E44" i="4"/>
  <c r="G45" i="4"/>
  <c r="I46" i="4"/>
  <c r="K47" i="4"/>
  <c r="M48" i="4"/>
  <c r="O49" i="4"/>
  <c r="C51" i="4"/>
  <c r="M10" i="4"/>
  <c r="O19" i="4"/>
  <c r="I24" i="4"/>
  <c r="C29" i="4"/>
  <c r="E33" i="4"/>
  <c r="N34" i="4"/>
  <c r="B36" i="4"/>
  <c r="D37" i="4"/>
  <c r="F38" i="4"/>
  <c r="H39" i="4"/>
  <c r="J40" i="4"/>
  <c r="L41" i="4"/>
  <c r="N42" i="4"/>
  <c r="B44" i="4"/>
  <c r="D45" i="4"/>
  <c r="F46" i="4"/>
  <c r="H47" i="4"/>
  <c r="J48" i="4"/>
  <c r="L49" i="4"/>
  <c r="N50" i="4"/>
  <c r="B52" i="4"/>
  <c r="M24" i="4"/>
  <c r="C36" i="4"/>
  <c r="K40" i="4"/>
  <c r="E45" i="4"/>
  <c r="M49" i="4"/>
  <c r="H52" i="4"/>
  <c r="J53" i="4"/>
  <c r="L54" i="4"/>
  <c r="N55" i="4"/>
  <c r="B57" i="4"/>
  <c r="D58" i="4"/>
  <c r="F59" i="4"/>
  <c r="H60" i="4"/>
  <c r="J61" i="4"/>
  <c r="L62" i="4"/>
  <c r="N63" i="4"/>
  <c r="B65" i="4"/>
  <c r="D66" i="4"/>
  <c r="F67" i="4"/>
  <c r="H68" i="4"/>
  <c r="J69" i="4"/>
  <c r="G21" i="4"/>
  <c r="E35" i="4"/>
  <c r="M39" i="4"/>
  <c r="G44" i="4"/>
  <c r="O48" i="4"/>
  <c r="E52" i="4"/>
  <c r="G53" i="4"/>
  <c r="I54" i="4"/>
  <c r="K55" i="4"/>
  <c r="M56" i="4"/>
  <c r="O57" i="4"/>
  <c r="C59" i="4"/>
  <c r="E60" i="4"/>
  <c r="G61" i="4"/>
  <c r="I62" i="4"/>
  <c r="K63" i="4"/>
  <c r="M64" i="4"/>
  <c r="O65" i="4"/>
  <c r="C67" i="4"/>
  <c r="E68" i="4"/>
  <c r="G69" i="4"/>
  <c r="I70" i="4"/>
  <c r="I22" i="4"/>
  <c r="J10" i="4"/>
  <c r="L11" i="4"/>
  <c r="N12" i="4"/>
  <c r="B14" i="4"/>
  <c r="D15" i="4"/>
  <c r="F16" i="4"/>
  <c r="H17" i="4"/>
  <c r="J18" i="4"/>
  <c r="L19" i="4"/>
  <c r="N20" i="4"/>
  <c r="B22" i="4"/>
  <c r="D23" i="4"/>
  <c r="F24" i="4"/>
  <c r="H25" i="4"/>
  <c r="J26" i="4"/>
  <c r="L27" i="4"/>
  <c r="N28" i="4"/>
  <c r="B30" i="4"/>
  <c r="D31" i="4"/>
  <c r="F32" i="4"/>
  <c r="H33" i="4"/>
  <c r="G10" i="4"/>
  <c r="I11" i="4"/>
  <c r="K12" i="4"/>
  <c r="M13" i="4"/>
  <c r="O14" i="4"/>
  <c r="C16" i="4"/>
  <c r="E17" i="4"/>
  <c r="G18" i="4"/>
  <c r="I19" i="4"/>
  <c r="K20" i="4"/>
  <c r="M21" i="4"/>
  <c r="O22" i="4"/>
  <c r="C24" i="4"/>
  <c r="E25" i="4"/>
  <c r="G26" i="4"/>
  <c r="I27" i="4"/>
  <c r="K28" i="4"/>
  <c r="M29" i="4"/>
  <c r="O30" i="4"/>
  <c r="C32" i="4"/>
  <c r="H10" i="4"/>
  <c r="J11" i="4"/>
  <c r="L12" i="4"/>
  <c r="N13" i="4"/>
  <c r="B15" i="4"/>
  <c r="D16" i="4"/>
  <c r="F17" i="4"/>
  <c r="H18" i="4"/>
  <c r="J19" i="4"/>
  <c r="L20" i="4"/>
  <c r="N21" i="4"/>
  <c r="B23" i="4"/>
  <c r="D24" i="4"/>
  <c r="F25" i="4"/>
  <c r="H26" i="4"/>
  <c r="J27" i="4"/>
  <c r="L28" i="4"/>
  <c r="N29" i="4"/>
  <c r="B31" i="4"/>
  <c r="D32" i="4"/>
  <c r="F33" i="4"/>
  <c r="E10" i="4"/>
  <c r="M14" i="4"/>
  <c r="G19" i="4"/>
  <c r="I28" i="4"/>
  <c r="O32" i="4"/>
  <c r="L34" i="4"/>
  <c r="N35" i="4"/>
  <c r="B37" i="4"/>
  <c r="D38" i="4"/>
  <c r="F39" i="4"/>
  <c r="H40" i="4"/>
  <c r="J41" i="4"/>
  <c r="L42" i="4"/>
  <c r="N43" i="4"/>
  <c r="B45" i="4"/>
  <c r="D46" i="4"/>
  <c r="F47" i="4"/>
  <c r="H48" i="4"/>
  <c r="J49" i="4"/>
  <c r="L50" i="4"/>
  <c r="M12" i="4"/>
  <c r="G17" i="4"/>
  <c r="O21" i="4"/>
  <c r="I26" i="4"/>
  <c r="C31" i="4"/>
  <c r="E34" i="4"/>
  <c r="G35" i="4"/>
  <c r="I36" i="4"/>
  <c r="K37" i="4"/>
  <c r="M38" i="4"/>
  <c r="O39" i="4"/>
  <c r="C41" i="4"/>
  <c r="E42" i="4"/>
  <c r="G43" i="4"/>
  <c r="I44" i="4"/>
  <c r="K45" i="4"/>
  <c r="M46" i="4"/>
  <c r="O47" i="4"/>
  <c r="C49" i="4"/>
  <c r="E50" i="4"/>
  <c r="G51" i="4"/>
  <c r="O11" i="4"/>
  <c r="I16" i="4"/>
  <c r="C21" i="4"/>
  <c r="K25" i="4"/>
  <c r="E30" i="4"/>
  <c r="M33" i="4"/>
  <c r="D35" i="4"/>
  <c r="F36" i="4"/>
  <c r="H37" i="4"/>
  <c r="J38" i="4"/>
  <c r="L39" i="4"/>
  <c r="N40" i="4"/>
  <c r="B42" i="4"/>
  <c r="D43" i="4"/>
  <c r="F44" i="4"/>
  <c r="H45" i="4"/>
  <c r="J46" i="4"/>
  <c r="L47" i="4"/>
  <c r="N48" i="4"/>
  <c r="B50" i="4"/>
  <c r="D51" i="4"/>
  <c r="C11" i="4"/>
  <c r="G29" i="4"/>
  <c r="E37" i="4"/>
  <c r="M41" i="4"/>
  <c r="G46" i="4"/>
  <c r="O50" i="4"/>
  <c r="L52" i="4"/>
  <c r="N53" i="4"/>
  <c r="B55" i="4"/>
  <c r="D56" i="4"/>
  <c r="F57" i="4"/>
  <c r="H58" i="4"/>
  <c r="J59" i="4"/>
  <c r="L60" i="4"/>
  <c r="N61" i="4"/>
  <c r="B63" i="4"/>
  <c r="D64" i="4"/>
  <c r="F65" i="4"/>
  <c r="H66" i="4"/>
  <c r="J67" i="4"/>
  <c r="N10" i="4"/>
  <c r="B12" i="4"/>
  <c r="D13" i="4"/>
  <c r="F14" i="4"/>
  <c r="H15" i="4"/>
  <c r="J16" i="4"/>
  <c r="L17" i="4"/>
  <c r="N18" i="4"/>
  <c r="B20" i="4"/>
  <c r="D21" i="4"/>
  <c r="F22" i="4"/>
  <c r="H23" i="4"/>
  <c r="J24" i="4"/>
  <c r="L25" i="4"/>
  <c r="N26" i="4"/>
  <c r="B28" i="4"/>
  <c r="D29" i="4"/>
  <c r="F30" i="4"/>
  <c r="H31" i="4"/>
  <c r="J32" i="4"/>
  <c r="L33" i="4"/>
  <c r="K10" i="4"/>
  <c r="M11" i="4"/>
  <c r="O12" i="4"/>
  <c r="C14" i="4"/>
  <c r="E15" i="4"/>
  <c r="G16" i="4"/>
  <c r="I17" i="4"/>
  <c r="K18" i="4"/>
  <c r="M19" i="4"/>
  <c r="O20" i="4"/>
  <c r="C22" i="4"/>
  <c r="E23" i="4"/>
  <c r="G24" i="4"/>
  <c r="I25" i="4"/>
  <c r="K26" i="4"/>
  <c r="M27" i="4"/>
  <c r="O28" i="4"/>
  <c r="C30" i="4"/>
  <c r="E31" i="4"/>
  <c r="G32" i="4"/>
  <c r="L10" i="4"/>
  <c r="N11" i="4"/>
  <c r="B13" i="4"/>
  <c r="D14" i="4"/>
  <c r="F15" i="4"/>
  <c r="H16" i="4"/>
  <c r="J17" i="4"/>
  <c r="L18" i="4"/>
  <c r="N19" i="4"/>
  <c r="B21" i="4"/>
  <c r="D22" i="4"/>
  <c r="F23" i="4"/>
  <c r="H24" i="4"/>
  <c r="J25" i="4"/>
  <c r="L26" i="4"/>
  <c r="N27" i="4"/>
  <c r="B29" i="4"/>
  <c r="D30" i="4"/>
  <c r="F31" i="4"/>
  <c r="H32" i="4"/>
  <c r="J33" i="4"/>
  <c r="G11" i="4"/>
  <c r="O15" i="4"/>
  <c r="I20" i="4"/>
  <c r="C25" i="4"/>
  <c r="K29" i="4"/>
  <c r="I33" i="4"/>
  <c r="B35" i="4"/>
  <c r="D36" i="4"/>
  <c r="F37" i="4"/>
  <c r="H38" i="4"/>
  <c r="J39" i="4"/>
  <c r="L40" i="4"/>
  <c r="N41" i="4"/>
  <c r="B43" i="4"/>
  <c r="D44" i="4"/>
  <c r="F45" i="4"/>
  <c r="H46" i="4"/>
  <c r="J47" i="4"/>
  <c r="L48" i="4"/>
  <c r="N49" i="4"/>
  <c r="B51" i="4"/>
  <c r="O13" i="4"/>
  <c r="I18" i="4"/>
  <c r="C23" i="4"/>
  <c r="K27" i="4"/>
  <c r="E32" i="4"/>
  <c r="I34" i="4"/>
  <c r="K35" i="4"/>
  <c r="M36" i="4"/>
  <c r="O37" i="4"/>
  <c r="C39" i="4"/>
  <c r="E40" i="4"/>
  <c r="G41" i="4"/>
  <c r="I42" i="4"/>
  <c r="K43" i="4"/>
  <c r="M44" i="4"/>
  <c r="O45" i="4"/>
  <c r="C47" i="4"/>
  <c r="E48" i="4"/>
  <c r="G49" i="4"/>
  <c r="I50" i="4"/>
  <c r="K51" i="4"/>
  <c r="C13" i="4"/>
  <c r="K17" i="4"/>
  <c r="E22" i="4"/>
  <c r="M26" i="4"/>
  <c r="G31" i="4"/>
  <c r="F34" i="4"/>
  <c r="H35" i="4"/>
  <c r="J36" i="4"/>
  <c r="L37" i="4"/>
  <c r="N38" i="4"/>
  <c r="B40" i="4"/>
  <c r="D41" i="4"/>
  <c r="F42" i="4"/>
  <c r="H43" i="4"/>
  <c r="J44" i="4"/>
  <c r="L45" i="4"/>
  <c r="N46" i="4"/>
  <c r="B48" i="4"/>
  <c r="D49" i="4"/>
  <c r="F50" i="4"/>
  <c r="H51" i="4"/>
  <c r="K15" i="4"/>
  <c r="G33" i="4"/>
  <c r="G38" i="4"/>
  <c r="O42" i="4"/>
  <c r="I47" i="4"/>
  <c r="J51" i="4"/>
  <c r="B53" i="4"/>
  <c r="D54" i="4"/>
  <c r="F55" i="4"/>
  <c r="H56" i="4"/>
  <c r="J57" i="4"/>
  <c r="L58" i="4"/>
  <c r="N59" i="4"/>
  <c r="B61" i="4"/>
  <c r="D62" i="4"/>
  <c r="F63" i="4"/>
  <c r="H64" i="4"/>
  <c r="J65" i="4"/>
  <c r="L66" i="4"/>
  <c r="N67" i="4"/>
  <c r="B69" i="4"/>
  <c r="E12" i="4"/>
  <c r="I30" i="4"/>
  <c r="I37" i="4"/>
  <c r="C42" i="4"/>
  <c r="K46" i="4"/>
  <c r="E51" i="4"/>
  <c r="M52" i="4"/>
  <c r="O53" i="4"/>
  <c r="C55" i="4"/>
  <c r="E56" i="4"/>
  <c r="G57" i="4"/>
  <c r="I58" i="4"/>
  <c r="K59" i="4"/>
  <c r="M60" i="4"/>
  <c r="O61" i="4"/>
  <c r="C63" i="4"/>
  <c r="E64" i="4"/>
  <c r="G65" i="4"/>
  <c r="I66" i="4"/>
  <c r="K67" i="4"/>
  <c r="M68" i="4"/>
  <c r="O69" i="4"/>
  <c r="G13" i="4"/>
  <c r="K31" i="4"/>
  <c r="D68" i="4"/>
  <c r="M16" i="4"/>
  <c r="K38" i="4"/>
  <c r="M47" i="4"/>
  <c r="C53" i="4"/>
  <c r="G55" i="4"/>
  <c r="K57" i="4"/>
  <c r="O59" i="4"/>
  <c r="E62" i="4"/>
  <c r="I64" i="4"/>
  <c r="M66" i="4"/>
  <c r="C69" i="4"/>
  <c r="O17" i="4"/>
  <c r="K36" i="4"/>
  <c r="E41" i="4"/>
  <c r="M45" i="4"/>
  <c r="G50" i="4"/>
  <c r="J52" i="4"/>
  <c r="L53" i="4"/>
  <c r="N54" i="4"/>
  <c r="B56" i="4"/>
  <c r="D57" i="4"/>
  <c r="F58" i="4"/>
  <c r="H59" i="4"/>
  <c r="J60" i="4"/>
  <c r="L61" i="4"/>
  <c r="N62" i="4"/>
  <c r="B64" i="4"/>
  <c r="D65" i="4"/>
  <c r="F66" i="4"/>
  <c r="H67" i="4"/>
  <c r="J68" i="4"/>
  <c r="L69" i="4"/>
  <c r="N70" i="4"/>
  <c r="E28" i="4"/>
  <c r="O36" i="4"/>
  <c r="I41" i="4"/>
  <c r="C46" i="4"/>
  <c r="K50" i="4"/>
  <c r="K52" i="4"/>
  <c r="M53" i="4"/>
  <c r="O54" i="4"/>
  <c r="C56" i="4"/>
  <c r="E57" i="4"/>
  <c r="G58" i="4"/>
  <c r="I59" i="4"/>
  <c r="K60" i="4"/>
  <c r="M61" i="4"/>
  <c r="O62" i="4"/>
  <c r="C64" i="4"/>
  <c r="E65" i="4"/>
  <c r="G66" i="4"/>
  <c r="I67" i="4"/>
  <c r="D70" i="4"/>
  <c r="L71" i="4"/>
  <c r="N72" i="4"/>
  <c r="B74" i="4"/>
  <c r="D75" i="4"/>
  <c r="F76" i="4"/>
  <c r="H77" i="4"/>
  <c r="J78" i="4"/>
  <c r="L79" i="4"/>
  <c r="N80" i="4"/>
  <c r="B82" i="4"/>
  <c r="D83" i="4"/>
  <c r="F84" i="4"/>
  <c r="H85" i="4"/>
  <c r="G68" i="4"/>
  <c r="E71" i="4"/>
  <c r="G72" i="4"/>
  <c r="I73" i="4"/>
  <c r="K74" i="4"/>
  <c r="M75" i="4"/>
  <c r="O76" i="4"/>
  <c r="C78" i="4"/>
  <c r="E79" i="4"/>
  <c r="G80" i="4"/>
  <c r="I81" i="4"/>
  <c r="K82" i="4"/>
  <c r="M83" i="4"/>
  <c r="O84" i="4"/>
  <c r="C86" i="4"/>
  <c r="H70" i="4"/>
  <c r="N71" i="4"/>
  <c r="B73" i="4"/>
  <c r="D74" i="4"/>
  <c r="F75" i="4"/>
  <c r="H76" i="4"/>
  <c r="J77" i="4"/>
  <c r="L78" i="4"/>
  <c r="N79" i="4"/>
  <c r="B81" i="4"/>
  <c r="D82" i="4"/>
  <c r="F83" i="4"/>
  <c r="H84" i="4"/>
  <c r="J85" i="4"/>
  <c r="L86" i="4"/>
  <c r="N87" i="4"/>
  <c r="B89" i="4"/>
  <c r="D90" i="4"/>
  <c r="F91" i="4"/>
  <c r="H92" i="4"/>
  <c r="J93" i="4"/>
  <c r="O68" i="4"/>
  <c r="G71" i="4"/>
  <c r="I72" i="4"/>
  <c r="K73" i="4"/>
  <c r="M74" i="4"/>
  <c r="O75" i="4"/>
  <c r="C77" i="4"/>
  <c r="E78" i="4"/>
  <c r="G79" i="4"/>
  <c r="I80" i="4"/>
  <c r="K81" i="4"/>
  <c r="M82" i="4"/>
  <c r="O83" i="4"/>
  <c r="C85" i="4"/>
  <c r="E86" i="4"/>
  <c r="G87" i="4"/>
  <c r="I88" i="4"/>
  <c r="K89" i="4"/>
  <c r="M90" i="4"/>
  <c r="O91" i="4"/>
  <c r="C93" i="4"/>
  <c r="E94" i="4"/>
  <c r="F88" i="4"/>
  <c r="J90" i="4"/>
  <c r="N92" i="4"/>
  <c r="M94" i="4"/>
  <c r="O95" i="4"/>
  <c r="C97" i="4"/>
  <c r="E98" i="4"/>
  <c r="G99" i="4"/>
  <c r="I100" i="4"/>
  <c r="K101" i="4"/>
  <c r="L68" i="4"/>
  <c r="O25" i="4"/>
  <c r="O40" i="4"/>
  <c r="C50" i="4"/>
  <c r="K53" i="4"/>
  <c r="O55" i="4"/>
  <c r="E58" i="4"/>
  <c r="I60" i="4"/>
  <c r="M62" i="4"/>
  <c r="C65" i="4"/>
  <c r="G67" i="4"/>
  <c r="K69" i="4"/>
  <c r="C27" i="4"/>
  <c r="M37" i="4"/>
  <c r="G42" i="4"/>
  <c r="O46" i="4"/>
  <c r="F51" i="4"/>
  <c r="N52" i="4"/>
  <c r="B54" i="4"/>
  <c r="D55" i="4"/>
  <c r="F56" i="4"/>
  <c r="H57" i="4"/>
  <c r="J58" i="4"/>
  <c r="L59" i="4"/>
  <c r="N60" i="4"/>
  <c r="B62" i="4"/>
  <c r="D63" i="4"/>
  <c r="F64" i="4"/>
  <c r="H65" i="4"/>
  <c r="J66" i="4"/>
  <c r="L67" i="4"/>
  <c r="N68" i="4"/>
  <c r="B70" i="4"/>
  <c r="I14" i="4"/>
  <c r="M32" i="4"/>
  <c r="C38" i="4"/>
  <c r="K42" i="4"/>
  <c r="E47" i="4"/>
  <c r="I51" i="4"/>
  <c r="O52" i="4"/>
  <c r="C54" i="4"/>
  <c r="E55" i="4"/>
  <c r="G56" i="4"/>
  <c r="I57" i="4"/>
  <c r="K58" i="4"/>
  <c r="M59" i="4"/>
  <c r="O60" i="4"/>
  <c r="C62" i="4"/>
  <c r="E63" i="4"/>
  <c r="G64" i="4"/>
  <c r="I65" i="4"/>
  <c r="K66" i="4"/>
  <c r="M67" i="4"/>
  <c r="L70" i="4"/>
  <c r="B72" i="4"/>
  <c r="D73" i="4"/>
  <c r="F74" i="4"/>
  <c r="H75" i="4"/>
  <c r="J76" i="4"/>
  <c r="L77" i="4"/>
  <c r="N78" i="4"/>
  <c r="B80" i="4"/>
  <c r="D81" i="4"/>
  <c r="F82" i="4"/>
  <c r="H83" i="4"/>
  <c r="J84" i="4"/>
  <c r="L85" i="4"/>
  <c r="I69" i="4"/>
  <c r="I71" i="4"/>
  <c r="K72" i="4"/>
  <c r="M73" i="4"/>
  <c r="O74" i="4"/>
  <c r="C76" i="4"/>
  <c r="E77" i="4"/>
  <c r="G78" i="4"/>
  <c r="I79" i="4"/>
  <c r="K80" i="4"/>
  <c r="M81" i="4"/>
  <c r="O82" i="4"/>
  <c r="C84" i="4"/>
  <c r="E85" i="4"/>
  <c r="G86" i="4"/>
  <c r="B71" i="4"/>
  <c r="D72" i="4"/>
  <c r="F73" i="4"/>
  <c r="H74" i="4"/>
  <c r="J75" i="4"/>
  <c r="L76" i="4"/>
  <c r="N77" i="4"/>
  <c r="B79" i="4"/>
  <c r="D80" i="4"/>
  <c r="F81" i="4"/>
  <c r="H82" i="4"/>
  <c r="J83" i="4"/>
  <c r="L84" i="4"/>
  <c r="N85" i="4"/>
  <c r="B87" i="4"/>
  <c r="D88" i="4"/>
  <c r="F89" i="4"/>
  <c r="H90" i="4"/>
  <c r="J91" i="4"/>
  <c r="L92" i="4"/>
  <c r="N93" i="4"/>
  <c r="C70" i="4"/>
  <c r="K71" i="4"/>
  <c r="M72" i="4"/>
  <c r="O73" i="4"/>
  <c r="C75" i="4"/>
  <c r="E76" i="4"/>
  <c r="G77" i="4"/>
  <c r="I78" i="4"/>
  <c r="K79" i="4"/>
  <c r="M80" i="4"/>
  <c r="O81" i="4"/>
  <c r="C83" i="4"/>
  <c r="E84" i="4"/>
  <c r="G85" i="4"/>
  <c r="I86" i="4"/>
  <c r="K87" i="4"/>
  <c r="M88" i="4"/>
  <c r="O89" i="4"/>
  <c r="C91" i="4"/>
  <c r="E92" i="4"/>
  <c r="G93" i="4"/>
  <c r="J86" i="4"/>
  <c r="N88" i="4"/>
  <c r="D91" i="4"/>
  <c r="H93" i="4"/>
  <c r="C95" i="4"/>
  <c r="E96" i="4"/>
  <c r="G97" i="4"/>
  <c r="I98" i="4"/>
  <c r="K99" i="4"/>
  <c r="M100" i="4"/>
  <c r="O101" i="4"/>
  <c r="C103" i="4"/>
  <c r="E104" i="4"/>
  <c r="G105" i="4"/>
  <c r="I106" i="4"/>
  <c r="K107" i="4"/>
  <c r="M108" i="4"/>
  <c r="G88" i="4"/>
  <c r="K90" i="4"/>
  <c r="O92" i="4"/>
  <c r="N94" i="4"/>
  <c r="B96" i="4"/>
  <c r="D97" i="4"/>
  <c r="F98" i="4"/>
  <c r="H99" i="4"/>
  <c r="J100" i="4"/>
  <c r="L101" i="4"/>
  <c r="N102" i="4"/>
  <c r="B104" i="4"/>
  <c r="D105" i="4"/>
  <c r="F106" i="4"/>
  <c r="H107" i="4"/>
  <c r="J108" i="4"/>
  <c r="B88" i="4"/>
  <c r="F90" i="4"/>
  <c r="J92" i="4"/>
  <c r="K94" i="4"/>
  <c r="M95" i="4"/>
  <c r="O96" i="4"/>
  <c r="C98" i="4"/>
  <c r="E99" i="4"/>
  <c r="G100" i="4"/>
  <c r="I101" i="4"/>
  <c r="K102" i="4"/>
  <c r="M103" i="4"/>
  <c r="O104" i="4"/>
  <c r="C106" i="4"/>
  <c r="F69" i="4"/>
  <c r="O33" i="4"/>
  <c r="E43" i="4"/>
  <c r="M51" i="4"/>
  <c r="E54" i="4"/>
  <c r="I56" i="4"/>
  <c r="M58" i="4"/>
  <c r="C61" i="4"/>
  <c r="G63" i="4"/>
  <c r="K65" i="4"/>
  <c r="O67" i="4"/>
  <c r="E70" i="4"/>
  <c r="G34" i="4"/>
  <c r="O38" i="4"/>
  <c r="I43" i="4"/>
  <c r="C48" i="4"/>
  <c r="N51" i="4"/>
  <c r="D53" i="4"/>
  <c r="F54" i="4"/>
  <c r="H55" i="4"/>
  <c r="J56" i="4"/>
  <c r="L57" i="4"/>
  <c r="N58" i="4"/>
  <c r="B60" i="4"/>
  <c r="D61" i="4"/>
  <c r="F62" i="4"/>
  <c r="J64" i="4"/>
  <c r="L65" i="4"/>
  <c r="N66" i="4"/>
  <c r="B68" i="4"/>
  <c r="D69" i="4"/>
  <c r="F70" i="4"/>
  <c r="C19" i="4"/>
  <c r="K34" i="4"/>
  <c r="E39" i="4"/>
  <c r="M43" i="4"/>
  <c r="G48" i="4"/>
  <c r="C52" i="4"/>
  <c r="E53" i="4"/>
  <c r="G54" i="4"/>
  <c r="I55" i="4"/>
  <c r="K56" i="4"/>
  <c r="M57" i="4"/>
  <c r="O58" i="4"/>
  <c r="C60" i="4"/>
  <c r="E61" i="4"/>
  <c r="G62" i="4"/>
  <c r="I63" i="4"/>
  <c r="K64" i="4"/>
  <c r="M65" i="4"/>
  <c r="O66" i="4"/>
  <c r="C68" i="4"/>
  <c r="D71" i="4"/>
  <c r="F72" i="4"/>
  <c r="H73" i="4"/>
  <c r="J74" i="4"/>
  <c r="L75" i="4"/>
  <c r="N76" i="4"/>
  <c r="B78" i="4"/>
  <c r="D79" i="4"/>
  <c r="F80" i="4"/>
  <c r="H81" i="4"/>
  <c r="J82" i="4"/>
  <c r="L83" i="4"/>
  <c r="N84" i="4"/>
  <c r="B86" i="4"/>
  <c r="G70" i="4"/>
  <c r="M71" i="4"/>
  <c r="O72" i="4"/>
  <c r="C74" i="4"/>
  <c r="E75" i="4"/>
  <c r="G76" i="4"/>
  <c r="I77" i="4"/>
  <c r="K78" i="4"/>
  <c r="M79" i="4"/>
  <c r="O80" i="4"/>
  <c r="C82" i="4"/>
  <c r="E83" i="4"/>
  <c r="G84" i="4"/>
  <c r="I85" i="4"/>
  <c r="K68" i="4"/>
  <c r="F71" i="4"/>
  <c r="H72" i="4"/>
  <c r="J73" i="4"/>
  <c r="L74" i="4"/>
  <c r="N75" i="4"/>
  <c r="B77" i="4"/>
  <c r="D78" i="4"/>
  <c r="F79" i="4"/>
  <c r="H80" i="4"/>
  <c r="J81" i="4"/>
  <c r="L82" i="4"/>
  <c r="N83" i="4"/>
  <c r="B85" i="4"/>
  <c r="D86" i="4"/>
  <c r="F87" i="4"/>
  <c r="H88" i="4"/>
  <c r="J89" i="4"/>
  <c r="L90" i="4"/>
  <c r="N91" i="4"/>
  <c r="B93" i="4"/>
  <c r="D94" i="4"/>
  <c r="K70" i="4"/>
  <c r="O71" i="4"/>
  <c r="C73" i="4"/>
  <c r="E74" i="4"/>
  <c r="G75" i="4"/>
  <c r="I76" i="4"/>
  <c r="K77" i="4"/>
  <c r="M78" i="4"/>
  <c r="O79" i="4"/>
  <c r="C81" i="4"/>
  <c r="E82" i="4"/>
  <c r="G83" i="4"/>
  <c r="I84" i="4"/>
  <c r="K85" i="4"/>
  <c r="M86" i="4"/>
  <c r="O87" i="4"/>
  <c r="C89" i="4"/>
  <c r="E90" i="4"/>
  <c r="G91" i="4"/>
  <c r="I92" i="4"/>
  <c r="K93" i="4"/>
  <c r="D87" i="4"/>
  <c r="H89" i="4"/>
  <c r="L91" i="4"/>
  <c r="B94" i="4"/>
  <c r="G95" i="4"/>
  <c r="I96" i="4"/>
  <c r="K97" i="4"/>
  <c r="M98" i="4"/>
  <c r="O99" i="4"/>
  <c r="C101" i="4"/>
  <c r="E102" i="4"/>
  <c r="N69" i="4"/>
  <c r="G36" i="4"/>
  <c r="I45" i="4"/>
  <c r="I52" i="4"/>
  <c r="M54" i="4"/>
  <c r="C57" i="4"/>
  <c r="G59" i="4"/>
  <c r="K61" i="4"/>
  <c r="O63" i="4"/>
  <c r="E66" i="4"/>
  <c r="I68" i="4"/>
  <c r="M70" i="4"/>
  <c r="I35" i="4"/>
  <c r="C40" i="4"/>
  <c r="K44" i="4"/>
  <c r="E49" i="4"/>
  <c r="F52" i="4"/>
  <c r="H53" i="4"/>
  <c r="J54" i="4"/>
  <c r="L55" i="4"/>
  <c r="N56" i="4"/>
  <c r="B58" i="4"/>
  <c r="D59" i="4"/>
  <c r="F60" i="4"/>
  <c r="H61" i="4"/>
  <c r="J62" i="4"/>
  <c r="L63" i="4"/>
  <c r="N64" i="4"/>
  <c r="B66" i="4"/>
  <c r="D67" i="4"/>
  <c r="F68" i="4"/>
  <c r="H69" i="4"/>
  <c r="J70" i="4"/>
  <c r="K23" i="4"/>
  <c r="M35" i="4"/>
  <c r="G40" i="4"/>
  <c r="O44" i="4"/>
  <c r="I49" i="4"/>
  <c r="G52" i="4"/>
  <c r="I53" i="4"/>
  <c r="K54" i="4"/>
  <c r="M55" i="4"/>
  <c r="O56" i="4"/>
  <c r="C58" i="4"/>
  <c r="E59" i="4"/>
  <c r="G60" i="4"/>
  <c r="I61" i="4"/>
  <c r="K62" i="4"/>
  <c r="M63" i="4"/>
  <c r="O64" i="4"/>
  <c r="C66" i="4"/>
  <c r="E67" i="4"/>
  <c r="E69" i="4"/>
  <c r="H71" i="4"/>
  <c r="J72" i="4"/>
  <c r="L73" i="4"/>
  <c r="N74" i="4"/>
  <c r="B76" i="4"/>
  <c r="D77" i="4"/>
  <c r="F78" i="4"/>
  <c r="H79" i="4"/>
  <c r="J80" i="4"/>
  <c r="L81" i="4"/>
  <c r="N82" i="4"/>
  <c r="B84" i="4"/>
  <c r="D85" i="4"/>
  <c r="F86" i="4"/>
  <c r="O70" i="4"/>
  <c r="C72" i="4"/>
  <c r="E73" i="4"/>
  <c r="G74" i="4"/>
  <c r="I75" i="4"/>
  <c r="K76" i="4"/>
  <c r="M77" i="4"/>
  <c r="O78" i="4"/>
  <c r="C80" i="4"/>
  <c r="E81" i="4"/>
  <c r="G82" i="4"/>
  <c r="I83" i="4"/>
  <c r="K84" i="4"/>
  <c r="M85" i="4"/>
  <c r="M69" i="4"/>
  <c r="J71" i="4"/>
  <c r="L72" i="4"/>
  <c r="N73" i="4"/>
  <c r="B75" i="4"/>
  <c r="D76" i="4"/>
  <c r="F77" i="4"/>
  <c r="H78" i="4"/>
  <c r="J79" i="4"/>
  <c r="L80" i="4"/>
  <c r="N81" i="4"/>
  <c r="B83" i="4"/>
  <c r="D84" i="4"/>
  <c r="F85" i="4"/>
  <c r="H86" i="4"/>
  <c r="J87" i="4"/>
  <c r="L88" i="4"/>
  <c r="N89" i="4"/>
  <c r="B91" i="4"/>
  <c r="D92" i="4"/>
  <c r="F93" i="4"/>
  <c r="H94" i="4"/>
  <c r="C71" i="4"/>
  <c r="E72" i="4"/>
  <c r="G73" i="4"/>
  <c r="I74" i="4"/>
  <c r="K75" i="4"/>
  <c r="M76" i="4"/>
  <c r="O77" i="4"/>
  <c r="C79" i="4"/>
  <c r="E80" i="4"/>
  <c r="G81" i="4"/>
  <c r="I82" i="4"/>
  <c r="K83" i="4"/>
  <c r="M84" i="4"/>
  <c r="O85" i="4"/>
  <c r="C87" i="4"/>
  <c r="E88" i="4"/>
  <c r="G89" i="4"/>
  <c r="I90" i="4"/>
  <c r="K91" i="4"/>
  <c r="M92" i="4"/>
  <c r="O93" i="4"/>
  <c r="L87" i="4"/>
  <c r="B90" i="4"/>
  <c r="F92" i="4"/>
  <c r="I94" i="4"/>
  <c r="K95" i="4"/>
  <c r="M96" i="4"/>
  <c r="O97" i="4"/>
  <c r="C99" i="4"/>
  <c r="E100" i="4"/>
  <c r="G101" i="4"/>
  <c r="I102" i="4"/>
  <c r="K103" i="4"/>
  <c r="M104" i="4"/>
  <c r="O105" i="4"/>
  <c r="C107" i="4"/>
  <c r="E108" i="4"/>
  <c r="E87" i="4"/>
  <c r="I89" i="4"/>
  <c r="M91" i="4"/>
  <c r="C94" i="4"/>
  <c r="H95" i="4"/>
  <c r="J96" i="4"/>
  <c r="L97" i="4"/>
  <c r="N98" i="4"/>
  <c r="B100" i="4"/>
  <c r="D101" i="4"/>
  <c r="F102" i="4"/>
  <c r="H103" i="4"/>
  <c r="J104" i="4"/>
  <c r="L105" i="4"/>
  <c r="N106" i="4"/>
  <c r="B108" i="4"/>
  <c r="N86" i="4"/>
  <c r="D89" i="4"/>
  <c r="H91" i="4"/>
  <c r="L93" i="4"/>
  <c r="E95" i="4"/>
  <c r="G96" i="4"/>
  <c r="I97" i="4"/>
  <c r="K98" i="4"/>
  <c r="M99" i="4"/>
  <c r="O100" i="4"/>
  <c r="C102" i="4"/>
  <c r="E103" i="4"/>
  <c r="G104" i="4"/>
  <c r="I105" i="4"/>
  <c r="N107" i="4"/>
  <c r="L106" i="4"/>
  <c r="J105" i="4"/>
  <c r="H104" i="4"/>
  <c r="F103" i="4"/>
  <c r="D102" i="4"/>
  <c r="B101" i="4"/>
  <c r="N99" i="4"/>
  <c r="L98" i="4"/>
  <c r="J97" i="4"/>
  <c r="H96" i="4"/>
  <c r="F95" i="4"/>
  <c r="M93" i="4"/>
  <c r="I91" i="4"/>
  <c r="E89" i="4"/>
  <c r="O86" i="4"/>
  <c r="C108" i="4"/>
  <c r="O106" i="4"/>
  <c r="E105" i="4"/>
  <c r="O102" i="4"/>
  <c r="K100" i="4"/>
  <c r="G98" i="4"/>
  <c r="C96" i="4"/>
  <c r="D93" i="4"/>
  <c r="J88" i="4"/>
  <c r="L107" i="4"/>
  <c r="H105" i="4"/>
  <c r="D103" i="4"/>
  <c r="N100" i="4"/>
  <c r="J98" i="4"/>
  <c r="F96" i="4"/>
  <c r="I93" i="4"/>
  <c r="O88" i="4"/>
  <c r="O107" i="4"/>
  <c r="K105" i="4"/>
  <c r="G103" i="4"/>
  <c r="L108" i="4"/>
  <c r="H106" i="4"/>
  <c r="D104" i="4"/>
  <c r="N101" i="4"/>
  <c r="J99" i="4"/>
  <c r="F97" i="4"/>
  <c r="B95" i="4"/>
  <c r="O90" i="4"/>
  <c r="O108" i="4"/>
  <c r="K106" i="4"/>
  <c r="K104" i="4"/>
  <c r="G102" i="4"/>
  <c r="C100" i="4"/>
  <c r="M97" i="4"/>
  <c r="I95" i="4"/>
  <c r="B92" i="4"/>
  <c r="H87" i="4"/>
  <c r="D107" i="4"/>
  <c r="N104" i="4"/>
  <c r="J102" i="4"/>
  <c r="F100" i="4"/>
  <c r="B98" i="4"/>
  <c r="L95" i="4"/>
  <c r="G92" i="4"/>
  <c r="G107" i="4"/>
  <c r="C105" i="4"/>
  <c r="M102" i="4"/>
  <c r="C90" i="4" l="1"/>
  <c r="I103" i="4"/>
  <c r="I99" i="4"/>
  <c r="N96" i="4"/>
  <c r="I87" i="4"/>
  <c r="N95" i="4"/>
  <c r="H101" i="4"/>
  <c r="N105" i="4"/>
  <c r="N103" i="4"/>
  <c r="E106" i="4"/>
  <c r="B106" i="4"/>
  <c r="F104" i="4"/>
  <c r="I104" i="4"/>
  <c r="C104" i="4"/>
  <c r="B105" i="4"/>
  <c r="H97" i="4"/>
  <c r="G90" i="4"/>
  <c r="K88" i="4"/>
  <c r="L99" i="4"/>
  <c r="K92" i="4"/>
  <c r="E93" i="4"/>
  <c r="B102" i="4"/>
  <c r="L94" i="4"/>
  <c r="H98" i="4"/>
  <c r="J101" i="4"/>
  <c r="C9" i="4"/>
  <c r="F108" i="4"/>
  <c r="C92" i="4"/>
  <c r="M106" i="4"/>
  <c r="J106" i="4"/>
  <c r="G106" i="4"/>
  <c r="B97" i="4"/>
  <c r="D106" i="4"/>
  <c r="L100" i="4"/>
  <c r="L89" i="4"/>
  <c r="J95" i="4"/>
  <c r="K86" i="4"/>
  <c r="N108" i="4"/>
  <c r="I107" i="4"/>
  <c r="D98" i="4"/>
  <c r="F107" i="4"/>
  <c r="B103" i="4"/>
  <c r="F94" i="4"/>
  <c r="N97" i="4"/>
  <c r="E91" i="4"/>
  <c r="N90" i="4"/>
  <c r="K108" i="4"/>
  <c r="F99" i="4"/>
  <c r="H108" i="4"/>
  <c r="F105" i="4"/>
  <c r="K96" i="4"/>
  <c r="D100" i="4"/>
  <c r="D95" i="4"/>
  <c r="O94" i="4"/>
  <c r="C88" i="4"/>
  <c r="H100" i="4"/>
  <c r="M107" i="4"/>
  <c r="D96" i="4"/>
  <c r="H9" i="4"/>
  <c r="F9" i="4"/>
  <c r="O9" i="4"/>
  <c r="N9" i="4"/>
  <c r="J107" i="4"/>
  <c r="B9" i="4"/>
  <c r="M87" i="4"/>
  <c r="K9" i="4"/>
  <c r="L9" i="4"/>
  <c r="J9" i="4"/>
  <c r="E9" i="4"/>
  <c r="I9" i="4"/>
  <c r="D9" i="4"/>
  <c r="O103" i="4"/>
  <c r="O24" i="4"/>
  <c r="O23" i="4"/>
  <c r="H63" i="4"/>
  <c r="A2" i="16"/>
</calcChain>
</file>

<file path=xl/sharedStrings.xml><?xml version="1.0" encoding="utf-8"?>
<sst xmlns="http://schemas.openxmlformats.org/spreadsheetml/2006/main" count="57" uniqueCount="57">
  <si>
    <t>name</t>
  </si>
  <si>
    <t>ID</t>
  </si>
  <si>
    <t>Derivative of:</t>
  </si>
  <si>
    <t>Name:</t>
  </si>
  <si>
    <t>Date of synthesis:</t>
  </si>
  <si>
    <t>Source:</t>
  </si>
  <si>
    <t>Material type:</t>
  </si>
  <si>
    <t>Location:</t>
  </si>
  <si>
    <t>Procedure/DOI:</t>
  </si>
  <si>
    <t>Eguipment:</t>
  </si>
  <si>
    <t>Volume, ml:</t>
  </si>
  <si>
    <t>Temperature, st.C:</t>
  </si>
  <si>
    <t>Synthesis time, h</t>
  </si>
  <si>
    <t>Notes:</t>
  </si>
  <si>
    <t>Substrates:</t>
  </si>
  <si>
    <t>&lt;-search</t>
  </si>
  <si>
    <t>Tree</t>
  </si>
  <si>
    <t>derived_from</t>
  </si>
  <si>
    <t>synth_date</t>
  </si>
  <si>
    <t>reference</t>
  </si>
  <si>
    <t>materials type</t>
  </si>
  <si>
    <t>location</t>
  </si>
  <si>
    <t>recipe</t>
  </si>
  <si>
    <t>equipment</t>
  </si>
  <si>
    <t>volume, ml</t>
  </si>
  <si>
    <t>temperature, deg.C</t>
  </si>
  <si>
    <t>notes</t>
  </si>
  <si>
    <t>ingredients</t>
  </si>
  <si>
    <t>13/12/2019</t>
  </si>
  <si>
    <t>bartoszmarszalek.com</t>
  </si>
  <si>
    <t>software</t>
  </si>
  <si>
    <t>a little bit of VBA for Excel</t>
  </si>
  <si>
    <t>my PC</t>
  </si>
  <si>
    <t>time, h</t>
  </si>
  <si>
    <t>time and understanding of what people in the lab need</t>
  </si>
  <si>
    <t>LabNotebook</t>
  </si>
  <si>
    <t>Rank</t>
  </si>
  <si>
    <t>ID_times_shown</t>
  </si>
  <si>
    <t>name_times_shown</t>
  </si>
  <si>
    <t>derived_from_times_shown</t>
  </si>
  <si>
    <t>synth_date_times_shown</t>
  </si>
  <si>
    <t>reference_times_shown</t>
  </si>
  <si>
    <t>type_times_shown</t>
  </si>
  <si>
    <t>location_times_shown</t>
  </si>
  <si>
    <t>recipe_times_shown</t>
  </si>
  <si>
    <t>equipment_times_shown</t>
  </si>
  <si>
    <t>volume_times_shown</t>
  </si>
  <si>
    <t>temperature_times_shown</t>
  </si>
  <si>
    <t>time_times_shown</t>
  </si>
  <si>
    <t>notes_times_shown</t>
  </si>
  <si>
    <t>ingredients_times_shown</t>
  </si>
  <si>
    <t>The LabNotebook is made for people who need to keep track of their samples._x000D_
People do understand and use Excel in the lab, so there is no need to install additional software if you share it in a folder such as Dropbox.</t>
  </si>
  <si>
    <t>github.com/bartoszmarszalek/LabNotebookInExcel</t>
  </si>
  <si>
    <t>ID number:</t>
  </si>
  <si>
    <t>Search rank:</t>
  </si>
  <si>
    <t>CTRL+Q - to turn on the form (to properly add, view and edit samples)</t>
  </si>
  <si>
    <t>you can add more lines here if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</si>
</sst>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b0000"/>
    <numFmt numFmtId="165" formatCode="yyyy\-mm\-dd;@"/>
  </numFmts>
  <fonts count="1">
    <font>
      <sz val="11"/>
      <color theme="1"/>
      <name val="Czcionka tekstu podstawowego"/>
      <family val="2"/>
      <charset val="23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Border="1"/>
    <xf numFmtId="0" fontId="0" fillId="0" borderId="1" xfId="0" applyBorder="1" applyAlignment="1">
      <alignment horizontal="left" vertical="top" wrapText="1"/>
    </xf>
    <xf numFmtId="164" fontId="0" fillId="0" borderId="0" xfId="0" applyNumberFormat="1" applyAlignment="1">
      <alignment horizontal="left" vertical="top"/>
    </xf>
    <xf numFmtId="164" fontId="0" fillId="0" borderId="1" xfId="0" applyNumberFormat="1" applyBorder="1" applyAlignment="1">
      <alignment horizontal="left" vertical="top" wrapText="1"/>
    </xf>
    <xf numFmtId="165" fontId="0" fillId="0" borderId="1" xfId="0" applyNumberFormat="1" applyBorder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mples"/>
  <dimension ref="A1:O2"/>
  <sheetViews>
    <sheetView tabSelected="1" workbookViewId="0">
      <selection activeCell="C1" sqref="C1"/>
    </sheetView>
  </sheetViews>
  <sheetFormatPr defaultRowHeight="13.8"/>
  <cols>
    <col min="5" max="5" width="10.09765625" bestFit="1" customWidth="1"/>
  </cols>
  <sheetData>
    <row r="1" spans="1:15">
      <c r="A1" t="s">
        <v>16</v>
      </c>
      <c r="B1" s="1" t="s">
        <v>1</v>
      </c>
      <c r="C1" s="1" t="s">
        <v>0</v>
      </c>
      <c r="D1" s="1" t="s">
        <v>17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25</v>
      </c>
      <c r="M1" s="1" t="s">
        <v>33</v>
      </c>
      <c r="N1" s="1" t="s">
        <v>26</v>
      </c>
      <c r="O1" s="1" t="s">
        <v>27</v>
      </c>
    </row>
    <row r="2" spans="1:15" ht="386.4">
      <c r="A2">
        <f>RANK(D2,D$2:D2,1)+COUNTIF(D$1:D1,D2)</f>
        <v>1</v>
      </c>
      <c r="B2" s="4">
        <v>1</v>
      </c>
      <c r="C2" s="1" t="s">
        <v>35</v>
      </c>
      <c r="D2" s="4">
        <v>1</v>
      </c>
      <c r="E2" s="7" t="s">
        <v>28</v>
      </c>
      <c r="F2" s="1" t="s">
        <v>29</v>
      </c>
      <c r="G2" s="1" t="s">
        <v>30</v>
      </c>
      <c r="H2" s="1" t="s">
        <v>52</v>
      </c>
      <c r="I2" s="1" t="s">
        <v>31</v>
      </c>
      <c r="J2" s="1" t="s">
        <v>32</v>
      </c>
      <c r="K2" s="1">
        <v>0</v>
      </c>
      <c r="L2" s="1">
        <v>36.6</v>
      </c>
      <c r="M2" s="1">
        <v>40</v>
      </c>
      <c r="N2" s="8" t="s">
        <v>51</v>
      </c>
      <c r="O2" s="1" t="s">
        <v>34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arch"/>
  <dimension ref="A1:O109"/>
  <sheetViews>
    <sheetView zoomScale="92" zoomScaleNormal="92" workbookViewId="0">
      <selection activeCell="O110" sqref="O110"/>
    </sheetView>
  </sheetViews>
  <sheetFormatPr defaultRowHeight="13.8"/>
  <cols>
    <col min="3" max="3" width="18.69921875" customWidth="1"/>
    <col min="4" max="13" width="10" customWidth="1"/>
    <col min="14" max="14" width="31" customWidth="1"/>
    <col min="15" max="15" width="19.59765625" customWidth="1"/>
    <col min="19" max="19" width="5.5" customWidth="1"/>
  </cols>
  <sheetData>
    <row r="1" spans="1:15">
      <c r="B1" t="s">
        <v>55</v>
      </c>
    </row>
    <row r="6" spans="1:15">
      <c r="B6" s="9"/>
      <c r="C6" s="10"/>
      <c r="D6" t="s">
        <v>15</v>
      </c>
    </row>
    <row r="7" spans="1:15" ht="14.4" thickBot="1">
      <c r="B7" s="2"/>
    </row>
    <row r="8" spans="1:15" ht="70.5" customHeight="1" thickTop="1" thickBot="1">
      <c r="A8" s="3" t="s">
        <v>54</v>
      </c>
      <c r="B8" s="3" t="s">
        <v>53</v>
      </c>
      <c r="C8" s="3" t="s">
        <v>3</v>
      </c>
      <c r="D8" s="3" t="s">
        <v>2</v>
      </c>
      <c r="E8" s="3" t="s">
        <v>4</v>
      </c>
      <c r="F8" s="3" t="s">
        <v>5</v>
      </c>
      <c r="G8" s="3" t="s">
        <v>6</v>
      </c>
      <c r="H8" s="3" t="s">
        <v>7</v>
      </c>
      <c r="I8" s="3" t="s">
        <v>8</v>
      </c>
      <c r="J8" s="3" t="s">
        <v>9</v>
      </c>
      <c r="K8" s="3" t="s">
        <v>10</v>
      </c>
      <c r="L8" s="3" t="s">
        <v>11</v>
      </c>
      <c r="M8" s="3" t="s">
        <v>12</v>
      </c>
      <c r="N8" s="3" t="s">
        <v>13</v>
      </c>
      <c r="O8" s="3" t="s">
        <v>14</v>
      </c>
    </row>
    <row r="9" spans="1:15" ht="38.25" customHeight="1" thickTop="1" thickBot="1">
      <c r="A9" s="3">
        <v>1</v>
      </c>
      <c r="B9" s="5">
        <f>IFERROR(VLOOKUP(A9,search_engine!$B$2:AC1000,2,),"")</f>
        <v>1</v>
      </c>
      <c r="C9" s="3" t="str">
        <f>IFERROR(VLOOKUP(A9,search_engine!$B$2:AC1000,4,),"")</f>
        <v>LabNotebook</v>
      </c>
      <c r="D9" s="5">
        <f>IFERROR(VLOOKUP(A9,search_engine!$B$2:AC1000,6,),"")</f>
        <v>1</v>
      </c>
      <c r="E9" s="6" t="str">
        <f>IFERROR(VLOOKUP(A9,search_engine!$B$2:AC1000,8,),"")</f>
        <v>13/12/2019</v>
      </c>
      <c r="F9" s="3" t="str">
        <f>IFERROR(VLOOKUP(A9,search_engine!$B$2:AC1000,10,),"")</f>
        <v>bartoszmarszalek.com</v>
      </c>
      <c r="G9" s="3" t="str">
        <f>IFERROR(VLOOKUP(A9,search_engine!$B$2:AC1000,12,),"")</f>
        <v>software</v>
      </c>
      <c r="H9" s="3" t="str">
        <f>IFERROR(VLOOKUP(A9,search_engine!$B$2:AC1000,14,),"")</f>
        <v>github.com/bartoszmarszalek/LabNotebookInExcel</v>
      </c>
      <c r="I9" s="3" t="str">
        <f>IFERROR(VLOOKUP(A9,search_engine!$B$2:AC1000,16,),"")</f>
        <v>a little bit of VBA for Excel</v>
      </c>
      <c r="J9" s="3" t="str">
        <f>IFERROR(VLOOKUP(A9,search_engine!$B$2:AC1000,18,),"")</f>
        <v>my PC</v>
      </c>
      <c r="K9" s="3" t="str">
        <f>IFERROR(VLOOKUP(A9,search_engine!$B$2:AC1000,20,),"")</f>
        <v/>
      </c>
      <c r="L9" s="3">
        <f>IFERROR(VLOOKUP(A9,search_engine!$B$2:AC1000,22,),"")</f>
        <v>36.6</v>
      </c>
      <c r="M9" s="3">
        <f>IFERROR(VLOOKUP(A9,search_engine!$B$2:AC1000,24,),"")</f>
        <v>40</v>
      </c>
      <c r="N9" s="3" t="str">
        <f>IFERROR(VLOOKUP(A9,search_engine!$B$2:AC1000,26,),"")</f>
        <v>The LabNotebook is made for people who need to keep track of their samples._x000D_
People do understand and use Excel in the lab, so there is no need to install additional software if you share it in a folder such as Dropbox.</v>
      </c>
      <c r="O9" s="3" t="str">
        <f>IFERROR(VLOOKUP(A9,search_engine!$B$2:AC1000,28,),"")</f>
        <v>time and understanding of what people in the lab need</v>
      </c>
    </row>
    <row r="10" spans="1:15" ht="38.25" customHeight="1" thickTop="1" thickBot="1">
      <c r="A10" s="3">
        <v>2</v>
      </c>
      <c r="B10" s="5" t="str">
        <f>IFERROR(VLOOKUP(A10,search_engine!$B$2:AC1001,2,),"")</f>
        <v/>
      </c>
      <c r="C10" s="3" t="str">
        <f>IFERROR(VLOOKUP(A10,search_engine!$B$2:AC1001,4,),"")</f>
        <v/>
      </c>
      <c r="D10" s="5" t="str">
        <f>IFERROR(VLOOKUP(A10,search_engine!$B$2:AC1001,6,),"")</f>
        <v/>
      </c>
      <c r="E10" s="6" t="str">
        <f>IFERROR(VLOOKUP(A10,search_engine!$B$2:AC1001,8,),"")</f>
        <v/>
      </c>
      <c r="F10" s="3" t="str">
        <f>IFERROR(VLOOKUP(A10,search_engine!$B$2:AC1001,10,),"")</f>
        <v/>
      </c>
      <c r="G10" s="3" t="str">
        <f>IFERROR(VLOOKUP(A10,search_engine!$B$2:AC1001,12,),"")</f>
        <v/>
      </c>
      <c r="H10" s="3" t="str">
        <f>IFERROR(VLOOKUP(A10,search_engine!$B$2:AC1001,14,),"")</f>
        <v/>
      </c>
      <c r="I10" s="3" t="str">
        <f>IFERROR(VLOOKUP(A10,search_engine!$B$2:AC1001,16,),"")</f>
        <v/>
      </c>
      <c r="J10" s="3" t="str">
        <f>IFERROR(VLOOKUP(A10,search_engine!$B$2:AC1001,18,),"")</f>
        <v/>
      </c>
      <c r="K10" s="3" t="str">
        <f>IFERROR(VLOOKUP(A10,search_engine!$B$2:AC1001,20,),"")</f>
        <v/>
      </c>
      <c r="L10" s="3" t="str">
        <f>IFERROR(VLOOKUP(A10,search_engine!$B$2:AC1001,22,),"")</f>
        <v/>
      </c>
      <c r="M10" s="3" t="str">
        <f>IFERROR(VLOOKUP(A10,search_engine!$B$2:AC1001,24,),"")</f>
        <v/>
      </c>
      <c r="N10" s="3" t="str">
        <f>IFERROR(VLOOKUP(A10,search_engine!$B$2:AC1001,26,),"")</f>
        <v/>
      </c>
      <c r="O10" s="3" t="str">
        <f>IFERROR(VLOOKUP(A10,search_engine!$B$2:AC1001,28,),"")</f>
        <v/>
      </c>
    </row>
    <row r="11" spans="1:15" ht="38.25" customHeight="1" thickTop="1" thickBot="1">
      <c r="A11" s="3">
        <v>3</v>
      </c>
      <c r="B11" s="5" t="str">
        <f>IFERROR(VLOOKUP(A11,search_engine!$B$2:AC1002,2,),"")</f>
        <v/>
      </c>
      <c r="C11" s="3" t="str">
        <f>IFERROR(VLOOKUP(A11,search_engine!$B$2:AC1002,4,),"")</f>
        <v/>
      </c>
      <c r="D11" s="5" t="str">
        <f>IFERROR(VLOOKUP(A11,search_engine!$B$2:AC1002,6,),"")</f>
        <v/>
      </c>
      <c r="E11" s="6" t="str">
        <f>IFERROR(VLOOKUP(A11,search_engine!$B$2:AC1002,8,),"")</f>
        <v/>
      </c>
      <c r="F11" s="3" t="str">
        <f>IFERROR(VLOOKUP(A11,search_engine!$B$2:AC1002,10,),"")</f>
        <v/>
      </c>
      <c r="G11" s="3" t="str">
        <f>IFERROR(VLOOKUP(A11,search_engine!$B$2:AC1002,12,),"")</f>
        <v/>
      </c>
      <c r="H11" s="3" t="str">
        <f>IFERROR(VLOOKUP(A11,search_engine!$B$2:AC1002,14,),"")</f>
        <v/>
      </c>
      <c r="I11" s="3" t="str">
        <f>IFERROR(VLOOKUP(A11,search_engine!$B$2:AC1002,16,),"")</f>
        <v/>
      </c>
      <c r="J11" s="3" t="str">
        <f>IFERROR(VLOOKUP(A11,search_engine!$B$2:AC1002,18,),"")</f>
        <v/>
      </c>
      <c r="K11" s="3" t="str">
        <f>IFERROR(VLOOKUP(A11,search_engine!$B$2:AC1002,20,),"")</f>
        <v/>
      </c>
      <c r="L11" s="3" t="str">
        <f>IFERROR(VLOOKUP(A11,search_engine!$B$2:AC1002,22,),"")</f>
        <v/>
      </c>
      <c r="M11" s="3" t="str">
        <f>IFERROR(VLOOKUP(A11,search_engine!$B$2:AC1002,24,),"")</f>
        <v/>
      </c>
      <c r="N11" s="3" t="str">
        <f>IFERROR(VLOOKUP(A11,search_engine!$B$2:AC1002,26,),"")</f>
        <v/>
      </c>
      <c r="O11" s="3" t="str">
        <f>IFERROR(VLOOKUP(A11,search_engine!$B$2:AC1002,28,),"")</f>
        <v/>
      </c>
    </row>
    <row r="12" spans="1:15" ht="38.25" customHeight="1" thickTop="1" thickBot="1">
      <c r="A12" s="3">
        <v>4</v>
      </c>
      <c r="B12" s="5" t="str">
        <f>IFERROR(VLOOKUP(A12,search_engine!$B$2:AC1003,2,),"")</f>
        <v/>
      </c>
      <c r="C12" s="3" t="str">
        <f>IFERROR(VLOOKUP(A12,search_engine!$B$2:AC1003,4,),"")</f>
        <v/>
      </c>
      <c r="D12" s="5" t="str">
        <f>IFERROR(VLOOKUP(A12,search_engine!$B$2:AC1003,6,),"")</f>
        <v/>
      </c>
      <c r="E12" s="6" t="str">
        <f>IFERROR(VLOOKUP(A12,search_engine!$B$2:AC1003,8,),"")</f>
        <v/>
      </c>
      <c r="F12" s="3" t="str">
        <f>IFERROR(VLOOKUP(A12,search_engine!$B$2:AC1003,10,),"")</f>
        <v/>
      </c>
      <c r="G12" s="3" t="str">
        <f>IFERROR(VLOOKUP(A12,search_engine!$B$2:AC1003,12,),"")</f>
        <v/>
      </c>
      <c r="H12" s="3" t="str">
        <f>IFERROR(VLOOKUP(A12,search_engine!$B$2:AC1003,14,),"")</f>
        <v/>
      </c>
      <c r="I12" s="3" t="str">
        <f>IFERROR(VLOOKUP(A12,search_engine!$B$2:AC1003,16,),"")</f>
        <v/>
      </c>
      <c r="J12" s="3" t="str">
        <f>IFERROR(VLOOKUP(A12,search_engine!$B$2:AC1003,18,),"")</f>
        <v/>
      </c>
      <c r="K12" s="3" t="str">
        <f>IFERROR(VLOOKUP(A12,search_engine!$B$2:AC1003,20,),"")</f>
        <v/>
      </c>
      <c r="L12" s="3" t="str">
        <f>IFERROR(VLOOKUP(A12,search_engine!$B$2:AC1003,22,),"")</f>
        <v/>
      </c>
      <c r="M12" s="3" t="str">
        <f>IFERROR(VLOOKUP(A12,search_engine!$B$2:AC1003,24,),"")</f>
        <v/>
      </c>
      <c r="N12" s="3" t="str">
        <f>IFERROR(VLOOKUP(A12,search_engine!$B$2:AC1003,26,),"")</f>
        <v/>
      </c>
      <c r="O12" s="3" t="str">
        <f>IFERROR(VLOOKUP(A12,search_engine!$B$2:AC1003,28,),"")</f>
        <v/>
      </c>
    </row>
    <row r="13" spans="1:15" ht="38.25" customHeight="1" thickTop="1" thickBot="1">
      <c r="A13" s="3">
        <v>5</v>
      </c>
      <c r="B13" s="5" t="str">
        <f>IFERROR(VLOOKUP(A13,search_engine!$B$2:AC1004,2,),"")</f>
        <v/>
      </c>
      <c r="C13" s="3" t="str">
        <f>IFERROR(VLOOKUP(A13,search_engine!$B$2:AC1004,4,),"")</f>
        <v/>
      </c>
      <c r="D13" s="5" t="str">
        <f>IFERROR(VLOOKUP(A13,search_engine!$B$2:AC1004,6,),"")</f>
        <v/>
      </c>
      <c r="E13" s="6" t="str">
        <f>IFERROR(VLOOKUP(A13,search_engine!$B$2:AC1004,8,),"")</f>
        <v/>
      </c>
      <c r="F13" s="3" t="str">
        <f>IFERROR(VLOOKUP(A13,search_engine!$B$2:AC1004,10,),"")</f>
        <v/>
      </c>
      <c r="G13" s="3" t="str">
        <f>IFERROR(VLOOKUP(A13,search_engine!$B$2:AC1004,12,),"")</f>
        <v/>
      </c>
      <c r="H13" s="3" t="str">
        <f>IFERROR(VLOOKUP(A13,search_engine!$B$2:AC1004,14,),"")</f>
        <v/>
      </c>
      <c r="I13" s="3" t="str">
        <f>IFERROR(VLOOKUP(A13,search_engine!$B$2:AC1004,16,),"")</f>
        <v/>
      </c>
      <c r="J13" s="3" t="str">
        <f>IFERROR(VLOOKUP(A13,search_engine!$B$2:AC1004,18,),"")</f>
        <v/>
      </c>
      <c r="K13" s="3" t="str">
        <f>IFERROR(VLOOKUP(A13,search_engine!$B$2:AC1004,20,),"")</f>
        <v/>
      </c>
      <c r="L13" s="3" t="str">
        <f>IFERROR(VLOOKUP(A13,search_engine!$B$2:AC1004,22,),"")</f>
        <v/>
      </c>
      <c r="M13" s="3" t="str">
        <f>IFERROR(VLOOKUP(A13,search_engine!$B$2:AC1004,24,),"")</f>
        <v/>
      </c>
      <c r="N13" s="3" t="str">
        <f>IFERROR(VLOOKUP(A13,search_engine!$B$2:AC1004,26,),"")</f>
        <v/>
      </c>
      <c r="O13" s="3" t="str">
        <f>IFERROR(VLOOKUP(A13,search_engine!$B$2:AC1004,28,),"")</f>
        <v/>
      </c>
    </row>
    <row r="14" spans="1:15" ht="38.25" customHeight="1" thickTop="1" thickBot="1">
      <c r="A14" s="3">
        <v>6</v>
      </c>
      <c r="B14" s="5" t="str">
        <f>IFERROR(VLOOKUP(A14,search_engine!$B$2:AC1005,2,),"")</f>
        <v/>
      </c>
      <c r="C14" s="3" t="str">
        <f>IFERROR(VLOOKUP(A14,search_engine!$B$2:AC1005,4,),"")</f>
        <v/>
      </c>
      <c r="D14" s="5" t="str">
        <f>IFERROR(VLOOKUP(A14,search_engine!$B$2:AC1005,6,),"")</f>
        <v/>
      </c>
      <c r="E14" s="6" t="str">
        <f>IFERROR(VLOOKUP(A14,search_engine!$B$2:AC1005,8,),"")</f>
        <v/>
      </c>
      <c r="F14" s="3" t="str">
        <f>IFERROR(VLOOKUP(A14,search_engine!$B$2:AC1005,10,),"")</f>
        <v/>
      </c>
      <c r="G14" s="3" t="str">
        <f>IFERROR(VLOOKUP(A14,search_engine!$B$2:AC1005,12,),"")</f>
        <v/>
      </c>
      <c r="H14" s="3" t="str">
        <f>IFERROR(VLOOKUP(A14,search_engine!$B$2:AC1005,14,),"")</f>
        <v/>
      </c>
      <c r="I14" s="3" t="str">
        <f>IFERROR(VLOOKUP(A14,search_engine!$B$2:AC1005,16,),"")</f>
        <v/>
      </c>
      <c r="J14" s="3" t="str">
        <f>IFERROR(VLOOKUP(A14,search_engine!$B$2:AC1005,18,),"")</f>
        <v/>
      </c>
      <c r="K14" s="3" t="str">
        <f>IFERROR(VLOOKUP(A14,search_engine!$B$2:AC1005,20,),"")</f>
        <v/>
      </c>
      <c r="L14" s="3" t="str">
        <f>IFERROR(VLOOKUP(A14,search_engine!$B$2:AC1005,22,),"")</f>
        <v/>
      </c>
      <c r="M14" s="3" t="str">
        <f>IFERROR(VLOOKUP(A14,search_engine!$B$2:AC1005,24,),"")</f>
        <v/>
      </c>
      <c r="N14" s="3" t="str">
        <f>IFERROR(VLOOKUP(A14,search_engine!$B$2:AC1005,26,),"")</f>
        <v/>
      </c>
      <c r="O14" s="3" t="str">
        <f>IFERROR(VLOOKUP(A14,search_engine!$B$2:AC1005,28,),"")</f>
        <v/>
      </c>
    </row>
    <row r="15" spans="1:15" ht="38.25" customHeight="1" thickTop="1" thickBot="1">
      <c r="A15" s="3">
        <v>7</v>
      </c>
      <c r="B15" s="5" t="str">
        <f>IFERROR(VLOOKUP(A15,search_engine!$B$2:AC1006,2,),"")</f>
        <v/>
      </c>
      <c r="C15" s="3" t="str">
        <f>IFERROR(VLOOKUP(A15,search_engine!$B$2:AC1006,4,),"")</f>
        <v/>
      </c>
      <c r="D15" s="5" t="str">
        <f>IFERROR(VLOOKUP(A15,search_engine!$B$2:AC1006,6,),"")</f>
        <v/>
      </c>
      <c r="E15" s="6" t="str">
        <f>IFERROR(VLOOKUP(A15,search_engine!$B$2:AC1006,8,),"")</f>
        <v/>
      </c>
      <c r="F15" s="3" t="str">
        <f>IFERROR(VLOOKUP(A15,search_engine!$B$2:AC1006,10,),"")</f>
        <v/>
      </c>
      <c r="G15" s="3"/>
      <c r="H15" s="3" t="str">
        <f>IFERROR(VLOOKUP(A15,search_engine!$B$2:AC1006,14,),"")</f>
        <v/>
      </c>
      <c r="I15" s="3" t="str">
        <f>IFERROR(VLOOKUP(A15,search_engine!$B$2:AC1006,16,),"")</f>
        <v/>
      </c>
      <c r="J15" s="3" t="str">
        <f>IFERROR(VLOOKUP(A15,search_engine!$B$2:AC1006,18,),"")</f>
        <v/>
      </c>
      <c r="K15" s="3" t="str">
        <f>IFERROR(VLOOKUP(A15,search_engine!$B$2:AC1006,20,),"")</f>
        <v/>
      </c>
      <c r="L15" s="3" t="str">
        <f>IFERROR(VLOOKUP(A15,search_engine!$B$2:AC1006,22,),"")</f>
        <v/>
      </c>
      <c r="M15" s="3" t="str">
        <f>IFERROR(VLOOKUP(A15,search_engine!$B$2:AC1006,24,),"")</f>
        <v/>
      </c>
      <c r="N15" s="3" t="str">
        <f>IFERROR(VLOOKUP(A15,search_engine!$B$2:AC1006,26,),"")</f>
        <v/>
      </c>
      <c r="O15" s="3" t="str">
        <f>IFERROR(VLOOKUP(A15,search_engine!$B$2:AC1006,28,),"")</f>
        <v/>
      </c>
    </row>
    <row r="16" spans="1:15" ht="38.25" customHeight="1" thickTop="1" thickBot="1">
      <c r="A16" s="3">
        <v>8</v>
      </c>
      <c r="B16" s="5" t="str">
        <f>IFERROR(VLOOKUP(A16,search_engine!$B$2:AC1007,2,),"")</f>
        <v/>
      </c>
      <c r="C16" s="3" t="str">
        <f>IFERROR(VLOOKUP(A16,search_engine!$B$2:AC1007,4,),"")</f>
        <v/>
      </c>
      <c r="D16" s="5" t="str">
        <f>IFERROR(VLOOKUP(A16,search_engine!$B$2:AC1007,6,),"")</f>
        <v/>
      </c>
      <c r="E16" s="6" t="str">
        <f>IFERROR(VLOOKUP(A16,search_engine!$B$2:AC1007,8,),"")</f>
        <v/>
      </c>
      <c r="F16" s="3" t="str">
        <f>IFERROR(VLOOKUP(A16,search_engine!$B$2:AC1007,10,),"")</f>
        <v/>
      </c>
      <c r="G16" s="3" t="str">
        <f>IFERROR(VLOOKUP(A16,search_engine!$B$2:AC1007,12,),"")</f>
        <v/>
      </c>
      <c r="H16" s="3" t="str">
        <f>IFERROR(VLOOKUP(A16,search_engine!$B$2:AC1007,14,),"")</f>
        <v/>
      </c>
      <c r="I16" s="3" t="str">
        <f>IFERROR(VLOOKUP(A16,search_engine!$B$2:AC1007,16,),"")</f>
        <v/>
      </c>
      <c r="J16" s="3" t="str">
        <f>IFERROR(VLOOKUP(A16,search_engine!$B$2:AC1007,18,),"")</f>
        <v/>
      </c>
      <c r="K16" s="3" t="str">
        <f>IFERROR(VLOOKUP(A16,search_engine!$B$2:AC1007,20,),"")</f>
        <v/>
      </c>
      <c r="L16" s="3" t="str">
        <f>IFERROR(VLOOKUP(A16,search_engine!$B$2:AC1007,22,),"")</f>
        <v/>
      </c>
      <c r="M16" s="3" t="str">
        <f>IFERROR(VLOOKUP(A16,search_engine!$B$2:AC1007,24,),"")</f>
        <v/>
      </c>
      <c r="N16" s="3" t="str">
        <f>IFERROR(VLOOKUP(A16,search_engine!$B$2:AC1007,26,),"")</f>
        <v/>
      </c>
      <c r="O16" s="3" t="str">
        <f>IFERROR(VLOOKUP(A16,search_engine!$B$2:AC1007,28,),"")</f>
        <v/>
      </c>
    </row>
    <row r="17" spans="1:15" ht="38.25" customHeight="1" thickTop="1" thickBot="1">
      <c r="A17" s="3">
        <v>9</v>
      </c>
      <c r="B17" s="5" t="str">
        <f>IFERROR(VLOOKUP(A17,search_engine!$B$2:AC1008,2,),"")</f>
        <v/>
      </c>
      <c r="C17" s="3" t="str">
        <f>IFERROR(VLOOKUP(A17,search_engine!$B$2:AC1008,4,),"")</f>
        <v/>
      </c>
      <c r="D17" s="5" t="str">
        <f>IFERROR(VLOOKUP(A17,search_engine!$B$2:AC1008,6,),"")</f>
        <v/>
      </c>
      <c r="E17" s="6" t="str">
        <f>IFERROR(VLOOKUP(A17,search_engine!$B$2:AC1008,8,),"")</f>
        <v/>
      </c>
      <c r="F17" s="3" t="str">
        <f>IFERROR(VLOOKUP(A17,search_engine!$B$2:AC1008,10,),"")</f>
        <v/>
      </c>
      <c r="G17" s="3" t="str">
        <f>IFERROR(VLOOKUP(A17,search_engine!$B$2:AC1008,12,),"")</f>
        <v/>
      </c>
      <c r="H17" s="3" t="str">
        <f>IFERROR(VLOOKUP(A17,search_engine!$B$2:AC1008,14,),"")</f>
        <v/>
      </c>
      <c r="I17" s="3" t="str">
        <f>IFERROR(VLOOKUP(A17,search_engine!$B$2:AC1008,16,),"")</f>
        <v/>
      </c>
      <c r="J17" s="3" t="str">
        <f>IFERROR(VLOOKUP(A17,search_engine!$B$2:AC1008,18,),"")</f>
        <v/>
      </c>
      <c r="K17" s="3" t="str">
        <f>IFERROR(VLOOKUP(A17,search_engine!$B$2:AC1008,20,),"")</f>
        <v/>
      </c>
      <c r="L17" s="3" t="str">
        <f>IFERROR(VLOOKUP(A17,search_engine!$B$2:AC1008,22,),"")</f>
        <v/>
      </c>
      <c r="M17" s="3" t="str">
        <f>IFERROR(VLOOKUP(A17,search_engine!$B$2:AC1008,24,),"")</f>
        <v/>
      </c>
      <c r="N17" s="3" t="str">
        <f>IFERROR(VLOOKUP(A17,search_engine!$B$2:AC1008,26,),"")</f>
        <v/>
      </c>
      <c r="O17" s="3" t="str">
        <f>IFERROR(VLOOKUP(A17,search_engine!$B$2:AC1008,28,),"")</f>
        <v/>
      </c>
    </row>
    <row r="18" spans="1:15" ht="38.25" customHeight="1" thickTop="1" thickBot="1">
      <c r="A18" s="3">
        <v>10</v>
      </c>
      <c r="B18" s="5" t="str">
        <f>IFERROR(VLOOKUP(A18,search_engine!$B$2:AC1009,2,),"")</f>
        <v/>
      </c>
      <c r="C18" s="3" t="str">
        <f>IFERROR(VLOOKUP(A18,search_engine!$B$2:AC1009,4,),"")</f>
        <v/>
      </c>
      <c r="D18" s="5" t="str">
        <f>IFERROR(VLOOKUP(A18,search_engine!$B$2:AC1009,6,),"")</f>
        <v/>
      </c>
      <c r="E18" s="6" t="str">
        <f>IFERROR(VLOOKUP(A18,search_engine!$B$2:AC1009,8,),"")</f>
        <v/>
      </c>
      <c r="F18" s="3" t="str">
        <f>IFERROR(VLOOKUP(A18,search_engine!$B$2:AC1009,10,),"")</f>
        <v/>
      </c>
      <c r="G18" s="3" t="str">
        <f>IFERROR(VLOOKUP(A18,search_engine!$B$2:AC1009,12,),"")</f>
        <v/>
      </c>
      <c r="H18" s="3" t="str">
        <f>IFERROR(VLOOKUP(A18,search_engine!$B$2:AC1009,14,),"")</f>
        <v/>
      </c>
      <c r="I18" s="3" t="str">
        <f>IFERROR(VLOOKUP(A18,search_engine!$B$2:AC1009,16,),"")</f>
        <v/>
      </c>
      <c r="J18" s="3" t="str">
        <f>IFERROR(VLOOKUP(A18,search_engine!$B$2:AC1009,18,),"")</f>
        <v/>
      </c>
      <c r="K18" s="3" t="str">
        <f>IFERROR(VLOOKUP(A18,search_engine!$B$2:AC1009,20,),"")</f>
        <v/>
      </c>
      <c r="L18" s="3" t="str">
        <f>IFERROR(VLOOKUP(A18,search_engine!$B$2:AC1009,22,),"")</f>
        <v/>
      </c>
      <c r="M18" s="3" t="str">
        <f>IFERROR(VLOOKUP(A18,search_engine!$B$2:AC1009,24,),"")</f>
        <v/>
      </c>
      <c r="N18" s="3" t="str">
        <f>IFERROR(VLOOKUP(A18,search_engine!$B$2:AC1009,26,),"")</f>
        <v/>
      </c>
      <c r="O18" s="3" t="str">
        <f>IFERROR(VLOOKUP(A18,search_engine!$B$2:AC1009,28,),"")</f>
        <v/>
      </c>
    </row>
    <row r="19" spans="1:15" ht="38.25" customHeight="1" thickTop="1" thickBot="1">
      <c r="A19" s="3">
        <v>11</v>
      </c>
      <c r="B19" s="5" t="str">
        <f>IFERROR(VLOOKUP(A19,search_engine!$B$2:AC1010,2,),"")</f>
        <v/>
      </c>
      <c r="C19" s="3" t="str">
        <f>IFERROR(VLOOKUP(A19,search_engine!$B$2:AC1010,4,),"")</f>
        <v/>
      </c>
      <c r="D19" s="5" t="str">
        <f>IFERROR(VLOOKUP(A19,search_engine!$B$2:AC1010,6,),"")</f>
        <v/>
      </c>
      <c r="E19" s="6" t="str">
        <f>IFERROR(VLOOKUP(A19,search_engine!$B$2:AC1010,8,),"")</f>
        <v/>
      </c>
      <c r="F19" s="3" t="str">
        <f>IFERROR(VLOOKUP(A19,search_engine!$B$2:AC1010,10,),"")</f>
        <v/>
      </c>
      <c r="G19" s="3" t="str">
        <f>IFERROR(VLOOKUP(A19,search_engine!$B$2:AC1010,12,),"")</f>
        <v/>
      </c>
      <c r="H19" s="3" t="str">
        <f>IFERROR(VLOOKUP(A19,search_engine!$B$2:AC1010,14,),"")</f>
        <v/>
      </c>
      <c r="I19" s="3" t="str">
        <f>IFERROR(VLOOKUP(A19,search_engine!$B$2:AC1010,16,),"")</f>
        <v/>
      </c>
      <c r="J19" s="3" t="str">
        <f>IFERROR(VLOOKUP(A19,search_engine!$B$2:AC1010,18,),"")</f>
        <v/>
      </c>
      <c r="K19" s="3" t="str">
        <f>IFERROR(VLOOKUP(A19,search_engine!$B$2:AC1010,20,),"")</f>
        <v/>
      </c>
      <c r="L19" s="3" t="str">
        <f>IFERROR(VLOOKUP(A19,search_engine!$B$2:AC1010,22,),"")</f>
        <v/>
      </c>
      <c r="M19" s="3" t="str">
        <f>IFERROR(VLOOKUP(A19,search_engine!$B$2:AC1010,24,),"")</f>
        <v/>
      </c>
      <c r="N19" s="3" t="str">
        <f>IFERROR(VLOOKUP(A19,search_engine!$B$2:AC1010,26,),"")</f>
        <v/>
      </c>
      <c r="O19" s="3" t="str">
        <f>IFERROR(VLOOKUP(A19,search_engine!$B$2:AC1010,28,),"")</f>
        <v/>
      </c>
    </row>
    <row r="20" spans="1:15" ht="38.25" customHeight="1" thickTop="1" thickBot="1">
      <c r="A20" s="3">
        <v>12</v>
      </c>
      <c r="B20" s="5" t="str">
        <f>IFERROR(VLOOKUP(A20,search_engine!$B$2:AC1011,2,),"")</f>
        <v/>
      </c>
      <c r="C20" s="3" t="str">
        <f>IFERROR(VLOOKUP(A20,search_engine!$B$2:AC1011,4,),"")</f>
        <v/>
      </c>
      <c r="D20" s="5" t="str">
        <f>IFERROR(VLOOKUP(A20,search_engine!$B$2:AC1011,6,),"")</f>
        <v/>
      </c>
      <c r="E20" s="6" t="str">
        <f>IFERROR(VLOOKUP(A20,search_engine!$B$2:AC1011,8,),"")</f>
        <v/>
      </c>
      <c r="F20" s="3" t="str">
        <f>IFERROR(VLOOKUP(A20,search_engine!$B$2:AC1011,10,),"")</f>
        <v/>
      </c>
      <c r="G20" s="3" t="str">
        <f>IFERROR(VLOOKUP(A20,search_engine!$B$2:AC1011,12,),"")</f>
        <v/>
      </c>
      <c r="H20" s="3" t="str">
        <f>IFERROR(VLOOKUP(A20,search_engine!$B$2:AC1011,14,),"")</f>
        <v/>
      </c>
      <c r="I20" s="3" t="str">
        <f>IFERROR(VLOOKUP(A20,search_engine!$B$2:AC1011,16,),"")</f>
        <v/>
      </c>
      <c r="J20" s="3" t="str">
        <f>IFERROR(VLOOKUP(A20,search_engine!$B$2:AC1011,18,),"")</f>
        <v/>
      </c>
      <c r="K20" s="3" t="str">
        <f>IFERROR(VLOOKUP(A20,search_engine!$B$2:AC1011,20,),"")</f>
        <v/>
      </c>
      <c r="L20" s="3" t="str">
        <f>IFERROR(VLOOKUP(A20,search_engine!$B$2:AC1011,22,),"")</f>
        <v/>
      </c>
      <c r="M20" s="3" t="str">
        <f>IFERROR(VLOOKUP(A20,search_engine!$B$2:AC1011,24,),"")</f>
        <v/>
      </c>
      <c r="N20" s="3" t="str">
        <f>IFERROR(VLOOKUP(A20,search_engine!$B$2:AC1011,26,),"")</f>
        <v/>
      </c>
      <c r="O20" s="3" t="str">
        <f>IFERROR(VLOOKUP(A20,search_engine!$B$2:AC1011,28,),"")</f>
        <v/>
      </c>
    </row>
    <row r="21" spans="1:15" ht="38.25" customHeight="1" thickTop="1" thickBot="1">
      <c r="A21" s="3">
        <v>13</v>
      </c>
      <c r="B21" s="5" t="str">
        <f>IFERROR(VLOOKUP(A21,search_engine!$B$2:AC1012,2,),"")</f>
        <v/>
      </c>
      <c r="C21" s="3" t="str">
        <f>IFERROR(VLOOKUP(A21,search_engine!$B$2:AC1012,4,),"")</f>
        <v/>
      </c>
      <c r="D21" s="5" t="str">
        <f>IFERROR(VLOOKUP(A21,search_engine!$B$2:AC1012,6,),"")</f>
        <v/>
      </c>
      <c r="E21" s="6" t="str">
        <f>IFERROR(VLOOKUP(A21,search_engine!$B$2:AC1012,8,),"")</f>
        <v/>
      </c>
      <c r="F21" s="3" t="str">
        <f>IFERROR(VLOOKUP(A21,search_engine!$B$2:AC1012,10,),"")</f>
        <v/>
      </c>
      <c r="G21" s="3" t="str">
        <f>IFERROR(VLOOKUP(A21,search_engine!$B$2:AC1012,12,),"")</f>
        <v/>
      </c>
      <c r="H21" s="3" t="str">
        <f>IFERROR(VLOOKUP(A21,search_engine!$B$2:AC1012,14,),"")</f>
        <v/>
      </c>
      <c r="I21" s="3" t="str">
        <f>IFERROR(VLOOKUP(A21,search_engine!$B$2:AC1012,16,),"")</f>
        <v/>
      </c>
      <c r="J21" s="3" t="str">
        <f>IFERROR(VLOOKUP(A21,search_engine!$B$2:AC1012,18,),"")</f>
        <v/>
      </c>
      <c r="K21" s="3" t="str">
        <f>IFERROR(VLOOKUP(A21,search_engine!$B$2:AC1012,20,),"")</f>
        <v/>
      </c>
      <c r="L21" s="3" t="str">
        <f>IFERROR(VLOOKUP(A21,search_engine!$B$2:AC1012,22,),"")</f>
        <v/>
      </c>
      <c r="M21" s="3" t="str">
        <f>IFERROR(VLOOKUP(A21,search_engine!$B$2:AC1012,24,),"")</f>
        <v/>
      </c>
      <c r="N21" s="3" t="str">
        <f>IFERROR(VLOOKUP(A21,search_engine!$B$2:AC1012,26,),"")</f>
        <v/>
      </c>
      <c r="O21" s="3" t="str">
        <f>IFERROR(VLOOKUP(A21,search_engine!$B$2:AC1012,28,),"")</f>
        <v/>
      </c>
    </row>
    <row r="22" spans="1:15" ht="38.25" customHeight="1" thickTop="1" thickBot="1">
      <c r="A22" s="3">
        <v>14</v>
      </c>
      <c r="B22" s="5" t="str">
        <f>IFERROR(VLOOKUP(A22,search_engine!$B$2:AC1013,2,),"")</f>
        <v/>
      </c>
      <c r="C22" s="3" t="str">
        <f>IFERROR(VLOOKUP(A22,search_engine!$B$2:AC1013,4,),"")</f>
        <v/>
      </c>
      <c r="D22" s="5" t="str">
        <f>IFERROR(VLOOKUP(A22,search_engine!$B$2:AC1013,6,),"")</f>
        <v/>
      </c>
      <c r="E22" s="6" t="str">
        <f>IFERROR(VLOOKUP(A22,search_engine!$B$2:AC1013,8,),"")</f>
        <v/>
      </c>
      <c r="F22" s="3" t="str">
        <f>IFERROR(VLOOKUP(A22,search_engine!$B$2:AC1013,10,),"")</f>
        <v/>
      </c>
      <c r="G22" s="3" t="str">
        <f>IFERROR(VLOOKUP(A22,search_engine!$B$2:AC1013,12,),"")</f>
        <v/>
      </c>
      <c r="H22" s="3" t="str">
        <f>IFERROR(VLOOKUP(A22,search_engine!$B$2:AC1013,14,),"")</f>
        <v/>
      </c>
      <c r="I22" s="3" t="str">
        <f>IFERROR(VLOOKUP(A22,search_engine!$B$2:AC1013,16,),"")</f>
        <v/>
      </c>
      <c r="J22" s="3" t="str">
        <f>IFERROR(VLOOKUP(A22,search_engine!$B$2:AC1013,18,),"")</f>
        <v/>
      </c>
      <c r="K22" s="3" t="str">
        <f>IFERROR(VLOOKUP(A22,search_engine!$B$2:AC1013,20,),"")</f>
        <v/>
      </c>
      <c r="L22" s="3" t="str">
        <f>IFERROR(VLOOKUP(A22,search_engine!$B$2:AC1013,22,),"")</f>
        <v/>
      </c>
      <c r="M22" s="3" t="str">
        <f>IFERROR(VLOOKUP(A22,search_engine!$B$2:AC1013,24,),"")</f>
        <v/>
      </c>
      <c r="N22" s="3" t="str">
        <f>IFERROR(VLOOKUP(A22,search_engine!$B$2:AC1013,26,),"")</f>
        <v/>
      </c>
      <c r="O22" s="3" t="str">
        <f>IFERROR(VLOOKUP(A22,search_engine!$B$2:AC1013,28,),"")</f>
        <v/>
      </c>
    </row>
    <row r="23" spans="1:15" ht="38.25" customHeight="1" thickTop="1" thickBot="1">
      <c r="A23" s="3">
        <v>15</v>
      </c>
      <c r="B23" s="5" t="str">
        <f>IFERROR(VLOOKUP(A23,search_engine!$B$2:AC1014,2,),"")</f>
        <v/>
      </c>
      <c r="C23" s="3" t="str">
        <f>IFERROR(VLOOKUP(A23,search_engine!$B$2:AC1014,4,),"")</f>
        <v/>
      </c>
      <c r="D23" s="5" t="str">
        <f>IFERROR(VLOOKUP(A23,search_engine!$B$2:AC1014,6,),"")</f>
        <v/>
      </c>
      <c r="E23" s="6" t="str">
        <f>IFERROR(VLOOKUP(A23,search_engine!$B$2:AC1014,8,),"")</f>
        <v/>
      </c>
      <c r="F23" s="3" t="str">
        <f>IFERROR(VLOOKUP(A23,search_engine!$B$2:AC1014,10,),"")</f>
        <v/>
      </c>
      <c r="G23" s="3" t="str">
        <f>IFERROR(VLOOKUP(A23,search_engine!$B$2:AC1014,12,),"")</f>
        <v/>
      </c>
      <c r="H23" s="3" t="str">
        <f>IFERROR(VLOOKUP(A23,search_engine!$B$2:AC1014,14,),"")</f>
        <v/>
      </c>
      <c r="I23" s="3" t="str">
        <f>IFERROR(VLOOKUP(A23,search_engine!$B$2:AC1014,16,),"")</f>
        <v/>
      </c>
      <c r="J23" s="3" t="str">
        <f>IFERROR(VLOOKUP(A23,search_engine!$B$2:AC1014,18,),"")</f>
        <v/>
      </c>
      <c r="K23" s="3" t="str">
        <f>IFERROR(VLOOKUP(A23,search_engine!$B$2:AC1014,20,),"")</f>
        <v/>
      </c>
      <c r="L23" s="3" t="str">
        <f>IFERROR(VLOOKUP(A23,search_engine!$B$2:AC1014,22,),"")</f>
        <v/>
      </c>
      <c r="M23" s="3" t="str">
        <f>IFERROR(VLOOKUP(A23,search_engine!$B$2:AC1014,24,),"")</f>
        <v/>
      </c>
      <c r="N23" s="3" t="str">
        <f>IFERROR(VLOOKUP(A23,search_engine!$B$2:AC1014,26,),"")</f>
        <v/>
      </c>
      <c r="O23" s="3" t="str">
        <f>IFERROR(VLOOKUP(A23,search_engine!$B$2:AC1014,28,),"")</f>
        <v/>
      </c>
    </row>
    <row r="24" spans="1:15" ht="38.25" customHeight="1" thickTop="1" thickBot="1">
      <c r="A24" s="3">
        <v>16</v>
      </c>
      <c r="B24" s="5" t="str">
        <f>IFERROR(VLOOKUP(A24,search_engine!$B$2:AC1015,2,),"")</f>
        <v/>
      </c>
      <c r="C24" s="3" t="str">
        <f>IFERROR(VLOOKUP(A24,search_engine!$B$2:AC1015,4,),"")</f>
        <v/>
      </c>
      <c r="D24" s="5" t="str">
        <f>IFERROR(VLOOKUP(A24,search_engine!$B$2:AC1015,6,),"")</f>
        <v/>
      </c>
      <c r="E24" s="6" t="str">
        <f>IFERROR(VLOOKUP(A24,search_engine!$B$2:AC1015,8,),"")</f>
        <v/>
      </c>
      <c r="F24" s="3" t="str">
        <f>IFERROR(VLOOKUP(A24,search_engine!$B$2:AC1015,10,),"")</f>
        <v/>
      </c>
      <c r="G24" s="3" t="str">
        <f>IFERROR(VLOOKUP(A24,search_engine!$B$2:AC1015,12,),"")</f>
        <v/>
      </c>
      <c r="H24" s="3" t="str">
        <f>IFERROR(VLOOKUP(A24,search_engine!$B$2:AC1015,14,),"")</f>
        <v/>
      </c>
      <c r="I24" s="3" t="str">
        <f>IFERROR(VLOOKUP(A24,search_engine!$B$2:AC1015,16,),"")</f>
        <v/>
      </c>
      <c r="J24" s="3" t="str">
        <f>IFERROR(VLOOKUP(A24,search_engine!$B$2:AC1015,18,),"")</f>
        <v/>
      </c>
      <c r="K24" s="3" t="str">
        <f>IFERROR(VLOOKUP(A24,search_engine!$B$2:AC1015,20,),"")</f>
        <v/>
      </c>
      <c r="L24" s="3" t="str">
        <f>IFERROR(VLOOKUP(A24,search_engine!$B$2:AC1015,22,),"")</f>
        <v/>
      </c>
      <c r="M24" s="3" t="str">
        <f>IFERROR(VLOOKUP(A24,search_engine!$B$2:AC1015,24,),"")</f>
        <v/>
      </c>
      <c r="N24" s="3" t="str">
        <f>IFERROR(VLOOKUP(A24,search_engine!$B$2:AC1015,26,),"")</f>
        <v/>
      </c>
      <c r="O24" s="3" t="str">
        <f>IFERROR(VLOOKUP(A24,search_engine!$B$2:AC1015,28,),"")</f>
        <v/>
      </c>
    </row>
    <row r="25" spans="1:15" ht="38.25" customHeight="1" thickTop="1" thickBot="1">
      <c r="A25" s="3">
        <v>17</v>
      </c>
      <c r="B25" s="5" t="str">
        <f>IFERROR(VLOOKUP(A25,search_engine!$B$2:AC1016,2,),"")</f>
        <v/>
      </c>
      <c r="C25" s="3" t="str">
        <f>IFERROR(VLOOKUP(A25,search_engine!$B$2:AC1016,4,),"")</f>
        <v/>
      </c>
      <c r="D25" s="5" t="str">
        <f>IFERROR(VLOOKUP(A25,search_engine!$B$2:AC1016,6,),"")</f>
        <v/>
      </c>
      <c r="E25" s="6" t="str">
        <f>IFERROR(VLOOKUP(A25,search_engine!$B$2:AC1016,8,),"")</f>
        <v/>
      </c>
      <c r="F25" s="3" t="str">
        <f>IFERROR(VLOOKUP(A25,search_engine!$B$2:AC1016,10,),"")</f>
        <v/>
      </c>
      <c r="G25" s="3" t="str">
        <f>IFERROR(VLOOKUP(A25,search_engine!$B$2:AC1016,12,),"")</f>
        <v/>
      </c>
      <c r="H25" s="3" t="str">
        <f>IFERROR(VLOOKUP(A25,search_engine!$B$2:AC1016,14,),"")</f>
        <v/>
      </c>
      <c r="I25" s="3" t="str">
        <f>IFERROR(VLOOKUP(A25,search_engine!$B$2:AC1016,16,),"")</f>
        <v/>
      </c>
      <c r="J25" s="3" t="str">
        <f>IFERROR(VLOOKUP(A25,search_engine!$B$2:AC1016,18,),"")</f>
        <v/>
      </c>
      <c r="K25" s="3" t="str">
        <f>IFERROR(VLOOKUP(A25,search_engine!$B$2:AC1016,20,),"")</f>
        <v/>
      </c>
      <c r="L25" s="3" t="str">
        <f>IFERROR(VLOOKUP(A25,search_engine!$B$2:AC1016,22,),"")</f>
        <v/>
      </c>
      <c r="M25" s="3" t="str">
        <f>IFERROR(VLOOKUP(A25,search_engine!$B$2:AC1016,24,),"")</f>
        <v/>
      </c>
      <c r="N25" s="3" t="str">
        <f>IFERROR(VLOOKUP(A25,search_engine!$B$2:AC1016,26,),"")</f>
        <v/>
      </c>
      <c r="O25" s="3" t="str">
        <f>IFERROR(VLOOKUP(A25,search_engine!$B$2:AC1016,28,),"")</f>
        <v/>
      </c>
    </row>
    <row r="26" spans="1:15" ht="38.25" customHeight="1" thickTop="1" thickBot="1">
      <c r="A26" s="3">
        <v>18</v>
      </c>
      <c r="B26" s="5" t="str">
        <f>IFERROR(VLOOKUP(A26,search_engine!$B$2:AC1017,2,),"")</f>
        <v/>
      </c>
      <c r="C26" s="3" t="str">
        <f>IFERROR(VLOOKUP(A26,search_engine!$B$2:AC1017,4,),"")</f>
        <v/>
      </c>
      <c r="D26" s="5" t="str">
        <f>IFERROR(VLOOKUP(A26,search_engine!$B$2:AC1017,6,),"")</f>
        <v/>
      </c>
      <c r="E26" s="6" t="str">
        <f>IFERROR(VLOOKUP(A26,search_engine!$B$2:AC1017,8,),"")</f>
        <v/>
      </c>
      <c r="F26" s="3" t="str">
        <f>IFERROR(VLOOKUP(A26,search_engine!$B$2:AC1017,10,),"")</f>
        <v/>
      </c>
      <c r="G26" s="3" t="str">
        <f>IFERROR(VLOOKUP(A26,search_engine!$B$2:AC1017,12,),"")</f>
        <v/>
      </c>
      <c r="H26" s="3" t="str">
        <f>IFERROR(VLOOKUP(A26,search_engine!$B$2:AC1017,14,),"")</f>
        <v/>
      </c>
      <c r="I26" s="3" t="str">
        <f>IFERROR(VLOOKUP(A26,search_engine!$B$2:AC1017,16,),"")</f>
        <v/>
      </c>
      <c r="J26" s="3" t="str">
        <f>IFERROR(VLOOKUP(A26,search_engine!$B$2:AC1017,18,),"")</f>
        <v/>
      </c>
      <c r="K26" s="3" t="str">
        <f>IFERROR(VLOOKUP(A26,search_engine!$B$2:AC1017,20,),"")</f>
        <v/>
      </c>
      <c r="L26" s="3" t="str">
        <f>IFERROR(VLOOKUP(A26,search_engine!$B$2:AC1017,22,),"")</f>
        <v/>
      </c>
      <c r="M26" s="3" t="str">
        <f>IFERROR(VLOOKUP(A26,search_engine!$B$2:AC1017,24,),"")</f>
        <v/>
      </c>
      <c r="N26" s="3" t="str">
        <f>IFERROR(VLOOKUP(A26,search_engine!$B$2:AC1017,26,),"")</f>
        <v/>
      </c>
      <c r="O26" s="3" t="str">
        <f>IFERROR(VLOOKUP(A26,search_engine!$B$2:AC1017,28,),"")</f>
        <v/>
      </c>
    </row>
    <row r="27" spans="1:15" ht="38.25" customHeight="1" thickTop="1" thickBot="1">
      <c r="A27" s="3">
        <v>19</v>
      </c>
      <c r="B27" s="5" t="str">
        <f>IFERROR(VLOOKUP(A27,search_engine!$B$2:AC1018,2,),"")</f>
        <v/>
      </c>
      <c r="C27" s="3" t="str">
        <f>IFERROR(VLOOKUP(A27,search_engine!$B$2:AC1018,4,),"")</f>
        <v/>
      </c>
      <c r="D27" s="5" t="str">
        <f>IFERROR(VLOOKUP(A27,search_engine!$B$2:AC1018,6,),"")</f>
        <v/>
      </c>
      <c r="E27" s="6" t="str">
        <f>IFERROR(VLOOKUP(A27,search_engine!$B$2:AC1018,8,),"")</f>
        <v/>
      </c>
      <c r="F27" s="3" t="str">
        <f>IFERROR(VLOOKUP(A27,search_engine!$B$2:AC1018,10,),"")</f>
        <v/>
      </c>
      <c r="G27" s="3" t="str">
        <f>IFERROR(VLOOKUP(A27,search_engine!$B$2:AC1018,12,),"")</f>
        <v/>
      </c>
      <c r="H27" s="3" t="str">
        <f>IFERROR(VLOOKUP(A27,search_engine!$B$2:AC1018,14,),"")</f>
        <v/>
      </c>
      <c r="I27" s="3" t="str">
        <f>IFERROR(VLOOKUP(A27,search_engine!$B$2:AC1018,16,),"")</f>
        <v/>
      </c>
      <c r="J27" s="3" t="str">
        <f>IFERROR(VLOOKUP(A27,search_engine!$B$2:AC1018,18,),"")</f>
        <v/>
      </c>
      <c r="K27" s="3" t="str">
        <f>IFERROR(VLOOKUP(A27,search_engine!$B$2:AC1018,20,),"")</f>
        <v/>
      </c>
      <c r="L27" s="3" t="str">
        <f>IFERROR(VLOOKUP(A27,search_engine!$B$2:AC1018,22,),"")</f>
        <v/>
      </c>
      <c r="M27" s="3" t="str">
        <f>IFERROR(VLOOKUP(A27,search_engine!$B$2:AC1018,24,),"")</f>
        <v/>
      </c>
      <c r="N27" s="3" t="str">
        <f>IFERROR(VLOOKUP(A27,search_engine!$B$2:AC1018,26,),"")</f>
        <v/>
      </c>
      <c r="O27" s="3" t="str">
        <f>IFERROR(VLOOKUP(A27,search_engine!$B$2:AC1018,28,),"")</f>
        <v/>
      </c>
    </row>
    <row r="28" spans="1:15" ht="38.25" customHeight="1" thickTop="1" thickBot="1">
      <c r="A28" s="3">
        <v>20</v>
      </c>
      <c r="B28" s="5" t="str">
        <f>IFERROR(VLOOKUP(A28,search_engine!$B$2:AC1019,2,),"")</f>
        <v/>
      </c>
      <c r="C28" s="3" t="str">
        <f>IFERROR(VLOOKUP(A28,search_engine!$B$2:AC1019,4,),"")</f>
        <v/>
      </c>
      <c r="D28" s="5" t="str">
        <f>IFERROR(VLOOKUP(A28,search_engine!$B$2:AC1019,6,),"")</f>
        <v/>
      </c>
      <c r="E28" s="6" t="str">
        <f>IFERROR(VLOOKUP(A28,search_engine!$B$2:AC1019,8,),"")</f>
        <v/>
      </c>
      <c r="F28" s="3" t="str">
        <f>IFERROR(VLOOKUP(A28,search_engine!$B$2:AC1019,10,),"")</f>
        <v/>
      </c>
      <c r="G28" s="3" t="str">
        <f>IFERROR(VLOOKUP(A28,search_engine!$B$2:AC1019,12,),"")</f>
        <v/>
      </c>
      <c r="H28" s="3" t="str">
        <f>IFERROR(VLOOKUP(A28,search_engine!$B$2:AC1019,14,),"")</f>
        <v/>
      </c>
      <c r="I28" s="3" t="str">
        <f>IFERROR(VLOOKUP(A28,search_engine!$B$2:AC1019,16,),"")</f>
        <v/>
      </c>
      <c r="J28" s="3" t="str">
        <f>IFERROR(VLOOKUP(A28,search_engine!$B$2:AC1019,18,),"")</f>
        <v/>
      </c>
      <c r="K28" s="3" t="str">
        <f>IFERROR(VLOOKUP(A28,search_engine!$B$2:AC1019,20,),"")</f>
        <v/>
      </c>
      <c r="L28" s="3" t="str">
        <f>IFERROR(VLOOKUP(A28,search_engine!$B$2:AC1019,22,),"")</f>
        <v/>
      </c>
      <c r="M28" s="3" t="str">
        <f>IFERROR(VLOOKUP(A28,search_engine!$B$2:AC1019,24,),"")</f>
        <v/>
      </c>
      <c r="N28" s="3" t="str">
        <f>IFERROR(VLOOKUP(A28,search_engine!$B$2:AC1019,26,),"")</f>
        <v/>
      </c>
      <c r="O28" s="3" t="str">
        <f>IFERROR(VLOOKUP(A28,search_engine!$B$2:AC1019,28,),"")</f>
        <v/>
      </c>
    </row>
    <row r="29" spans="1:15" ht="38.25" customHeight="1" thickTop="1" thickBot="1">
      <c r="A29" s="3">
        <v>21</v>
      </c>
      <c r="B29" s="5" t="str">
        <f>IFERROR(VLOOKUP(A29,search_engine!$B$2:AC1020,2,),"")</f>
        <v/>
      </c>
      <c r="C29" s="3" t="str">
        <f>IFERROR(VLOOKUP(A29,search_engine!$B$2:AC1020,4,),"")</f>
        <v/>
      </c>
      <c r="D29" s="5" t="str">
        <f>IFERROR(VLOOKUP(A29,search_engine!$B$2:AC1020,6,),"")</f>
        <v/>
      </c>
      <c r="E29" s="6" t="str">
        <f>IFERROR(VLOOKUP(A29,search_engine!$B$2:AC1020,8,),"")</f>
        <v/>
      </c>
      <c r="F29" s="3" t="str">
        <f>IFERROR(VLOOKUP(A29,search_engine!$B$2:AC1020,10,),"")</f>
        <v/>
      </c>
      <c r="G29" s="3" t="str">
        <f>IFERROR(VLOOKUP(A29,search_engine!$B$2:AC1020,12,),"")</f>
        <v/>
      </c>
      <c r="H29" s="3" t="str">
        <f>IFERROR(VLOOKUP(A29,search_engine!$B$2:AC1020,14,),"")</f>
        <v/>
      </c>
      <c r="I29" s="3" t="str">
        <f>IFERROR(VLOOKUP(A29,search_engine!$B$2:AC1020,16,),"")</f>
        <v/>
      </c>
      <c r="J29" s="3" t="str">
        <f>IFERROR(VLOOKUP(A29,search_engine!$B$2:AC1020,18,),"")</f>
        <v/>
      </c>
      <c r="K29" s="3" t="str">
        <f>IFERROR(VLOOKUP(A29,search_engine!$B$2:AC1020,20,),"")</f>
        <v/>
      </c>
      <c r="L29" s="3" t="str">
        <f>IFERROR(VLOOKUP(A29,search_engine!$B$2:AC1020,22,),"")</f>
        <v/>
      </c>
      <c r="M29" s="3" t="str">
        <f>IFERROR(VLOOKUP(A29,search_engine!$B$2:AC1020,24,),"")</f>
        <v/>
      </c>
      <c r="N29" s="3" t="str">
        <f>IFERROR(VLOOKUP(A29,search_engine!$B$2:AC1020,26,),"")</f>
        <v/>
      </c>
      <c r="O29" s="3" t="str">
        <f>IFERROR(VLOOKUP(A29,search_engine!$B$2:AC1020,28,),"")</f>
        <v/>
      </c>
    </row>
    <row r="30" spans="1:15" ht="38.25" customHeight="1" thickTop="1" thickBot="1">
      <c r="A30" s="3">
        <v>22</v>
      </c>
      <c r="B30" s="5" t="str">
        <f>IFERROR(VLOOKUP(A30,search_engine!$B$2:AC1021,2,),"")</f>
        <v/>
      </c>
      <c r="C30" s="3" t="str">
        <f>IFERROR(VLOOKUP(A30,search_engine!$B$2:AC1021,4,),"")</f>
        <v/>
      </c>
      <c r="D30" s="5" t="str">
        <f>IFERROR(VLOOKUP(A30,search_engine!$B$2:AC1021,6,),"")</f>
        <v/>
      </c>
      <c r="E30" s="6" t="str">
        <f>IFERROR(VLOOKUP(A30,search_engine!$B$2:AC1021,8,),"")</f>
        <v/>
      </c>
      <c r="F30" s="3" t="str">
        <f>IFERROR(VLOOKUP(A30,search_engine!$B$2:AC1021,10,),"")</f>
        <v/>
      </c>
      <c r="G30" s="3" t="str">
        <f>IFERROR(VLOOKUP(A30,search_engine!$B$2:AC1021,12,),"")</f>
        <v/>
      </c>
      <c r="H30" s="3" t="str">
        <f>IFERROR(VLOOKUP(A30,search_engine!$B$2:AC1021,14,),"")</f>
        <v/>
      </c>
      <c r="I30" s="3" t="str">
        <f>IFERROR(VLOOKUP(A30,search_engine!$B$2:AC1021,16,),"")</f>
        <v/>
      </c>
      <c r="J30" s="3" t="str">
        <f>IFERROR(VLOOKUP(A30,search_engine!$B$2:AC1021,18,),"")</f>
        <v/>
      </c>
      <c r="K30" s="3" t="str">
        <f>IFERROR(VLOOKUP(A30,search_engine!$B$2:AC1021,20,),"")</f>
        <v/>
      </c>
      <c r="L30" s="3" t="str">
        <f>IFERROR(VLOOKUP(A30,search_engine!$B$2:AC1021,22,),"")</f>
        <v/>
      </c>
      <c r="M30" s="3" t="str">
        <f>IFERROR(VLOOKUP(A30,search_engine!$B$2:AC1021,24,),"")</f>
        <v/>
      </c>
      <c r="N30" s="3" t="str">
        <f>IFERROR(VLOOKUP(A30,search_engine!$B$2:AC1021,26,),"")</f>
        <v/>
      </c>
      <c r="O30" s="3" t="str">
        <f>IFERROR(VLOOKUP(A30,search_engine!$B$2:AC1021,28,),"")</f>
        <v/>
      </c>
    </row>
    <row r="31" spans="1:15" ht="38.25" customHeight="1" thickTop="1" thickBot="1">
      <c r="A31" s="3">
        <v>23</v>
      </c>
      <c r="B31" s="5" t="str">
        <f>IFERROR(VLOOKUP(A31,search_engine!$B$2:AC1022,2,),"")</f>
        <v/>
      </c>
      <c r="C31" s="3" t="str">
        <f>IFERROR(VLOOKUP(A31,search_engine!$B$2:AC1022,4,),"")</f>
        <v/>
      </c>
      <c r="D31" s="5" t="str">
        <f>IFERROR(VLOOKUP(A31,search_engine!$B$2:AC1022,6,),"")</f>
        <v/>
      </c>
      <c r="E31" s="6" t="str">
        <f>IFERROR(VLOOKUP(A31,search_engine!$B$2:AC1022,8,),"")</f>
        <v/>
      </c>
      <c r="F31" s="3" t="str">
        <f>IFERROR(VLOOKUP(A31,search_engine!$B$2:AC1022,10,),"")</f>
        <v/>
      </c>
      <c r="G31" s="3" t="str">
        <f>IFERROR(VLOOKUP(A31,search_engine!$B$2:AC1022,12,),"")</f>
        <v/>
      </c>
      <c r="H31" s="3" t="str">
        <f>IFERROR(VLOOKUP(A31,search_engine!$B$2:AC1022,14,),"")</f>
        <v/>
      </c>
      <c r="I31" s="3" t="str">
        <f>IFERROR(VLOOKUP(A31,search_engine!$B$2:AC1022,16,),"")</f>
        <v/>
      </c>
      <c r="J31" s="3" t="str">
        <f>IFERROR(VLOOKUP(A31,search_engine!$B$2:AC1022,18,),"")</f>
        <v/>
      </c>
      <c r="K31" s="3" t="str">
        <f>IFERROR(VLOOKUP(A31,search_engine!$B$2:AC1022,20,),"")</f>
        <v/>
      </c>
      <c r="L31" s="3" t="str">
        <f>IFERROR(VLOOKUP(A31,search_engine!$B$2:AC1022,22,),"")</f>
        <v/>
      </c>
      <c r="M31" s="3" t="str">
        <f>IFERROR(VLOOKUP(A31,search_engine!$B$2:AC1022,24,),"")</f>
        <v/>
      </c>
      <c r="N31" s="3" t="str">
        <f>IFERROR(VLOOKUP(A31,search_engine!$B$2:AC1022,26,),"")</f>
        <v/>
      </c>
      <c r="O31" s="3" t="str">
        <f>IFERROR(VLOOKUP(A31,search_engine!$B$2:AC1022,28,),"")</f>
        <v/>
      </c>
    </row>
    <row r="32" spans="1:15" ht="38.25" customHeight="1" thickTop="1" thickBot="1">
      <c r="A32" s="3">
        <v>24</v>
      </c>
      <c r="B32" s="5" t="str">
        <f>IFERROR(VLOOKUP(A32,search_engine!$B$2:AC1023,2,),"")</f>
        <v/>
      </c>
      <c r="C32" s="3" t="str">
        <f>IFERROR(VLOOKUP(A32,search_engine!$B$2:AC1023,4,),"")</f>
        <v/>
      </c>
      <c r="D32" s="5" t="str">
        <f>IFERROR(VLOOKUP(A32,search_engine!$B$2:AC1023,6,),"")</f>
        <v/>
      </c>
      <c r="E32" s="6" t="str">
        <f>IFERROR(VLOOKUP(A32,search_engine!$B$2:AC1023,8,),"")</f>
        <v/>
      </c>
      <c r="F32" s="3" t="str">
        <f>IFERROR(VLOOKUP(A32,search_engine!$B$2:AC1023,10,),"")</f>
        <v/>
      </c>
      <c r="G32" s="3" t="str">
        <f>IFERROR(VLOOKUP(A32,search_engine!$B$2:AC1023,12,),"")</f>
        <v/>
      </c>
      <c r="H32" s="3" t="str">
        <f>IFERROR(VLOOKUP(A32,search_engine!$B$2:AC1023,14,),"")</f>
        <v/>
      </c>
      <c r="I32" s="3" t="str">
        <f>IFERROR(VLOOKUP(A32,search_engine!$B$2:AC1023,16,),"")</f>
        <v/>
      </c>
      <c r="J32" s="3" t="str">
        <f>IFERROR(VLOOKUP(A32,search_engine!$B$2:AC1023,18,),"")</f>
        <v/>
      </c>
      <c r="K32" s="3" t="str">
        <f>IFERROR(VLOOKUP(A32,search_engine!$B$2:AC1023,20,),"")</f>
        <v/>
      </c>
      <c r="L32" s="3" t="str">
        <f>IFERROR(VLOOKUP(A32,search_engine!$B$2:AC1023,22,),"")</f>
        <v/>
      </c>
      <c r="M32" s="3" t="str">
        <f>IFERROR(VLOOKUP(A32,search_engine!$B$2:AC1023,24,),"")</f>
        <v/>
      </c>
      <c r="N32" s="3" t="str">
        <f>IFERROR(VLOOKUP(A32,search_engine!$B$2:AC1023,26,),"")</f>
        <v/>
      </c>
      <c r="O32" s="3" t="str">
        <f>IFERROR(VLOOKUP(A32,search_engine!$B$2:AC1023,28,),"")</f>
        <v/>
      </c>
    </row>
    <row r="33" spans="1:15" ht="38.25" customHeight="1" thickTop="1" thickBot="1">
      <c r="A33" s="3">
        <v>25</v>
      </c>
      <c r="B33" s="5" t="str">
        <f>IFERROR(VLOOKUP(A33,search_engine!$B$2:AC1024,2,),"")</f>
        <v/>
      </c>
      <c r="C33" s="3" t="str">
        <f>IFERROR(VLOOKUP(A33,search_engine!$B$2:AC1024,4,),"")</f>
        <v/>
      </c>
      <c r="D33" s="5" t="str">
        <f>IFERROR(VLOOKUP(A33,search_engine!$B$2:AC1024,6,),"")</f>
        <v/>
      </c>
      <c r="E33" s="6" t="str">
        <f>IFERROR(VLOOKUP(A33,search_engine!$B$2:AC1024,8,),"")</f>
        <v/>
      </c>
      <c r="F33" s="3" t="str">
        <f>IFERROR(VLOOKUP(A33,search_engine!$B$2:AC1024,10,),"")</f>
        <v/>
      </c>
      <c r="G33" s="3" t="str">
        <f>IFERROR(VLOOKUP(A33,search_engine!$B$2:AC1024,12,),"")</f>
        <v/>
      </c>
      <c r="H33" s="3" t="str">
        <f>IFERROR(VLOOKUP(A33,search_engine!$B$2:AC1024,14,),"")</f>
        <v/>
      </c>
      <c r="I33" s="3" t="str">
        <f>IFERROR(VLOOKUP(A33,search_engine!$B$2:AC1024,16,),"")</f>
        <v/>
      </c>
      <c r="J33" s="3" t="str">
        <f>IFERROR(VLOOKUP(A33,search_engine!$B$2:AC1024,18,),"")</f>
        <v/>
      </c>
      <c r="K33" s="3" t="str">
        <f>IFERROR(VLOOKUP(A33,search_engine!$B$2:AC1024,20,),"")</f>
        <v/>
      </c>
      <c r="L33" s="3" t="str">
        <f>IFERROR(VLOOKUP(A33,search_engine!$B$2:AC1024,22,),"")</f>
        <v/>
      </c>
      <c r="M33" s="3" t="str">
        <f>IFERROR(VLOOKUP(A33,search_engine!$B$2:AC1024,24,),"")</f>
        <v/>
      </c>
      <c r="N33" s="3" t="str">
        <f>IFERROR(VLOOKUP(A33,search_engine!$B$2:AC1024,26,),"")</f>
        <v/>
      </c>
      <c r="O33" s="3" t="str">
        <f>IFERROR(VLOOKUP(A33,search_engine!$B$2:AC1024,28,),"")</f>
        <v/>
      </c>
    </row>
    <row r="34" spans="1:15" ht="38.25" customHeight="1" thickTop="1" thickBot="1">
      <c r="A34" s="3">
        <v>26</v>
      </c>
      <c r="B34" s="5" t="str">
        <f>IFERROR(VLOOKUP(A34,search_engine!$B$2:AC1025,2,),"")</f>
        <v/>
      </c>
      <c r="C34" s="3" t="str">
        <f>IFERROR(VLOOKUP(A34,search_engine!$B$2:AC1025,4,),"")</f>
        <v/>
      </c>
      <c r="D34" s="5" t="str">
        <f>IFERROR(VLOOKUP(A34,search_engine!$B$2:AC1025,6,),"")</f>
        <v/>
      </c>
      <c r="E34" s="6" t="str">
        <f>IFERROR(VLOOKUP(A34,search_engine!$B$2:AC1025,8,),"")</f>
        <v/>
      </c>
      <c r="F34" s="3" t="str">
        <f>IFERROR(VLOOKUP(A34,search_engine!$B$2:AC1025,10,),"")</f>
        <v/>
      </c>
      <c r="G34" s="3" t="str">
        <f>IFERROR(VLOOKUP(A34,search_engine!$B$2:AC1025,12,),"")</f>
        <v/>
      </c>
      <c r="H34" s="3" t="str">
        <f>IFERROR(VLOOKUP(A34,search_engine!$B$2:AC1025,14,),"")</f>
        <v/>
      </c>
      <c r="I34" s="3" t="str">
        <f>IFERROR(VLOOKUP(A34,search_engine!$B$2:AC1025,16,),"")</f>
        <v/>
      </c>
      <c r="J34" s="3" t="str">
        <f>IFERROR(VLOOKUP(A34,search_engine!$B$2:AC1025,18,),"")</f>
        <v/>
      </c>
      <c r="K34" s="3" t="str">
        <f>IFERROR(VLOOKUP(A34,search_engine!$B$2:AC1025,20,),"")</f>
        <v/>
      </c>
      <c r="L34" s="3" t="str">
        <f>IFERROR(VLOOKUP(A34,search_engine!$B$2:AC1025,22,),"")</f>
        <v/>
      </c>
      <c r="M34" s="3" t="str">
        <f>IFERROR(VLOOKUP(A34,search_engine!$B$2:AC1025,24,),"")</f>
        <v/>
      </c>
      <c r="N34" s="3" t="str">
        <f>IFERROR(VLOOKUP(A34,search_engine!$B$2:AC1025,26,),"")</f>
        <v/>
      </c>
      <c r="O34" s="3" t="str">
        <f>IFERROR(VLOOKUP(A34,search_engine!$B$2:AC1025,28,),"")</f>
        <v/>
      </c>
    </row>
    <row r="35" spans="1:15" ht="38.25" customHeight="1" thickTop="1" thickBot="1">
      <c r="A35" s="3">
        <v>27</v>
      </c>
      <c r="B35" s="5" t="str">
        <f>IFERROR(VLOOKUP(A35,search_engine!$B$2:AC1026,2,),"")</f>
        <v/>
      </c>
      <c r="C35" s="3" t="str">
        <f>IFERROR(VLOOKUP(A35,search_engine!$B$2:AC1026,4,),"")</f>
        <v/>
      </c>
      <c r="D35" s="5" t="str">
        <f>IFERROR(VLOOKUP(A35,search_engine!$B$2:AC1026,6,),"")</f>
        <v/>
      </c>
      <c r="E35" s="6" t="str">
        <f>IFERROR(VLOOKUP(A35,search_engine!$B$2:AC1026,8,),"")</f>
        <v/>
      </c>
      <c r="F35" s="3" t="str">
        <f>IFERROR(VLOOKUP(A35,search_engine!$B$2:AC1026,10,),"")</f>
        <v/>
      </c>
      <c r="G35" s="3" t="str">
        <f>IFERROR(VLOOKUP(A35,search_engine!$B$2:AC1026,12,),"")</f>
        <v/>
      </c>
      <c r="H35" s="3" t="str">
        <f>IFERROR(VLOOKUP(A35,search_engine!$B$2:AC1026,14,),"")</f>
        <v/>
      </c>
      <c r="I35" s="3" t="str">
        <f>IFERROR(VLOOKUP(A35,search_engine!$B$2:AC1026,16,),"")</f>
        <v/>
      </c>
      <c r="J35" s="3" t="str">
        <f>IFERROR(VLOOKUP(A35,search_engine!$B$2:AC1026,18,),"")</f>
        <v/>
      </c>
      <c r="K35" s="3" t="str">
        <f>IFERROR(VLOOKUP(A35,search_engine!$B$2:AC1026,20,),"")</f>
        <v/>
      </c>
      <c r="L35" s="3" t="str">
        <f>IFERROR(VLOOKUP(A35,search_engine!$B$2:AC1026,22,),"")</f>
        <v/>
      </c>
      <c r="M35" s="3" t="str">
        <f>IFERROR(VLOOKUP(A35,search_engine!$B$2:AC1026,24,),"")</f>
        <v/>
      </c>
      <c r="N35" s="3" t="str">
        <f>IFERROR(VLOOKUP(A35,search_engine!$B$2:AC1026,26,),"")</f>
        <v/>
      </c>
      <c r="O35" s="3" t="str">
        <f>IFERROR(VLOOKUP(A35,search_engine!$B$2:AC1026,28,),"")</f>
        <v/>
      </c>
    </row>
    <row r="36" spans="1:15" ht="38.25" customHeight="1" thickTop="1" thickBot="1">
      <c r="A36" s="3">
        <v>28</v>
      </c>
      <c r="B36" s="5" t="str">
        <f>IFERROR(VLOOKUP(A36,search_engine!$B$2:AC1027,2,),"")</f>
        <v/>
      </c>
      <c r="C36" s="3" t="str">
        <f>IFERROR(VLOOKUP(A36,search_engine!$B$2:AC1027,4,),"")</f>
        <v/>
      </c>
      <c r="D36" s="5" t="str">
        <f>IFERROR(VLOOKUP(A36,search_engine!$B$2:AC1027,6,),"")</f>
        <v/>
      </c>
      <c r="E36" s="6" t="str">
        <f>IFERROR(VLOOKUP(A36,search_engine!$B$2:AC1027,8,),"")</f>
        <v/>
      </c>
      <c r="F36" s="3" t="str">
        <f>IFERROR(VLOOKUP(A36,search_engine!$B$2:AC1027,10,),"")</f>
        <v/>
      </c>
      <c r="G36" s="3" t="str">
        <f>IFERROR(VLOOKUP(A36,search_engine!$B$2:AC1027,12,),"")</f>
        <v/>
      </c>
      <c r="H36" s="3" t="str">
        <f>IFERROR(VLOOKUP(A36,search_engine!$B$2:AC1027,14,),"")</f>
        <v/>
      </c>
      <c r="I36" s="3" t="str">
        <f>IFERROR(VLOOKUP(A36,search_engine!$B$2:AC1027,16,),"")</f>
        <v/>
      </c>
      <c r="J36" s="3" t="str">
        <f>IFERROR(VLOOKUP(A36,search_engine!$B$2:AC1027,18,),"")</f>
        <v/>
      </c>
      <c r="K36" s="3" t="str">
        <f>IFERROR(VLOOKUP(A36,search_engine!$B$2:AC1027,20,),"")</f>
        <v/>
      </c>
      <c r="L36" s="3" t="str">
        <f>IFERROR(VLOOKUP(A36,search_engine!$B$2:AC1027,22,),"")</f>
        <v/>
      </c>
      <c r="M36" s="3" t="str">
        <f>IFERROR(VLOOKUP(A36,search_engine!$B$2:AC1027,24,),"")</f>
        <v/>
      </c>
      <c r="N36" s="3" t="str">
        <f>IFERROR(VLOOKUP(A36,search_engine!$B$2:AC1027,26,),"")</f>
        <v/>
      </c>
      <c r="O36" s="3" t="str">
        <f>IFERROR(VLOOKUP(A36,search_engine!$B$2:AC1027,28,),"")</f>
        <v/>
      </c>
    </row>
    <row r="37" spans="1:15" ht="38.25" customHeight="1" thickTop="1" thickBot="1">
      <c r="A37" s="3">
        <v>29</v>
      </c>
      <c r="B37" s="5" t="str">
        <f>IFERROR(VLOOKUP(A37,search_engine!$B$2:AC1028,2,),"")</f>
        <v/>
      </c>
      <c r="C37" s="3" t="str">
        <f>IFERROR(VLOOKUP(A37,search_engine!$B$2:AC1028,4,),"")</f>
        <v/>
      </c>
      <c r="D37" s="5" t="str">
        <f>IFERROR(VLOOKUP(A37,search_engine!$B$2:AC1028,6,),"")</f>
        <v/>
      </c>
      <c r="E37" s="6" t="str">
        <f>IFERROR(VLOOKUP(A37,search_engine!$B$2:AC1028,8,),"")</f>
        <v/>
      </c>
      <c r="F37" s="3" t="str">
        <f>IFERROR(VLOOKUP(A37,search_engine!$B$2:AC1028,10,),"")</f>
        <v/>
      </c>
      <c r="G37" s="3" t="str">
        <f>IFERROR(VLOOKUP(A37,search_engine!$B$2:AC1028,12,),"")</f>
        <v/>
      </c>
      <c r="H37" s="3" t="str">
        <f>IFERROR(VLOOKUP(A37,search_engine!$B$2:AC1028,14,),"")</f>
        <v/>
      </c>
      <c r="I37" s="3" t="str">
        <f>IFERROR(VLOOKUP(A37,search_engine!$B$2:AC1028,16,),"")</f>
        <v/>
      </c>
      <c r="J37" s="3" t="str">
        <f>IFERROR(VLOOKUP(A37,search_engine!$B$2:AC1028,18,),"")</f>
        <v/>
      </c>
      <c r="K37" s="3" t="str">
        <f>IFERROR(VLOOKUP(A37,search_engine!$B$2:AC1028,20,),"")</f>
        <v/>
      </c>
      <c r="L37" s="3" t="str">
        <f>IFERROR(VLOOKUP(A37,search_engine!$B$2:AC1028,22,),"")</f>
        <v/>
      </c>
      <c r="M37" s="3" t="str">
        <f>IFERROR(VLOOKUP(A37,search_engine!$B$2:AC1028,24,),"")</f>
        <v/>
      </c>
      <c r="N37" s="3" t="str">
        <f>IFERROR(VLOOKUP(A37,search_engine!$B$2:AC1028,26,),"")</f>
        <v/>
      </c>
      <c r="O37" s="3" t="str">
        <f>IFERROR(VLOOKUP(A37,search_engine!$B$2:AC1028,28,),"")</f>
        <v/>
      </c>
    </row>
    <row r="38" spans="1:15" ht="38.25" customHeight="1" thickTop="1" thickBot="1">
      <c r="A38" s="3">
        <v>30</v>
      </c>
      <c r="B38" s="5" t="str">
        <f>IFERROR(VLOOKUP(A38,search_engine!$B$2:AC1029,2,),"")</f>
        <v/>
      </c>
      <c r="C38" s="3" t="str">
        <f>IFERROR(VLOOKUP(A38,search_engine!$B$2:AC1029,4,),"")</f>
        <v/>
      </c>
      <c r="D38" s="5" t="str">
        <f>IFERROR(VLOOKUP(A38,search_engine!$B$2:AC1029,6,),"")</f>
        <v/>
      </c>
      <c r="E38" s="6" t="str">
        <f>IFERROR(VLOOKUP(A38,search_engine!$B$2:AC1029,8,),"")</f>
        <v/>
      </c>
      <c r="F38" s="3" t="str">
        <f>IFERROR(VLOOKUP(A38,search_engine!$B$2:AC1029,10,),"")</f>
        <v/>
      </c>
      <c r="G38" s="3" t="str">
        <f>IFERROR(VLOOKUP(A38,search_engine!$B$2:AC1029,12,),"")</f>
        <v/>
      </c>
      <c r="H38" s="3" t="str">
        <f>IFERROR(VLOOKUP(A38,search_engine!$B$2:AC1029,14,),"")</f>
        <v/>
      </c>
      <c r="I38" s="3" t="str">
        <f>IFERROR(VLOOKUP(A38,search_engine!$B$2:AC1029,16,),"")</f>
        <v/>
      </c>
      <c r="J38" s="3" t="str">
        <f>IFERROR(VLOOKUP(A38,search_engine!$B$2:AC1029,18,),"")</f>
        <v/>
      </c>
      <c r="K38" s="3" t="str">
        <f>IFERROR(VLOOKUP(A38,search_engine!$B$2:AC1029,20,),"")</f>
        <v/>
      </c>
      <c r="L38" s="3" t="str">
        <f>IFERROR(VLOOKUP(A38,search_engine!$B$2:AC1029,22,),"")</f>
        <v/>
      </c>
      <c r="M38" s="3" t="str">
        <f>IFERROR(VLOOKUP(A38,search_engine!$B$2:AC1029,24,),"")</f>
        <v/>
      </c>
      <c r="N38" s="3" t="str">
        <f>IFERROR(VLOOKUP(A38,search_engine!$B$2:AC1029,26,),"")</f>
        <v/>
      </c>
      <c r="O38" s="3" t="str">
        <f>IFERROR(VLOOKUP(A38,search_engine!$B$2:AC1029,28,),"")</f>
        <v/>
      </c>
    </row>
    <row r="39" spans="1:15" ht="38.25" customHeight="1" thickTop="1" thickBot="1">
      <c r="A39" s="3">
        <v>31</v>
      </c>
      <c r="B39" s="5" t="str">
        <f>IFERROR(VLOOKUP(A39,search_engine!$B$2:AC1030,2,),"")</f>
        <v/>
      </c>
      <c r="C39" s="3" t="str">
        <f>IFERROR(VLOOKUP(A39,search_engine!$B$2:AC1030,4,),"")</f>
        <v/>
      </c>
      <c r="D39" s="5" t="str">
        <f>IFERROR(VLOOKUP(A39,search_engine!$B$2:AC1030,6,),"")</f>
        <v/>
      </c>
      <c r="E39" s="6" t="str">
        <f>IFERROR(VLOOKUP(A39,search_engine!$B$2:AC1030,8,),"")</f>
        <v/>
      </c>
      <c r="F39" s="3" t="str">
        <f>IFERROR(VLOOKUP(A39,search_engine!$B$2:AC1030,10,),"")</f>
        <v/>
      </c>
      <c r="G39" s="3" t="str">
        <f>IFERROR(VLOOKUP(A39,search_engine!$B$2:AC1030,12,),"")</f>
        <v/>
      </c>
      <c r="H39" s="3" t="str">
        <f>IFERROR(VLOOKUP(A39,search_engine!$B$2:AC1030,14,),"")</f>
        <v/>
      </c>
      <c r="I39" s="3" t="str">
        <f>IFERROR(VLOOKUP(A39,search_engine!$B$2:AC1030,16,),"")</f>
        <v/>
      </c>
      <c r="J39" s="3" t="str">
        <f>IFERROR(VLOOKUP(A39,search_engine!$B$2:AC1030,18,),"")</f>
        <v/>
      </c>
      <c r="K39" s="3" t="str">
        <f>IFERROR(VLOOKUP(A39,search_engine!$B$2:AC1030,20,),"")</f>
        <v/>
      </c>
      <c r="L39" s="3" t="str">
        <f>IFERROR(VLOOKUP(A39,search_engine!$B$2:AC1030,22,),"")</f>
        <v/>
      </c>
      <c r="M39" s="3" t="str">
        <f>IFERROR(VLOOKUP(A39,search_engine!$B$2:AC1030,24,),"")</f>
        <v/>
      </c>
      <c r="N39" s="3" t="str">
        <f>IFERROR(VLOOKUP(A39,search_engine!$B$2:AC1030,26,),"")</f>
        <v/>
      </c>
      <c r="O39" s="3" t="str">
        <f>IFERROR(VLOOKUP(A39,search_engine!$B$2:AC1030,28,),"")</f>
        <v/>
      </c>
    </row>
    <row r="40" spans="1:15" ht="38.25" customHeight="1" thickTop="1" thickBot="1">
      <c r="A40" s="3">
        <v>32</v>
      </c>
      <c r="B40" s="5" t="str">
        <f>IFERROR(VLOOKUP(A40,search_engine!$B$2:AC1031,2,),"")</f>
        <v/>
      </c>
      <c r="C40" s="3" t="str">
        <f>IFERROR(VLOOKUP(A40,search_engine!$B$2:AC1031,4,),"")</f>
        <v/>
      </c>
      <c r="D40" s="5" t="str">
        <f>IFERROR(VLOOKUP(A40,search_engine!$B$2:AC1031,6,),"")</f>
        <v/>
      </c>
      <c r="E40" s="6" t="str">
        <f>IFERROR(VLOOKUP(A40,search_engine!$B$2:AC1031,8,),"")</f>
        <v/>
      </c>
      <c r="F40" s="3" t="str">
        <f>IFERROR(VLOOKUP(A40,search_engine!$B$2:AC1031,10,),"")</f>
        <v/>
      </c>
      <c r="G40" s="3" t="str">
        <f>IFERROR(VLOOKUP(A40,search_engine!$B$2:AC1031,12,),"")</f>
        <v/>
      </c>
      <c r="H40" s="3" t="str">
        <f>IFERROR(VLOOKUP(A40,search_engine!$B$2:AC1031,14,),"")</f>
        <v/>
      </c>
      <c r="I40" s="3" t="str">
        <f>IFERROR(VLOOKUP(A40,search_engine!$B$2:AC1031,16,),"")</f>
        <v/>
      </c>
      <c r="J40" s="3" t="str">
        <f>IFERROR(VLOOKUP(A40,search_engine!$B$2:AC1031,18,),"")</f>
        <v/>
      </c>
      <c r="K40" s="3" t="str">
        <f>IFERROR(VLOOKUP(A40,search_engine!$B$2:AC1031,20,),"")</f>
        <v/>
      </c>
      <c r="L40" s="3" t="str">
        <f>IFERROR(VLOOKUP(A40,search_engine!$B$2:AC1031,22,),"")</f>
        <v/>
      </c>
      <c r="M40" s="3" t="str">
        <f>IFERROR(VLOOKUP(A40,search_engine!$B$2:AC1031,24,),"")</f>
        <v/>
      </c>
      <c r="N40" s="3" t="str">
        <f>IFERROR(VLOOKUP(A40,search_engine!$B$2:AC1031,26,),"")</f>
        <v/>
      </c>
      <c r="O40" s="3" t="str">
        <f>IFERROR(VLOOKUP(A40,search_engine!$B$2:AC1031,28,),"")</f>
        <v/>
      </c>
    </row>
    <row r="41" spans="1:15" ht="38.25" customHeight="1" thickTop="1" thickBot="1">
      <c r="A41" s="3">
        <v>33</v>
      </c>
      <c r="B41" s="5" t="str">
        <f>IFERROR(VLOOKUP(A41,search_engine!$B$2:AC1032,2,),"")</f>
        <v/>
      </c>
      <c r="C41" s="3" t="str">
        <f>IFERROR(VLOOKUP(A41,search_engine!$B$2:AC1032,4,),"")</f>
        <v/>
      </c>
      <c r="D41" s="5" t="str">
        <f>IFERROR(VLOOKUP(A41,search_engine!$B$2:AC1032,6,),"")</f>
        <v/>
      </c>
      <c r="E41" s="6" t="str">
        <f>IFERROR(VLOOKUP(A41,search_engine!$B$2:AC1032,8,),"")</f>
        <v/>
      </c>
      <c r="F41" s="3" t="str">
        <f>IFERROR(VLOOKUP(A41,search_engine!$B$2:AC1032,10,),"")</f>
        <v/>
      </c>
      <c r="G41" s="3" t="str">
        <f>IFERROR(VLOOKUP(A41,search_engine!$B$2:AC1032,12,),"")</f>
        <v/>
      </c>
      <c r="H41" s="3" t="str">
        <f>IFERROR(VLOOKUP(A41,search_engine!$B$2:AC1032,14,),"")</f>
        <v/>
      </c>
      <c r="I41" s="3" t="str">
        <f>IFERROR(VLOOKUP(A41,search_engine!$B$2:AC1032,16,),"")</f>
        <v/>
      </c>
      <c r="J41" s="3" t="str">
        <f>IFERROR(VLOOKUP(A41,search_engine!$B$2:AC1032,18,),"")</f>
        <v/>
      </c>
      <c r="K41" s="3" t="str">
        <f>IFERROR(VLOOKUP(A41,search_engine!$B$2:AC1032,20,),"")</f>
        <v/>
      </c>
      <c r="L41" s="3" t="str">
        <f>IFERROR(VLOOKUP(A41,search_engine!$B$2:AC1032,22,),"")</f>
        <v/>
      </c>
      <c r="M41" s="3" t="str">
        <f>IFERROR(VLOOKUP(A41,search_engine!$B$2:AC1032,24,),"")</f>
        <v/>
      </c>
      <c r="N41" s="3" t="str">
        <f>IFERROR(VLOOKUP(A41,search_engine!$B$2:AC1032,26,),"")</f>
        <v/>
      </c>
      <c r="O41" s="3" t="str">
        <f>IFERROR(VLOOKUP(A41,search_engine!$B$2:AC1032,28,),"")</f>
        <v/>
      </c>
    </row>
    <row r="42" spans="1:15" ht="38.25" customHeight="1" thickTop="1" thickBot="1">
      <c r="A42" s="3">
        <v>34</v>
      </c>
      <c r="B42" s="5" t="str">
        <f>IFERROR(VLOOKUP(A42,search_engine!$B$2:AC1033,2,),"")</f>
        <v/>
      </c>
      <c r="C42" s="3" t="str">
        <f>IFERROR(VLOOKUP(A42,search_engine!$B$2:AC1033,4,),"")</f>
        <v/>
      </c>
      <c r="D42" s="5" t="str">
        <f>IFERROR(VLOOKUP(A42,search_engine!$B$2:AC1033,6,),"")</f>
        <v/>
      </c>
      <c r="E42" s="6" t="str">
        <f>IFERROR(VLOOKUP(A42,search_engine!$B$2:AC1033,8,),"")</f>
        <v/>
      </c>
      <c r="F42" s="3" t="str">
        <f>IFERROR(VLOOKUP(A42,search_engine!$B$2:AC1033,10,),"")</f>
        <v/>
      </c>
      <c r="G42" s="3" t="str">
        <f>IFERROR(VLOOKUP(A42,search_engine!$B$2:AC1033,12,),"")</f>
        <v/>
      </c>
      <c r="H42" s="3" t="str">
        <f>IFERROR(VLOOKUP(A42,search_engine!$B$2:AC1033,14,),"")</f>
        <v/>
      </c>
      <c r="I42" s="3" t="str">
        <f>IFERROR(VLOOKUP(A42,search_engine!$B$2:AC1033,16,),"")</f>
        <v/>
      </c>
      <c r="J42" s="3" t="str">
        <f>IFERROR(VLOOKUP(A42,search_engine!$B$2:AC1033,18,),"")</f>
        <v/>
      </c>
      <c r="K42" s="3" t="str">
        <f>IFERROR(VLOOKUP(A42,search_engine!$B$2:AC1033,20,),"")</f>
        <v/>
      </c>
      <c r="L42" s="3" t="str">
        <f>IFERROR(VLOOKUP(A42,search_engine!$B$2:AC1033,22,),"")</f>
        <v/>
      </c>
      <c r="M42" s="3" t="str">
        <f>IFERROR(VLOOKUP(A42,search_engine!$B$2:AC1033,24,),"")</f>
        <v/>
      </c>
      <c r="N42" s="3" t="str">
        <f>IFERROR(VLOOKUP(A42,search_engine!$B$2:AC1033,26,),"")</f>
        <v/>
      </c>
      <c r="O42" s="3" t="str">
        <f>IFERROR(VLOOKUP(A42,search_engine!$B$2:AC1033,28,),"")</f>
        <v/>
      </c>
    </row>
    <row r="43" spans="1:15" ht="38.25" customHeight="1" thickTop="1" thickBot="1">
      <c r="A43" s="3">
        <v>35</v>
      </c>
      <c r="B43" s="5" t="str">
        <f>IFERROR(VLOOKUP(A43,search_engine!$B$2:AC1034,2,),"")</f>
        <v/>
      </c>
      <c r="C43" s="3" t="str">
        <f>IFERROR(VLOOKUP(A43,search_engine!$B$2:AC1034,4,),"")</f>
        <v/>
      </c>
      <c r="D43" s="5" t="str">
        <f>IFERROR(VLOOKUP(A43,search_engine!$B$2:AC1034,6,),"")</f>
        <v/>
      </c>
      <c r="E43" s="6" t="str">
        <f>IFERROR(VLOOKUP(A43,search_engine!$B$2:AC1034,8,),"")</f>
        <v/>
      </c>
      <c r="F43" s="3" t="str">
        <f>IFERROR(VLOOKUP(A43,search_engine!$B$2:AC1034,10,),"")</f>
        <v/>
      </c>
      <c r="G43" s="3" t="str">
        <f>IFERROR(VLOOKUP(A43,search_engine!$B$2:AC1034,12,),"")</f>
        <v/>
      </c>
      <c r="H43" s="3" t="str">
        <f>IFERROR(VLOOKUP(A43,search_engine!$B$2:AC1034,14,),"")</f>
        <v/>
      </c>
      <c r="I43" s="3" t="str">
        <f>IFERROR(VLOOKUP(A43,search_engine!$B$2:AC1034,16,),"")</f>
        <v/>
      </c>
      <c r="J43" s="3" t="str">
        <f>IFERROR(VLOOKUP(A43,search_engine!$B$2:AC1034,18,),"")</f>
        <v/>
      </c>
      <c r="K43" s="3" t="str">
        <f>IFERROR(VLOOKUP(A43,search_engine!$B$2:AC1034,20,),"")</f>
        <v/>
      </c>
      <c r="L43" s="3" t="str">
        <f>IFERROR(VLOOKUP(A43,search_engine!$B$2:AC1034,22,),"")</f>
        <v/>
      </c>
      <c r="M43" s="3" t="str">
        <f>IFERROR(VLOOKUP(A43,search_engine!$B$2:AC1034,24,),"")</f>
        <v/>
      </c>
      <c r="N43" s="3" t="str">
        <f>IFERROR(VLOOKUP(A43,search_engine!$B$2:AC1034,26,),"")</f>
        <v/>
      </c>
      <c r="O43" s="3" t="str">
        <f>IFERROR(VLOOKUP(A43,search_engine!$B$2:AC1034,28,),"")</f>
        <v/>
      </c>
    </row>
    <row r="44" spans="1:15" ht="38.25" customHeight="1" thickTop="1" thickBot="1">
      <c r="A44" s="3">
        <v>36</v>
      </c>
      <c r="B44" s="5" t="str">
        <f>IFERROR(VLOOKUP(A44,search_engine!$B$2:AC1035,2,),"")</f>
        <v/>
      </c>
      <c r="C44" s="3" t="str">
        <f>IFERROR(VLOOKUP(A44,search_engine!$B$2:AC1035,4,),"")</f>
        <v/>
      </c>
      <c r="D44" s="5" t="str">
        <f>IFERROR(VLOOKUP(A44,search_engine!$B$2:AC1035,6,),"")</f>
        <v/>
      </c>
      <c r="E44" s="6" t="str">
        <f>IFERROR(VLOOKUP(A44,search_engine!$B$2:AC1035,8,),"")</f>
        <v/>
      </c>
      <c r="F44" s="3" t="str">
        <f>IFERROR(VLOOKUP(A44,search_engine!$B$2:AC1035,10,),"")</f>
        <v/>
      </c>
      <c r="G44" s="3" t="str">
        <f>IFERROR(VLOOKUP(A44,search_engine!$B$2:AC1035,12,),"")</f>
        <v/>
      </c>
      <c r="H44" s="3" t="str">
        <f>IFERROR(VLOOKUP(A44,search_engine!$B$2:AC1035,14,),"")</f>
        <v/>
      </c>
      <c r="I44" s="3" t="str">
        <f>IFERROR(VLOOKUP(A44,search_engine!$B$2:AC1035,16,),"")</f>
        <v/>
      </c>
      <c r="J44" s="3" t="str">
        <f>IFERROR(VLOOKUP(A44,search_engine!$B$2:AC1035,18,),"")</f>
        <v/>
      </c>
      <c r="K44" s="3" t="str">
        <f>IFERROR(VLOOKUP(A44,search_engine!$B$2:AC1035,20,),"")</f>
        <v/>
      </c>
      <c r="L44" s="3" t="str">
        <f>IFERROR(VLOOKUP(A44,search_engine!$B$2:AC1035,22,),"")</f>
        <v/>
      </c>
      <c r="M44" s="3" t="str">
        <f>IFERROR(VLOOKUP(A44,search_engine!$B$2:AC1035,24,),"")</f>
        <v/>
      </c>
      <c r="N44" s="3" t="str">
        <f>IFERROR(VLOOKUP(A44,search_engine!$B$2:AC1035,26,),"")</f>
        <v/>
      </c>
      <c r="O44" s="3" t="str">
        <f>IFERROR(VLOOKUP(A44,search_engine!$B$2:AC1035,28,),"")</f>
        <v/>
      </c>
    </row>
    <row r="45" spans="1:15" ht="38.25" customHeight="1" thickTop="1" thickBot="1">
      <c r="A45" s="3">
        <v>37</v>
      </c>
      <c r="B45" s="5" t="str">
        <f>IFERROR(VLOOKUP(A45,search_engine!$B$2:AC1036,2,),"")</f>
        <v/>
      </c>
      <c r="C45" s="3" t="str">
        <f>IFERROR(VLOOKUP(A45,search_engine!$B$2:AC1036,4,),"")</f>
        <v/>
      </c>
      <c r="D45" s="5" t="str">
        <f>IFERROR(VLOOKUP(A45,search_engine!$B$2:AC1036,6,),"")</f>
        <v/>
      </c>
      <c r="E45" s="6" t="str">
        <f>IFERROR(VLOOKUP(A45,search_engine!$B$2:AC1036,8,),"")</f>
        <v/>
      </c>
      <c r="F45" s="3" t="str">
        <f>IFERROR(VLOOKUP(A45,search_engine!$B$2:AC1036,10,),"")</f>
        <v/>
      </c>
      <c r="G45" s="3" t="str">
        <f>IFERROR(VLOOKUP(A45,search_engine!$B$2:AC1036,12,),"")</f>
        <v/>
      </c>
      <c r="H45" s="3" t="str">
        <f>IFERROR(VLOOKUP(A45,search_engine!$B$2:AC1036,14,),"")</f>
        <v/>
      </c>
      <c r="I45" s="3" t="str">
        <f>IFERROR(VLOOKUP(A45,search_engine!$B$2:AC1036,16,),"")</f>
        <v/>
      </c>
      <c r="J45" s="3" t="str">
        <f>IFERROR(VLOOKUP(A45,search_engine!$B$2:AC1036,18,),"")</f>
        <v/>
      </c>
      <c r="K45" s="3" t="str">
        <f>IFERROR(VLOOKUP(A45,search_engine!$B$2:AC1036,20,),"")</f>
        <v/>
      </c>
      <c r="L45" s="3" t="str">
        <f>IFERROR(VLOOKUP(A45,search_engine!$B$2:AC1036,22,),"")</f>
        <v/>
      </c>
      <c r="M45" s="3" t="str">
        <f>IFERROR(VLOOKUP(A45,search_engine!$B$2:AC1036,24,),"")</f>
        <v/>
      </c>
      <c r="N45" s="3" t="str">
        <f>IFERROR(VLOOKUP(A45,search_engine!$B$2:AC1036,26,),"")</f>
        <v/>
      </c>
      <c r="O45" s="3" t="str">
        <f>IFERROR(VLOOKUP(A45,search_engine!$B$2:AC1036,28,),"")</f>
        <v/>
      </c>
    </row>
    <row r="46" spans="1:15" ht="38.25" customHeight="1" thickTop="1" thickBot="1">
      <c r="A46" s="3">
        <v>38</v>
      </c>
      <c r="B46" s="5" t="str">
        <f>IFERROR(VLOOKUP(A46,search_engine!$B$2:AC1037,2,),"")</f>
        <v/>
      </c>
      <c r="C46" s="3" t="str">
        <f>IFERROR(VLOOKUP(A46,search_engine!$B$2:AC1037,4,),"")</f>
        <v/>
      </c>
      <c r="D46" s="5" t="str">
        <f>IFERROR(VLOOKUP(A46,search_engine!$B$2:AC1037,6,),"")</f>
        <v/>
      </c>
      <c r="E46" s="6" t="str">
        <f>IFERROR(VLOOKUP(A46,search_engine!$B$2:AC1037,8,),"")</f>
        <v/>
      </c>
      <c r="F46" s="3" t="str">
        <f>IFERROR(VLOOKUP(A46,search_engine!$B$2:AC1037,10,),"")</f>
        <v/>
      </c>
      <c r="G46" s="3" t="str">
        <f>IFERROR(VLOOKUP(A46,search_engine!$B$2:AC1037,12,),"")</f>
        <v/>
      </c>
      <c r="H46" s="3" t="str">
        <f>IFERROR(VLOOKUP(A46,search_engine!$B$2:AC1037,14,),"")</f>
        <v/>
      </c>
      <c r="I46" s="3" t="str">
        <f>IFERROR(VLOOKUP(A46,search_engine!$B$2:AC1037,16,),"")</f>
        <v/>
      </c>
      <c r="J46" s="3" t="str">
        <f>IFERROR(VLOOKUP(A46,search_engine!$B$2:AC1037,18,),"")</f>
        <v/>
      </c>
      <c r="K46" s="3" t="str">
        <f>IFERROR(VLOOKUP(A46,search_engine!$B$2:AC1037,20,),"")</f>
        <v/>
      </c>
      <c r="L46" s="3" t="str">
        <f>IFERROR(VLOOKUP(A46,search_engine!$B$2:AC1037,22,),"")</f>
        <v/>
      </c>
      <c r="M46" s="3" t="str">
        <f>IFERROR(VLOOKUP(A46,search_engine!$B$2:AC1037,24,),"")</f>
        <v/>
      </c>
      <c r="N46" s="3" t="str">
        <f>IFERROR(VLOOKUP(A46,search_engine!$B$2:AC1037,26,),"")</f>
        <v/>
      </c>
      <c r="O46" s="3" t="str">
        <f>IFERROR(VLOOKUP(A46,search_engine!$B$2:AC1037,28,),"")</f>
        <v/>
      </c>
    </row>
    <row r="47" spans="1:15" ht="38.25" customHeight="1" thickTop="1" thickBot="1">
      <c r="A47" s="3">
        <v>39</v>
      </c>
      <c r="B47" s="5" t="str">
        <f>IFERROR(VLOOKUP(A47,search_engine!$B$2:AC1038,2,),"")</f>
        <v/>
      </c>
      <c r="C47" s="3" t="str">
        <f>IFERROR(VLOOKUP(A47,search_engine!$B$2:AC1038,4,),"")</f>
        <v/>
      </c>
      <c r="D47" s="5" t="str">
        <f>IFERROR(VLOOKUP(A47,search_engine!$B$2:AC1038,6,),"")</f>
        <v/>
      </c>
      <c r="E47" s="6" t="str">
        <f>IFERROR(VLOOKUP(A47,search_engine!$B$2:AC1038,8,),"")</f>
        <v/>
      </c>
      <c r="F47" s="3" t="str">
        <f>IFERROR(VLOOKUP(A47,search_engine!$B$2:AC1038,10,),"")</f>
        <v/>
      </c>
      <c r="G47" s="3" t="str">
        <f>IFERROR(VLOOKUP(A47,search_engine!$B$2:AC1038,12,),"")</f>
        <v/>
      </c>
      <c r="H47" s="3" t="str">
        <f>IFERROR(VLOOKUP(A47,search_engine!$B$2:AC1038,14,),"")</f>
        <v/>
      </c>
      <c r="I47" s="3" t="str">
        <f>IFERROR(VLOOKUP(A47,search_engine!$B$2:AC1038,16,),"")</f>
        <v/>
      </c>
      <c r="J47" s="3" t="str">
        <f>IFERROR(VLOOKUP(A47,search_engine!$B$2:AC1038,18,),"")</f>
        <v/>
      </c>
      <c r="K47" s="3" t="str">
        <f>IFERROR(VLOOKUP(A47,search_engine!$B$2:AC1038,20,),"")</f>
        <v/>
      </c>
      <c r="L47" s="3" t="str">
        <f>IFERROR(VLOOKUP(A47,search_engine!$B$2:AC1038,22,),"")</f>
        <v/>
      </c>
      <c r="M47" s="3" t="str">
        <f>IFERROR(VLOOKUP(A47,search_engine!$B$2:AC1038,24,),"")</f>
        <v/>
      </c>
      <c r="N47" s="3" t="str">
        <f>IFERROR(VLOOKUP(A47,search_engine!$B$2:AC1038,26,),"")</f>
        <v/>
      </c>
      <c r="O47" s="3" t="str">
        <f>IFERROR(VLOOKUP(A47,search_engine!$B$2:AC1038,28,),"")</f>
        <v/>
      </c>
    </row>
    <row r="48" spans="1:15" ht="38.25" customHeight="1" thickTop="1" thickBot="1">
      <c r="A48" s="3">
        <v>40</v>
      </c>
      <c r="B48" s="5" t="str">
        <f>IFERROR(VLOOKUP(A48,search_engine!$B$2:AC1039,2,),"")</f>
        <v/>
      </c>
      <c r="C48" s="3" t="str">
        <f>IFERROR(VLOOKUP(A48,search_engine!$B$2:AC1039,4,),"")</f>
        <v/>
      </c>
      <c r="D48" s="5" t="str">
        <f>IFERROR(VLOOKUP(A48,search_engine!$B$2:AC1039,6,),"")</f>
        <v/>
      </c>
      <c r="E48" s="6" t="str">
        <f>IFERROR(VLOOKUP(A48,search_engine!$B$2:AC1039,8,),"")</f>
        <v/>
      </c>
      <c r="F48" s="3" t="str">
        <f>IFERROR(VLOOKUP(A48,search_engine!$B$2:AC1039,10,),"")</f>
        <v/>
      </c>
      <c r="G48" s="3" t="str">
        <f>IFERROR(VLOOKUP(A48,search_engine!$B$2:AC1039,12,),"")</f>
        <v/>
      </c>
      <c r="H48" s="3" t="str">
        <f>IFERROR(VLOOKUP(A48,search_engine!$B$2:AC1039,14,),"")</f>
        <v/>
      </c>
      <c r="I48" s="3" t="str">
        <f>IFERROR(VLOOKUP(A48,search_engine!$B$2:AC1039,16,),"")</f>
        <v/>
      </c>
      <c r="J48" s="3" t="str">
        <f>IFERROR(VLOOKUP(A48,search_engine!$B$2:AC1039,18,),"")</f>
        <v/>
      </c>
      <c r="K48" s="3" t="str">
        <f>IFERROR(VLOOKUP(A48,search_engine!$B$2:AC1039,20,),"")</f>
        <v/>
      </c>
      <c r="L48" s="3" t="str">
        <f>IFERROR(VLOOKUP(A48,search_engine!$B$2:AC1039,22,),"")</f>
        <v/>
      </c>
      <c r="M48" s="3" t="str">
        <f>IFERROR(VLOOKUP(A48,search_engine!$B$2:AC1039,24,),"")</f>
        <v/>
      </c>
      <c r="N48" s="3" t="str">
        <f>IFERROR(VLOOKUP(A48,search_engine!$B$2:AC1039,26,),"")</f>
        <v/>
      </c>
      <c r="O48" s="3" t="str">
        <f>IFERROR(VLOOKUP(A48,search_engine!$B$2:AC1039,28,),"")</f>
        <v/>
      </c>
    </row>
    <row r="49" spans="1:15" ht="38.25" customHeight="1" thickTop="1" thickBot="1">
      <c r="A49" s="3">
        <v>41</v>
      </c>
      <c r="B49" s="5" t="str">
        <f>IFERROR(VLOOKUP(A49,search_engine!$B$2:AC1040,2,),"")</f>
        <v/>
      </c>
      <c r="C49" s="3" t="str">
        <f>IFERROR(VLOOKUP(A49,search_engine!$B$2:AC1040,4,),"")</f>
        <v/>
      </c>
      <c r="D49" s="5" t="str">
        <f>IFERROR(VLOOKUP(A49,search_engine!$B$2:AC1040,6,),"")</f>
        <v/>
      </c>
      <c r="E49" s="6" t="str">
        <f>IFERROR(VLOOKUP(A49,search_engine!$B$2:AC1040,8,),"")</f>
        <v/>
      </c>
      <c r="F49" s="3" t="str">
        <f>IFERROR(VLOOKUP(A49,search_engine!$B$2:AC1040,10,),"")</f>
        <v/>
      </c>
      <c r="G49" s="3" t="str">
        <f>IFERROR(VLOOKUP(A49,search_engine!$B$2:AC1040,12,),"")</f>
        <v/>
      </c>
      <c r="H49" s="3" t="str">
        <f>IFERROR(VLOOKUP(A49,search_engine!$B$2:AC1040,14,),"")</f>
        <v/>
      </c>
      <c r="I49" s="3" t="str">
        <f>IFERROR(VLOOKUP(A49,search_engine!$B$2:AC1040,16,),"")</f>
        <v/>
      </c>
      <c r="J49" s="3" t="str">
        <f>IFERROR(VLOOKUP(A49,search_engine!$B$2:AC1040,18,),"")</f>
        <v/>
      </c>
      <c r="K49" s="3" t="str">
        <f>IFERROR(VLOOKUP(A49,search_engine!$B$2:AC1040,20,),"")</f>
        <v/>
      </c>
      <c r="L49" s="3" t="str">
        <f>IFERROR(VLOOKUP(A49,search_engine!$B$2:AC1040,22,),"")</f>
        <v/>
      </c>
      <c r="M49" s="3" t="str">
        <f>IFERROR(VLOOKUP(A49,search_engine!$B$2:AC1040,24,),"")</f>
        <v/>
      </c>
      <c r="N49" s="3" t="str">
        <f>IFERROR(VLOOKUP(A49,search_engine!$B$2:AC1040,26,),"")</f>
        <v/>
      </c>
      <c r="O49" s="3" t="str">
        <f>IFERROR(VLOOKUP(A49,search_engine!$B$2:AC1040,28,),"")</f>
        <v/>
      </c>
    </row>
    <row r="50" spans="1:15" ht="38.25" customHeight="1" thickTop="1" thickBot="1">
      <c r="A50" s="3">
        <v>42</v>
      </c>
      <c r="B50" s="5" t="str">
        <f>IFERROR(VLOOKUP(A50,search_engine!$B$2:AC1041,2,),"")</f>
        <v/>
      </c>
      <c r="C50" s="3" t="str">
        <f>IFERROR(VLOOKUP(A50,search_engine!$B$2:AC1041,4,),"")</f>
        <v/>
      </c>
      <c r="D50" s="5" t="str">
        <f>IFERROR(VLOOKUP(A50,search_engine!$B$2:AC1041,6,),"")</f>
        <v/>
      </c>
      <c r="E50" s="6" t="str">
        <f>IFERROR(VLOOKUP(A50,search_engine!$B$2:AC1041,8,),"")</f>
        <v/>
      </c>
      <c r="F50" s="3" t="str">
        <f>IFERROR(VLOOKUP(A50,search_engine!$B$2:AC1041,10,),"")</f>
        <v/>
      </c>
      <c r="G50" s="3" t="str">
        <f>IFERROR(VLOOKUP(A50,search_engine!$B$2:AC1041,12,),"")</f>
        <v/>
      </c>
      <c r="H50" s="3" t="str">
        <f>IFERROR(VLOOKUP(A50,search_engine!$B$2:AC1041,14,),"")</f>
        <v/>
      </c>
      <c r="I50" s="3" t="str">
        <f>IFERROR(VLOOKUP(A50,search_engine!$B$2:AC1041,16,),"")</f>
        <v/>
      </c>
      <c r="J50" s="3" t="str">
        <f>IFERROR(VLOOKUP(A50,search_engine!$B$2:AC1041,18,),"")</f>
        <v/>
      </c>
      <c r="K50" s="3" t="str">
        <f>IFERROR(VLOOKUP(A50,search_engine!$B$2:AC1041,20,),"")</f>
        <v/>
      </c>
      <c r="L50" s="3" t="str">
        <f>IFERROR(VLOOKUP(A50,search_engine!$B$2:AC1041,22,),"")</f>
        <v/>
      </c>
      <c r="M50" s="3" t="str">
        <f>IFERROR(VLOOKUP(A50,search_engine!$B$2:AC1041,24,),"")</f>
        <v/>
      </c>
      <c r="N50" s="3" t="str">
        <f>IFERROR(VLOOKUP(A50,search_engine!$B$2:AC1041,26,),"")</f>
        <v/>
      </c>
      <c r="O50" s="3" t="str">
        <f>IFERROR(VLOOKUP(A50,search_engine!$B$2:AC1041,28,),"")</f>
        <v/>
      </c>
    </row>
    <row r="51" spans="1:15" ht="38.25" customHeight="1" thickTop="1" thickBot="1">
      <c r="A51" s="3">
        <v>43</v>
      </c>
      <c r="B51" s="5" t="str">
        <f>IFERROR(VLOOKUP(A51,search_engine!$B$2:AC1042,2,),"")</f>
        <v/>
      </c>
      <c r="C51" s="3" t="str">
        <f>IFERROR(VLOOKUP(A51,search_engine!$B$2:AC1042,4,),"")</f>
        <v/>
      </c>
      <c r="D51" s="5" t="str">
        <f>IFERROR(VLOOKUP(A51,search_engine!$B$2:AC1042,6,),"")</f>
        <v/>
      </c>
      <c r="E51" s="6" t="str">
        <f>IFERROR(VLOOKUP(A51,search_engine!$B$2:AC1042,8,),"")</f>
        <v/>
      </c>
      <c r="F51" s="3" t="str">
        <f>IFERROR(VLOOKUP(A51,search_engine!$B$2:AC1042,10,),"")</f>
        <v/>
      </c>
      <c r="G51" s="3" t="str">
        <f>IFERROR(VLOOKUP(A51,search_engine!$B$2:AC1042,12,),"")</f>
        <v/>
      </c>
      <c r="H51" s="3" t="str">
        <f>IFERROR(VLOOKUP(A51,search_engine!$B$2:AC1042,14,),"")</f>
        <v/>
      </c>
      <c r="I51" s="3" t="str">
        <f>IFERROR(VLOOKUP(A51,search_engine!$B$2:AC1042,16,),"")</f>
        <v/>
      </c>
      <c r="J51" s="3" t="str">
        <f>IFERROR(VLOOKUP(A51,search_engine!$B$2:AC1042,18,),"")</f>
        <v/>
      </c>
      <c r="K51" s="3" t="str">
        <f>IFERROR(VLOOKUP(A51,search_engine!$B$2:AC1042,20,),"")</f>
        <v/>
      </c>
      <c r="L51" s="3" t="str">
        <f>IFERROR(VLOOKUP(A51,search_engine!$B$2:AC1042,22,),"")</f>
        <v/>
      </c>
      <c r="M51" s="3" t="str">
        <f>IFERROR(VLOOKUP(A51,search_engine!$B$2:AC1042,24,),"")</f>
        <v/>
      </c>
      <c r="N51" s="3" t="str">
        <f>IFERROR(VLOOKUP(A51,search_engine!$B$2:AC1042,26,),"")</f>
        <v/>
      </c>
      <c r="O51" s="3" t="str">
        <f>IFERROR(VLOOKUP(A51,search_engine!$B$2:AC1042,28,),"")</f>
        <v/>
      </c>
    </row>
    <row r="52" spans="1:15" ht="38.25" customHeight="1" thickTop="1" thickBot="1">
      <c r="A52" s="3">
        <v>44</v>
      </c>
      <c r="B52" s="5" t="str">
        <f>IFERROR(VLOOKUP(A52,search_engine!$B$2:AC1043,2,),"")</f>
        <v/>
      </c>
      <c r="C52" s="3" t="str">
        <f>IFERROR(VLOOKUP(A52,search_engine!$B$2:AC1043,4,),"")</f>
        <v/>
      </c>
      <c r="D52" s="5" t="str">
        <f>IFERROR(VLOOKUP(A52,search_engine!$B$2:AC1043,6,),"")</f>
        <v/>
      </c>
      <c r="E52" s="6" t="str">
        <f>IFERROR(VLOOKUP(A52,search_engine!$B$2:AC1043,8,),"")</f>
        <v/>
      </c>
      <c r="F52" s="3" t="str">
        <f>IFERROR(VLOOKUP(A52,search_engine!$B$2:AC1043,10,),"")</f>
        <v/>
      </c>
      <c r="G52" s="3" t="str">
        <f>IFERROR(VLOOKUP(A52,search_engine!$B$2:AC1043,12,),"")</f>
        <v/>
      </c>
      <c r="H52" s="3" t="str">
        <f>IFERROR(VLOOKUP(A52,search_engine!$B$2:AC1043,14,),"")</f>
        <v/>
      </c>
      <c r="I52" s="3" t="str">
        <f>IFERROR(VLOOKUP(A52,search_engine!$B$2:AC1043,16,),"")</f>
        <v/>
      </c>
      <c r="J52" s="3" t="str">
        <f>IFERROR(VLOOKUP(A52,search_engine!$B$2:AC1043,18,),"")</f>
        <v/>
      </c>
      <c r="K52" s="3" t="str">
        <f>IFERROR(VLOOKUP(A52,search_engine!$B$2:AC1043,20,),"")</f>
        <v/>
      </c>
      <c r="L52" s="3" t="str">
        <f>IFERROR(VLOOKUP(A52,search_engine!$B$2:AC1043,22,),"")</f>
        <v/>
      </c>
      <c r="M52" s="3" t="str">
        <f>IFERROR(VLOOKUP(A52,search_engine!$B$2:AC1043,24,),"")</f>
        <v/>
      </c>
      <c r="N52" s="3" t="str">
        <f>IFERROR(VLOOKUP(A52,search_engine!$B$2:AC1043,26,),"")</f>
        <v/>
      </c>
      <c r="O52" s="3" t="str">
        <f>IFERROR(VLOOKUP(A52,search_engine!$B$2:AC1043,28,),"")</f>
        <v/>
      </c>
    </row>
    <row r="53" spans="1:15" ht="38.25" customHeight="1" thickTop="1" thickBot="1">
      <c r="A53" s="3">
        <v>45</v>
      </c>
      <c r="B53" s="5" t="str">
        <f>IFERROR(VLOOKUP(A53,search_engine!$B$2:AC1044,2,),"")</f>
        <v/>
      </c>
      <c r="C53" s="3" t="str">
        <f>IFERROR(VLOOKUP(A53,search_engine!$B$2:AC1044,4,),"")</f>
        <v/>
      </c>
      <c r="D53" s="5" t="str">
        <f>IFERROR(VLOOKUP(A53,search_engine!$B$2:AC1044,6,),"")</f>
        <v/>
      </c>
      <c r="E53" s="6" t="str">
        <f>IFERROR(VLOOKUP(A53,search_engine!$B$2:AC1044,8,),"")</f>
        <v/>
      </c>
      <c r="F53" s="3" t="str">
        <f>IFERROR(VLOOKUP(A53,search_engine!$B$2:AC1044,10,),"")</f>
        <v/>
      </c>
      <c r="G53" s="3" t="str">
        <f>IFERROR(VLOOKUP(A53,search_engine!$B$2:AC1044,12,),"")</f>
        <v/>
      </c>
      <c r="H53" s="3" t="str">
        <f>IFERROR(VLOOKUP(A53,search_engine!$B$2:AC1044,14,),"")</f>
        <v/>
      </c>
      <c r="I53" s="3" t="str">
        <f>IFERROR(VLOOKUP(A53,search_engine!$B$2:AC1044,16,),"")</f>
        <v/>
      </c>
      <c r="J53" s="3" t="str">
        <f>IFERROR(VLOOKUP(A53,search_engine!$B$2:AC1044,18,),"")</f>
        <v/>
      </c>
      <c r="K53" s="3" t="str">
        <f>IFERROR(VLOOKUP(A53,search_engine!$B$2:AC1044,20,),"")</f>
        <v/>
      </c>
      <c r="L53" s="3" t="str">
        <f>IFERROR(VLOOKUP(A53,search_engine!$B$2:AC1044,22,),"")</f>
        <v/>
      </c>
      <c r="M53" s="3" t="str">
        <f>IFERROR(VLOOKUP(A53,search_engine!$B$2:AC1044,24,),"")</f>
        <v/>
      </c>
      <c r="N53" s="3" t="str">
        <f>IFERROR(VLOOKUP(A53,search_engine!$B$2:AC1044,26,),"")</f>
        <v/>
      </c>
      <c r="O53" s="3" t="str">
        <f>IFERROR(VLOOKUP(A53,search_engine!$B$2:AC1044,28,),"")</f>
        <v/>
      </c>
    </row>
    <row r="54" spans="1:15" ht="38.25" customHeight="1" thickTop="1" thickBot="1">
      <c r="A54" s="3">
        <v>46</v>
      </c>
      <c r="B54" s="5" t="str">
        <f>IFERROR(VLOOKUP(A54,search_engine!$B$2:AC1045,2,),"")</f>
        <v/>
      </c>
      <c r="C54" s="3" t="str">
        <f>IFERROR(VLOOKUP(A54,search_engine!$B$2:AC1045,4,),"")</f>
        <v/>
      </c>
      <c r="D54" s="5" t="str">
        <f>IFERROR(VLOOKUP(A54,search_engine!$B$2:AC1045,6,),"")</f>
        <v/>
      </c>
      <c r="E54" s="6" t="str">
        <f>IFERROR(VLOOKUP(A54,search_engine!$B$2:AC1045,8,),"")</f>
        <v/>
      </c>
      <c r="F54" s="3" t="str">
        <f>IFERROR(VLOOKUP(A54,search_engine!$B$2:AC1045,10,),"")</f>
        <v/>
      </c>
      <c r="G54" s="3" t="str">
        <f>IFERROR(VLOOKUP(A54,search_engine!$B$2:AC1045,12,),"")</f>
        <v/>
      </c>
      <c r="H54" s="3" t="str">
        <f>IFERROR(VLOOKUP(A54,search_engine!$B$2:AC1045,14,),"")</f>
        <v/>
      </c>
      <c r="I54" s="3" t="str">
        <f>IFERROR(VLOOKUP(A54,search_engine!$B$2:AC1045,16,),"")</f>
        <v/>
      </c>
      <c r="J54" s="3" t="str">
        <f>IFERROR(VLOOKUP(A54,search_engine!$B$2:AC1045,18,),"")</f>
        <v/>
      </c>
      <c r="K54" s="3" t="str">
        <f>IFERROR(VLOOKUP(A54,search_engine!$B$2:AC1045,20,),"")</f>
        <v/>
      </c>
      <c r="L54" s="3" t="str">
        <f>IFERROR(VLOOKUP(A54,search_engine!$B$2:AC1045,22,),"")</f>
        <v/>
      </c>
      <c r="M54" s="3" t="str">
        <f>IFERROR(VLOOKUP(A54,search_engine!$B$2:AC1045,24,),"")</f>
        <v/>
      </c>
      <c r="N54" s="3" t="str">
        <f>IFERROR(VLOOKUP(A54,search_engine!$B$2:AC1045,26,),"")</f>
        <v/>
      </c>
      <c r="O54" s="3" t="str">
        <f>IFERROR(VLOOKUP(A54,search_engine!$B$2:AC1045,28,),"")</f>
        <v/>
      </c>
    </row>
    <row r="55" spans="1:15" ht="38.25" customHeight="1" thickTop="1" thickBot="1">
      <c r="A55" s="3">
        <v>47</v>
      </c>
      <c r="B55" s="5" t="str">
        <f>IFERROR(VLOOKUP(A55,search_engine!$B$2:AC1046,2,),"")</f>
        <v/>
      </c>
      <c r="C55" s="3" t="str">
        <f>IFERROR(VLOOKUP(A55,search_engine!$B$2:AC1046,4,),"")</f>
        <v/>
      </c>
      <c r="D55" s="5" t="str">
        <f>IFERROR(VLOOKUP(A55,search_engine!$B$2:AC1046,6,),"")</f>
        <v/>
      </c>
      <c r="E55" s="6" t="str">
        <f>IFERROR(VLOOKUP(A55,search_engine!$B$2:AC1046,8,),"")</f>
        <v/>
      </c>
      <c r="F55" s="3" t="str">
        <f>IFERROR(VLOOKUP(A55,search_engine!$B$2:AC1046,10,),"")</f>
        <v/>
      </c>
      <c r="G55" s="3" t="str">
        <f>IFERROR(VLOOKUP(A55,search_engine!$B$2:AC1046,12,),"")</f>
        <v/>
      </c>
      <c r="H55" s="3" t="str">
        <f>IFERROR(VLOOKUP(A55,search_engine!$B$2:AC1046,14,),"")</f>
        <v/>
      </c>
      <c r="I55" s="3" t="str">
        <f>IFERROR(VLOOKUP(A55,search_engine!$B$2:AC1046,16,),"")</f>
        <v/>
      </c>
      <c r="J55" s="3" t="str">
        <f>IFERROR(VLOOKUP(A55,search_engine!$B$2:AC1046,18,),"")</f>
        <v/>
      </c>
      <c r="K55" s="3" t="str">
        <f>IFERROR(VLOOKUP(A55,search_engine!$B$2:AC1046,20,),"")</f>
        <v/>
      </c>
      <c r="L55" s="3" t="str">
        <f>IFERROR(VLOOKUP(A55,search_engine!$B$2:AC1046,22,),"")</f>
        <v/>
      </c>
      <c r="M55" s="3" t="str">
        <f>IFERROR(VLOOKUP(A55,search_engine!$B$2:AC1046,24,),"")</f>
        <v/>
      </c>
      <c r="N55" s="3" t="str">
        <f>IFERROR(VLOOKUP(A55,search_engine!$B$2:AC1046,26,),"")</f>
        <v/>
      </c>
      <c r="O55" s="3" t="str">
        <f>IFERROR(VLOOKUP(A55,search_engine!$B$2:AC1046,28,),"")</f>
        <v/>
      </c>
    </row>
    <row r="56" spans="1:15" ht="38.25" customHeight="1" thickTop="1" thickBot="1">
      <c r="A56" s="3">
        <v>48</v>
      </c>
      <c r="B56" s="5" t="str">
        <f>IFERROR(VLOOKUP(A56,search_engine!$B$2:AC1047,2,),"")</f>
        <v/>
      </c>
      <c r="C56" s="3" t="str">
        <f>IFERROR(VLOOKUP(A56,search_engine!$B$2:AC1047,4,),"")</f>
        <v/>
      </c>
      <c r="D56" s="5" t="str">
        <f>IFERROR(VLOOKUP(A56,search_engine!$B$2:AC1047,6,),"")</f>
        <v/>
      </c>
      <c r="E56" s="6" t="str">
        <f>IFERROR(VLOOKUP(A56,search_engine!$B$2:AC1047,8,),"")</f>
        <v/>
      </c>
      <c r="F56" s="3" t="str">
        <f>IFERROR(VLOOKUP(A56,search_engine!$B$2:AC1047,10,),"")</f>
        <v/>
      </c>
      <c r="G56" s="3" t="str">
        <f>IFERROR(VLOOKUP(A56,search_engine!$B$2:AC1047,12,),"")</f>
        <v/>
      </c>
      <c r="H56" s="3" t="str">
        <f>IFERROR(VLOOKUP(A56,search_engine!$B$2:AC1047,14,),"")</f>
        <v/>
      </c>
      <c r="I56" s="3" t="str">
        <f>IFERROR(VLOOKUP(A56,search_engine!$B$2:AC1047,16,),"")</f>
        <v/>
      </c>
      <c r="J56" s="3" t="str">
        <f>IFERROR(VLOOKUP(A56,search_engine!$B$2:AC1047,18,),"")</f>
        <v/>
      </c>
      <c r="K56" s="3" t="str">
        <f>IFERROR(VLOOKUP(A56,search_engine!$B$2:AC1047,20,),"")</f>
        <v/>
      </c>
      <c r="L56" s="3" t="str">
        <f>IFERROR(VLOOKUP(A56,search_engine!$B$2:AC1047,22,),"")</f>
        <v/>
      </c>
      <c r="M56" s="3" t="str">
        <f>IFERROR(VLOOKUP(A56,search_engine!$B$2:AC1047,24,),"")</f>
        <v/>
      </c>
      <c r="N56" s="3" t="str">
        <f>IFERROR(VLOOKUP(A56,search_engine!$B$2:AC1047,26,),"")</f>
        <v/>
      </c>
      <c r="O56" s="3" t="str">
        <f>IFERROR(VLOOKUP(A56,search_engine!$B$2:AC1047,28,),"")</f>
        <v/>
      </c>
    </row>
    <row r="57" spans="1:15" ht="38.25" customHeight="1" thickTop="1" thickBot="1">
      <c r="A57" s="3">
        <v>49</v>
      </c>
      <c r="B57" s="5" t="str">
        <f>IFERROR(VLOOKUP(A57,search_engine!$B$2:AC1048,2,),"")</f>
        <v/>
      </c>
      <c r="C57" s="3" t="str">
        <f>IFERROR(VLOOKUP(A57,search_engine!$B$2:AC1048,4,),"")</f>
        <v/>
      </c>
      <c r="D57" s="5" t="str">
        <f>IFERROR(VLOOKUP(A57,search_engine!$B$2:AC1048,6,),"")</f>
        <v/>
      </c>
      <c r="E57" s="6" t="str">
        <f>IFERROR(VLOOKUP(A57,search_engine!$B$2:AC1048,8,),"")</f>
        <v/>
      </c>
      <c r="F57" s="3" t="str">
        <f>IFERROR(VLOOKUP(A57,search_engine!$B$2:AC1048,10,),"")</f>
        <v/>
      </c>
      <c r="G57" s="3" t="str">
        <f>IFERROR(VLOOKUP(A57,search_engine!$B$2:AC1048,12,),"")</f>
        <v/>
      </c>
      <c r="H57" s="3" t="str">
        <f>IFERROR(VLOOKUP(A57,search_engine!$B$2:AC1048,14,),"")</f>
        <v/>
      </c>
      <c r="I57" s="3" t="str">
        <f>IFERROR(VLOOKUP(A57,search_engine!$B$2:AC1048,16,),"")</f>
        <v/>
      </c>
      <c r="J57" s="3" t="str">
        <f>IFERROR(VLOOKUP(A57,search_engine!$B$2:AC1048,18,),"")</f>
        <v/>
      </c>
      <c r="K57" s="3" t="str">
        <f>IFERROR(VLOOKUP(A57,search_engine!$B$2:AC1048,20,),"")</f>
        <v/>
      </c>
      <c r="L57" s="3" t="str">
        <f>IFERROR(VLOOKUP(A57,search_engine!$B$2:AC1048,22,),"")</f>
        <v/>
      </c>
      <c r="M57" s="3" t="str">
        <f>IFERROR(VLOOKUP(A57,search_engine!$B$2:AC1048,24,),"")</f>
        <v/>
      </c>
      <c r="N57" s="3" t="str">
        <f>IFERROR(VLOOKUP(A57,search_engine!$B$2:AC1048,26,),"")</f>
        <v/>
      </c>
      <c r="O57" s="3" t="str">
        <f>IFERROR(VLOOKUP(A57,search_engine!$B$2:AC1048,28,),"")</f>
        <v/>
      </c>
    </row>
    <row r="58" spans="1:15" ht="38.25" customHeight="1" thickTop="1" thickBot="1">
      <c r="A58" s="3">
        <v>50</v>
      </c>
      <c r="B58" s="5" t="str">
        <f>IFERROR(VLOOKUP(A58,search_engine!$B$2:AC1049,2,),"")</f>
        <v/>
      </c>
      <c r="C58" s="3" t="str">
        <f>IFERROR(VLOOKUP(A58,search_engine!$B$2:AC1049,4,),"")</f>
        <v/>
      </c>
      <c r="D58" s="5" t="str">
        <f>IFERROR(VLOOKUP(A58,search_engine!$B$2:AC1049,6,),"")</f>
        <v/>
      </c>
      <c r="E58" s="6" t="str">
        <f>IFERROR(VLOOKUP(A58,search_engine!$B$2:AC1049,8,),"")</f>
        <v/>
      </c>
      <c r="F58" s="3" t="str">
        <f>IFERROR(VLOOKUP(A58,search_engine!$B$2:AC1049,10,),"")</f>
        <v/>
      </c>
      <c r="G58" s="3" t="str">
        <f>IFERROR(VLOOKUP(A58,search_engine!$B$2:AC1049,12,),"")</f>
        <v/>
      </c>
      <c r="H58" s="3" t="str">
        <f>IFERROR(VLOOKUP(A58,search_engine!$B$2:AC1049,14,),"")</f>
        <v/>
      </c>
      <c r="I58" s="3" t="str">
        <f>IFERROR(VLOOKUP(A58,search_engine!$B$2:AC1049,16,),"")</f>
        <v/>
      </c>
      <c r="J58" s="3" t="str">
        <f>IFERROR(VLOOKUP(A58,search_engine!$B$2:AC1049,18,),"")</f>
        <v/>
      </c>
      <c r="K58" s="3" t="str">
        <f>IFERROR(VLOOKUP(A58,search_engine!$B$2:AC1049,20,),"")</f>
        <v/>
      </c>
      <c r="L58" s="3" t="str">
        <f>IFERROR(VLOOKUP(A58,search_engine!$B$2:AC1049,22,),"")</f>
        <v/>
      </c>
      <c r="M58" s="3" t="str">
        <f>IFERROR(VLOOKUP(A58,search_engine!$B$2:AC1049,24,),"")</f>
        <v/>
      </c>
      <c r="N58" s="3" t="str">
        <f>IFERROR(VLOOKUP(A58,search_engine!$B$2:AC1049,26,),"")</f>
        <v/>
      </c>
      <c r="O58" s="3" t="str">
        <f>IFERROR(VLOOKUP(A58,search_engine!$B$2:AC1049,28,),"")</f>
        <v/>
      </c>
    </row>
    <row r="59" spans="1:15" ht="38.25" customHeight="1" thickTop="1" thickBot="1">
      <c r="A59" s="3">
        <v>51</v>
      </c>
      <c r="B59" s="5" t="str">
        <f>IFERROR(VLOOKUP(A59,search_engine!$B$2:AC1050,2,),"")</f>
        <v/>
      </c>
      <c r="C59" s="3" t="str">
        <f>IFERROR(VLOOKUP(A59,search_engine!$B$2:AC1050,4,),"")</f>
        <v/>
      </c>
      <c r="D59" s="5" t="str">
        <f>IFERROR(VLOOKUP(A59,search_engine!$B$2:AC1050,6,),"")</f>
        <v/>
      </c>
      <c r="E59" s="6" t="str">
        <f>IFERROR(VLOOKUP(A59,search_engine!$B$2:AC1050,8,),"")</f>
        <v/>
      </c>
      <c r="F59" s="3" t="str">
        <f>IFERROR(VLOOKUP(A59,search_engine!$B$2:AC1050,10,),"")</f>
        <v/>
      </c>
      <c r="G59" s="3" t="str">
        <f>IFERROR(VLOOKUP(A59,search_engine!$B$2:AC1050,12,),"")</f>
        <v/>
      </c>
      <c r="H59" s="3" t="str">
        <f>IFERROR(VLOOKUP(A59,search_engine!$B$2:AC1050,14,),"")</f>
        <v/>
      </c>
      <c r="I59" s="3" t="str">
        <f>IFERROR(VLOOKUP(A59,search_engine!$B$2:AC1050,16,),"")</f>
        <v/>
      </c>
      <c r="J59" s="3" t="str">
        <f>IFERROR(VLOOKUP(A59,search_engine!$B$2:AC1050,18,),"")</f>
        <v/>
      </c>
      <c r="K59" s="3" t="str">
        <f>IFERROR(VLOOKUP(A59,search_engine!$B$2:AC1050,20,),"")</f>
        <v/>
      </c>
      <c r="L59" s="3" t="str">
        <f>IFERROR(VLOOKUP(A59,search_engine!$B$2:AC1050,22,),"")</f>
        <v/>
      </c>
      <c r="M59" s="3" t="str">
        <f>IFERROR(VLOOKUP(A59,search_engine!$B$2:AC1050,24,),"")</f>
        <v/>
      </c>
      <c r="N59" s="3" t="str">
        <f>IFERROR(VLOOKUP(A59,search_engine!$B$2:AC1050,26,),"")</f>
        <v/>
      </c>
      <c r="O59" s="3" t="str">
        <f>IFERROR(VLOOKUP(A59,search_engine!$B$2:AC1050,28,),"")</f>
        <v/>
      </c>
    </row>
    <row r="60" spans="1:15" ht="38.25" customHeight="1" thickTop="1" thickBot="1">
      <c r="A60" s="3">
        <v>52</v>
      </c>
      <c r="B60" s="5" t="str">
        <f>IFERROR(VLOOKUP(A60,search_engine!$B$2:AC1051,2,),"")</f>
        <v/>
      </c>
      <c r="C60" s="3" t="str">
        <f>IFERROR(VLOOKUP(A60,search_engine!$B$2:AC1051,4,),"")</f>
        <v/>
      </c>
      <c r="D60" s="5" t="str">
        <f>IFERROR(VLOOKUP(A60,search_engine!$B$2:AC1051,6,),"")</f>
        <v/>
      </c>
      <c r="E60" s="6" t="str">
        <f>IFERROR(VLOOKUP(A60,search_engine!$B$2:AC1051,8,),"")</f>
        <v/>
      </c>
      <c r="F60" s="3" t="str">
        <f>IFERROR(VLOOKUP(A60,search_engine!$B$2:AC1051,10,),"")</f>
        <v/>
      </c>
      <c r="G60" s="3" t="str">
        <f>IFERROR(VLOOKUP(A60,search_engine!$B$2:AC1051,12,),"")</f>
        <v/>
      </c>
      <c r="H60" s="3" t="str">
        <f>IFERROR(VLOOKUP(A60,search_engine!$B$2:AC1051,14,),"")</f>
        <v/>
      </c>
      <c r="I60" s="3" t="str">
        <f>IFERROR(VLOOKUP(A60,search_engine!$B$2:AC1051,16,),"")</f>
        <v/>
      </c>
      <c r="J60" s="3" t="str">
        <f>IFERROR(VLOOKUP(A60,search_engine!$B$2:AC1051,18,),"")</f>
        <v/>
      </c>
      <c r="K60" s="3" t="str">
        <f>IFERROR(VLOOKUP(A60,search_engine!$B$2:AC1051,20,),"")</f>
        <v/>
      </c>
      <c r="L60" s="3" t="str">
        <f>IFERROR(VLOOKUP(A60,search_engine!$B$2:AC1051,22,),"")</f>
        <v/>
      </c>
      <c r="M60" s="3" t="str">
        <f>IFERROR(VLOOKUP(A60,search_engine!$B$2:AC1051,24,),"")</f>
        <v/>
      </c>
      <c r="N60" s="3" t="str">
        <f>IFERROR(VLOOKUP(A60,search_engine!$B$2:AC1051,26,),"")</f>
        <v/>
      </c>
      <c r="O60" s="3" t="str">
        <f>IFERROR(VLOOKUP(A60,search_engine!$B$2:AC1051,28,),"")</f>
        <v/>
      </c>
    </row>
    <row r="61" spans="1:15" ht="38.25" customHeight="1" thickTop="1" thickBot="1">
      <c r="A61" s="3">
        <v>53</v>
      </c>
      <c r="B61" s="5" t="str">
        <f>IFERROR(VLOOKUP(A61,search_engine!$B$2:AC1052,2,),"")</f>
        <v/>
      </c>
      <c r="C61" s="3" t="str">
        <f>IFERROR(VLOOKUP(A61,search_engine!$B$2:AC1052,4,),"")</f>
        <v/>
      </c>
      <c r="D61" s="5" t="str">
        <f>IFERROR(VLOOKUP(A61,search_engine!$B$2:AC1052,6,),"")</f>
        <v/>
      </c>
      <c r="E61" s="6" t="str">
        <f>IFERROR(VLOOKUP(A61,search_engine!$B$2:AC1052,8,),"")</f>
        <v/>
      </c>
      <c r="F61" s="3" t="str">
        <f>IFERROR(VLOOKUP(A61,search_engine!$B$2:AC1052,10,),"")</f>
        <v/>
      </c>
      <c r="G61" s="3" t="str">
        <f>IFERROR(VLOOKUP(A61,search_engine!$B$2:AC1052,12,),"")</f>
        <v/>
      </c>
      <c r="H61" s="3" t="str">
        <f>IFERROR(VLOOKUP(A61,search_engine!$B$2:AC1052,14,),"")</f>
        <v/>
      </c>
      <c r="I61" s="3" t="str">
        <f>IFERROR(VLOOKUP(A61,search_engine!$B$2:AC1052,16,),"")</f>
        <v/>
      </c>
      <c r="J61" s="3" t="str">
        <f>IFERROR(VLOOKUP(A61,search_engine!$B$2:AC1052,18,),"")</f>
        <v/>
      </c>
      <c r="K61" s="3" t="str">
        <f>IFERROR(VLOOKUP(A61,search_engine!$B$2:AC1052,20,),"")</f>
        <v/>
      </c>
      <c r="L61" s="3" t="str">
        <f>IFERROR(VLOOKUP(A61,search_engine!$B$2:AC1052,22,),"")</f>
        <v/>
      </c>
      <c r="M61" s="3" t="str">
        <f>IFERROR(VLOOKUP(A61,search_engine!$B$2:AC1052,24,),"")</f>
        <v/>
      </c>
      <c r="N61" s="3" t="str">
        <f>IFERROR(VLOOKUP(A61,search_engine!$B$2:AC1052,26,),"")</f>
        <v/>
      </c>
      <c r="O61" s="3" t="str">
        <f>IFERROR(VLOOKUP(A61,search_engine!$B$2:AC1052,28,),"")</f>
        <v/>
      </c>
    </row>
    <row r="62" spans="1:15" ht="38.25" customHeight="1" thickTop="1" thickBot="1">
      <c r="A62" s="3">
        <v>54</v>
      </c>
      <c r="B62" s="5" t="str">
        <f>IFERROR(VLOOKUP(A62,search_engine!$B$2:AC1053,2,),"")</f>
        <v/>
      </c>
      <c r="C62" s="3" t="str">
        <f>IFERROR(VLOOKUP(A62,search_engine!$B$2:AC1053,4,),"")</f>
        <v/>
      </c>
      <c r="D62" s="5" t="str">
        <f>IFERROR(VLOOKUP(A62,search_engine!$B$2:AC1053,6,),"")</f>
        <v/>
      </c>
      <c r="E62" s="6" t="str">
        <f>IFERROR(VLOOKUP(A62,search_engine!$B$2:AC1053,8,),"")</f>
        <v/>
      </c>
      <c r="F62" s="3" t="str">
        <f>IFERROR(VLOOKUP(A62,search_engine!$B$2:AC1053,10,),"")</f>
        <v/>
      </c>
      <c r="G62" s="3" t="str">
        <f>IFERROR(VLOOKUP(A62,search_engine!$B$2:AC1053,12,),"")</f>
        <v/>
      </c>
      <c r="H62" s="3" t="str">
        <f>IFERROR(VLOOKUP(A62,search_engine!$B$2:AC1053,14,),"")</f>
        <v/>
      </c>
      <c r="I62" s="3" t="str">
        <f>IFERROR(VLOOKUP(A62,search_engine!$B$2:AC1053,16,),"")</f>
        <v/>
      </c>
      <c r="J62" s="3" t="str">
        <f>IFERROR(VLOOKUP(A62,search_engine!$B$2:AC1053,18,),"")</f>
        <v/>
      </c>
      <c r="K62" s="3" t="str">
        <f>IFERROR(VLOOKUP(A62,search_engine!$B$2:AC1053,20,),"")</f>
        <v/>
      </c>
      <c r="L62" s="3" t="str">
        <f>IFERROR(VLOOKUP(A62,search_engine!$B$2:AC1053,22,),"")</f>
        <v/>
      </c>
      <c r="M62" s="3" t="str">
        <f>IFERROR(VLOOKUP(A62,search_engine!$B$2:AC1053,24,),"")</f>
        <v/>
      </c>
      <c r="N62" s="3" t="str">
        <f>IFERROR(VLOOKUP(A62,search_engine!$B$2:AC1053,26,),"")</f>
        <v/>
      </c>
      <c r="O62" s="3" t="str">
        <f>IFERROR(VLOOKUP(A62,search_engine!$B$2:AC1053,28,),"")</f>
        <v/>
      </c>
    </row>
    <row r="63" spans="1:15" ht="38.25" customHeight="1" thickTop="1" thickBot="1">
      <c r="A63" s="3">
        <v>55</v>
      </c>
      <c r="B63" s="5" t="str">
        <f>IFERROR(VLOOKUP(A63,search_engine!$B$2:AC1054,2,),"")</f>
        <v/>
      </c>
      <c r="C63" s="3" t="str">
        <f>IFERROR(VLOOKUP(A63,search_engine!$B$2:AC1054,4,),"")</f>
        <v/>
      </c>
      <c r="D63" s="5" t="str">
        <f>IFERROR(VLOOKUP(A63,search_engine!$B$2:AC1054,6,),"")</f>
        <v/>
      </c>
      <c r="E63" s="6" t="str">
        <f>IFERROR(VLOOKUP(A63,search_engine!$B$2:AC1054,8,),"")</f>
        <v/>
      </c>
      <c r="F63" s="3" t="str">
        <f>IFERROR(VLOOKUP(A63,search_engine!$B$2:AC1054,10,),"")</f>
        <v/>
      </c>
      <c r="G63" s="3" t="str">
        <f>IFERROR(VLOOKUP(A63,search_engine!$B$2:AC1054,12,),"")</f>
        <v/>
      </c>
      <c r="H63" s="3" t="str">
        <f>IFERROR(VLOOKUP(A63,search_engine!$B$2:AC1054,14,),"")</f>
        <v/>
      </c>
      <c r="I63" s="3" t="str">
        <f>IFERROR(VLOOKUP(A63,search_engine!$B$2:AC1054,16,),"")</f>
        <v/>
      </c>
      <c r="J63" s="3" t="str">
        <f>IFERROR(VLOOKUP(A63,search_engine!$B$2:AC1054,18,),"")</f>
        <v/>
      </c>
      <c r="K63" s="3" t="str">
        <f>IFERROR(VLOOKUP(A63,search_engine!$B$2:AC1054,20,),"")</f>
        <v/>
      </c>
      <c r="L63" s="3" t="str">
        <f>IFERROR(VLOOKUP(A63,search_engine!$B$2:AC1054,22,),"")</f>
        <v/>
      </c>
      <c r="M63" s="3" t="str">
        <f>IFERROR(VLOOKUP(A63,search_engine!$B$2:AC1054,24,),"")</f>
        <v/>
      </c>
      <c r="N63" s="3" t="str">
        <f>IFERROR(VLOOKUP(A63,search_engine!$B$2:AC1054,26,),"")</f>
        <v/>
      </c>
      <c r="O63" s="3" t="str">
        <f>IFERROR(VLOOKUP(A63,search_engine!$B$2:AC1054,28,),"")</f>
        <v/>
      </c>
    </row>
    <row r="64" spans="1:15" ht="38.25" customHeight="1" thickTop="1" thickBot="1">
      <c r="A64" s="3">
        <v>56</v>
      </c>
      <c r="B64" s="5" t="str">
        <f>IFERROR(VLOOKUP(A64,search_engine!$B$2:AC1055,2,),"")</f>
        <v/>
      </c>
      <c r="C64" s="3" t="str">
        <f>IFERROR(VLOOKUP(A64,search_engine!$B$2:AC1055,4,),"")</f>
        <v/>
      </c>
      <c r="D64" s="5" t="str">
        <f>IFERROR(VLOOKUP(A64,search_engine!$B$2:AC1055,6,),"")</f>
        <v/>
      </c>
      <c r="E64" s="6" t="str">
        <f>IFERROR(VLOOKUP(A64,search_engine!$B$2:AC1055,8,),"")</f>
        <v/>
      </c>
      <c r="F64" s="3" t="str">
        <f>IFERROR(VLOOKUP(A64,search_engine!$B$2:AC1055,10,),"")</f>
        <v/>
      </c>
      <c r="G64" s="3" t="str">
        <f>IFERROR(VLOOKUP(A64,search_engine!$B$2:AC1055,12,),"")</f>
        <v/>
      </c>
      <c r="H64" s="3" t="str">
        <f>IFERROR(VLOOKUP(A64,search_engine!$B$2:AC1055,14,),"")</f>
        <v/>
      </c>
      <c r="I64" s="3" t="str">
        <f>IFERROR(VLOOKUP(A64,search_engine!$B$2:AC1055,16,),"")</f>
        <v/>
      </c>
      <c r="J64" s="3" t="str">
        <f>IFERROR(VLOOKUP(A64,search_engine!$B$2:AC1055,18,),"")</f>
        <v/>
      </c>
      <c r="K64" s="3" t="str">
        <f>IFERROR(VLOOKUP(A64,search_engine!$B$2:AC1055,20,),"")</f>
        <v/>
      </c>
      <c r="L64" s="3" t="str">
        <f>IFERROR(VLOOKUP(A64,search_engine!$B$2:AC1055,22,),"")</f>
        <v/>
      </c>
      <c r="M64" s="3" t="str">
        <f>IFERROR(VLOOKUP(A64,search_engine!$B$2:AC1055,24,),"")</f>
        <v/>
      </c>
      <c r="N64" s="3" t="str">
        <f>IFERROR(VLOOKUP(A64,search_engine!$B$2:AC1055,26,),"")</f>
        <v/>
      </c>
      <c r="O64" s="3" t="str">
        <f>IFERROR(VLOOKUP(A64,search_engine!$B$2:AC1055,28,),"")</f>
        <v/>
      </c>
    </row>
    <row r="65" spans="1:15" ht="38.25" customHeight="1" thickTop="1" thickBot="1">
      <c r="A65" s="3">
        <v>57</v>
      </c>
      <c r="B65" s="5" t="str">
        <f>IFERROR(VLOOKUP(A65,search_engine!$B$2:AC1056,2,),"")</f>
        <v/>
      </c>
      <c r="C65" s="3" t="str">
        <f>IFERROR(VLOOKUP(A65,search_engine!$B$2:AC1056,4,),"")</f>
        <v/>
      </c>
      <c r="D65" s="5" t="str">
        <f>IFERROR(VLOOKUP(A65,search_engine!$B$2:AC1056,6,),"")</f>
        <v/>
      </c>
      <c r="E65" s="6" t="str">
        <f>IFERROR(VLOOKUP(A65,search_engine!$B$2:AC1056,8,),"")</f>
        <v/>
      </c>
      <c r="F65" s="3" t="str">
        <f>IFERROR(VLOOKUP(A65,search_engine!$B$2:AC1056,10,),"")</f>
        <v/>
      </c>
      <c r="G65" s="3" t="str">
        <f>IFERROR(VLOOKUP(A65,search_engine!$B$2:AC1056,12,),"")</f>
        <v/>
      </c>
      <c r="H65" s="3" t="str">
        <f>IFERROR(VLOOKUP(A65,search_engine!$B$2:AC1056,14,),"")</f>
        <v/>
      </c>
      <c r="I65" s="3" t="str">
        <f>IFERROR(VLOOKUP(A65,search_engine!$B$2:AC1056,16,),"")</f>
        <v/>
      </c>
      <c r="J65" s="3" t="str">
        <f>IFERROR(VLOOKUP(A65,search_engine!$B$2:AC1056,18,),"")</f>
        <v/>
      </c>
      <c r="K65" s="3" t="str">
        <f>IFERROR(VLOOKUP(A65,search_engine!$B$2:AC1056,20,),"")</f>
        <v/>
      </c>
      <c r="L65" s="3" t="str">
        <f>IFERROR(VLOOKUP(A65,search_engine!$B$2:AC1056,22,),"")</f>
        <v/>
      </c>
      <c r="M65" s="3" t="str">
        <f>IFERROR(VLOOKUP(A65,search_engine!$B$2:AC1056,24,),"")</f>
        <v/>
      </c>
      <c r="N65" s="3" t="str">
        <f>IFERROR(VLOOKUP(A65,search_engine!$B$2:AC1056,26,),"")</f>
        <v/>
      </c>
      <c r="O65" s="3" t="str">
        <f>IFERROR(VLOOKUP(A65,search_engine!$B$2:AC1056,28,),"")</f>
        <v/>
      </c>
    </row>
    <row r="66" spans="1:15" ht="38.25" customHeight="1" thickTop="1" thickBot="1">
      <c r="A66" s="3">
        <v>58</v>
      </c>
      <c r="B66" s="5" t="str">
        <f>IFERROR(VLOOKUP(A66,search_engine!$B$2:AC1057,2,),"")</f>
        <v/>
      </c>
      <c r="C66" s="3" t="str">
        <f>IFERROR(VLOOKUP(A66,search_engine!$B$2:AC1057,4,),"")</f>
        <v/>
      </c>
      <c r="D66" s="5" t="str">
        <f>IFERROR(VLOOKUP(A66,search_engine!$B$2:AC1057,6,),"")</f>
        <v/>
      </c>
      <c r="E66" s="6" t="str">
        <f>IFERROR(VLOOKUP(A66,search_engine!$B$2:AC1057,8,),"")</f>
        <v/>
      </c>
      <c r="F66" s="3" t="str">
        <f>IFERROR(VLOOKUP(A66,search_engine!$B$2:AC1057,10,),"")</f>
        <v/>
      </c>
      <c r="G66" s="3" t="str">
        <f>IFERROR(VLOOKUP(A66,search_engine!$B$2:AC1057,12,),"")</f>
        <v/>
      </c>
      <c r="H66" s="3" t="str">
        <f>IFERROR(VLOOKUP(A66,search_engine!$B$2:AC1057,14,),"")</f>
        <v/>
      </c>
      <c r="I66" s="3" t="str">
        <f>IFERROR(VLOOKUP(A66,search_engine!$B$2:AC1057,16,),"")</f>
        <v/>
      </c>
      <c r="J66" s="3" t="str">
        <f>IFERROR(VLOOKUP(A66,search_engine!$B$2:AC1057,18,),"")</f>
        <v/>
      </c>
      <c r="K66" s="3" t="str">
        <f>IFERROR(VLOOKUP(A66,search_engine!$B$2:AC1057,20,),"")</f>
        <v/>
      </c>
      <c r="L66" s="3" t="str">
        <f>IFERROR(VLOOKUP(A66,search_engine!$B$2:AC1057,22,),"")</f>
        <v/>
      </c>
      <c r="M66" s="3" t="str">
        <f>IFERROR(VLOOKUP(A66,search_engine!$B$2:AC1057,24,),"")</f>
        <v/>
      </c>
      <c r="N66" s="3" t="str">
        <f>IFERROR(VLOOKUP(A66,search_engine!$B$2:AC1057,26,),"")</f>
        <v/>
      </c>
      <c r="O66" s="3" t="str">
        <f>IFERROR(VLOOKUP(A66,search_engine!$B$2:AC1057,28,),"")</f>
        <v/>
      </c>
    </row>
    <row r="67" spans="1:15" ht="38.25" customHeight="1" thickTop="1" thickBot="1">
      <c r="A67" s="3">
        <v>59</v>
      </c>
      <c r="B67" s="5" t="str">
        <f>IFERROR(VLOOKUP(A67,search_engine!$B$2:AC1058,2,),"")</f>
        <v/>
      </c>
      <c r="C67" s="3" t="str">
        <f>IFERROR(VLOOKUP(A67,search_engine!$B$2:AC1058,4,),"")</f>
        <v/>
      </c>
      <c r="D67" s="5" t="str">
        <f>IFERROR(VLOOKUP(A67,search_engine!$B$2:AC1058,6,),"")</f>
        <v/>
      </c>
      <c r="E67" s="6" t="str">
        <f>IFERROR(VLOOKUP(A67,search_engine!$B$2:AC1058,8,),"")</f>
        <v/>
      </c>
      <c r="F67" s="3" t="str">
        <f>IFERROR(VLOOKUP(A67,search_engine!$B$2:AC1058,10,),"")</f>
        <v/>
      </c>
      <c r="G67" s="3" t="str">
        <f>IFERROR(VLOOKUP(A67,search_engine!$B$2:AC1058,12,),"")</f>
        <v/>
      </c>
      <c r="H67" s="3" t="str">
        <f>IFERROR(VLOOKUP(A67,search_engine!$B$2:AC1058,14,),"")</f>
        <v/>
      </c>
      <c r="I67" s="3" t="str">
        <f>IFERROR(VLOOKUP(A67,search_engine!$B$2:AC1058,16,),"")</f>
        <v/>
      </c>
      <c r="J67" s="3" t="str">
        <f>IFERROR(VLOOKUP(A67,search_engine!$B$2:AC1058,18,),"")</f>
        <v/>
      </c>
      <c r="K67" s="3" t="str">
        <f>IFERROR(VLOOKUP(A67,search_engine!$B$2:AC1058,20,),"")</f>
        <v/>
      </c>
      <c r="L67" s="3" t="str">
        <f>IFERROR(VLOOKUP(A67,search_engine!$B$2:AC1058,22,),"")</f>
        <v/>
      </c>
      <c r="M67" s="3" t="str">
        <f>IFERROR(VLOOKUP(A67,search_engine!$B$2:AC1058,24,),"")</f>
        <v/>
      </c>
      <c r="N67" s="3" t="str">
        <f>IFERROR(VLOOKUP(A67,search_engine!$B$2:AC1058,26,),"")</f>
        <v/>
      </c>
      <c r="O67" s="3" t="str">
        <f>IFERROR(VLOOKUP(A67,search_engine!$B$2:AC1058,28,),"")</f>
        <v/>
      </c>
    </row>
    <row r="68" spans="1:15" ht="38.25" customHeight="1" thickTop="1" thickBot="1">
      <c r="A68" s="3">
        <v>60</v>
      </c>
      <c r="B68" s="5" t="str">
        <f>IFERROR(VLOOKUP(A68,search_engine!$B$2:AC1059,2,),"")</f>
        <v/>
      </c>
      <c r="C68" s="3" t="str">
        <f>IFERROR(VLOOKUP(A68,search_engine!$B$2:AC1059,4,),"")</f>
        <v/>
      </c>
      <c r="D68" s="5" t="str">
        <f>IFERROR(VLOOKUP(A68,search_engine!$B$2:AC1059,6,),"")</f>
        <v/>
      </c>
      <c r="E68" s="6" t="str">
        <f>IFERROR(VLOOKUP(A68,search_engine!$B$2:AC1059,8,),"")</f>
        <v/>
      </c>
      <c r="F68" s="3" t="str">
        <f>IFERROR(VLOOKUP(A68,search_engine!$B$2:AC1059,10,),"")</f>
        <v/>
      </c>
      <c r="G68" s="3" t="str">
        <f>IFERROR(VLOOKUP(A68,search_engine!$B$2:AC1059,12,),"")</f>
        <v/>
      </c>
      <c r="H68" s="3" t="str">
        <f>IFERROR(VLOOKUP(A68,search_engine!$B$2:AC1059,14,),"")</f>
        <v/>
      </c>
      <c r="I68" s="3" t="str">
        <f>IFERROR(VLOOKUP(A68,search_engine!$B$2:AC1059,16,),"")</f>
        <v/>
      </c>
      <c r="J68" s="3" t="str">
        <f>IFERROR(VLOOKUP(A68,search_engine!$B$2:AC1059,18,),"")</f>
        <v/>
      </c>
      <c r="K68" s="3" t="str">
        <f>IFERROR(VLOOKUP(A68,search_engine!$B$2:AC1059,20,),"")</f>
        <v/>
      </c>
      <c r="L68" s="3" t="str">
        <f>IFERROR(VLOOKUP(A68,search_engine!$B$2:AC1059,22,),"")</f>
        <v/>
      </c>
      <c r="M68" s="3" t="str">
        <f>IFERROR(VLOOKUP(A68,search_engine!$B$2:AC1059,24,),"")</f>
        <v/>
      </c>
      <c r="N68" s="3" t="str">
        <f>IFERROR(VLOOKUP(A68,search_engine!$B$2:AC1059,26,),"")</f>
        <v/>
      </c>
      <c r="O68" s="3" t="str">
        <f>IFERROR(VLOOKUP(A68,search_engine!$B$2:AC1059,28,),"")</f>
        <v/>
      </c>
    </row>
    <row r="69" spans="1:15" ht="38.25" customHeight="1" thickTop="1" thickBot="1">
      <c r="A69" s="3">
        <v>61</v>
      </c>
      <c r="B69" s="5" t="str">
        <f>IFERROR(VLOOKUP(A69,search_engine!$B$2:AC1060,2,),"")</f>
        <v/>
      </c>
      <c r="C69" s="3" t="str">
        <f>IFERROR(VLOOKUP(A69,search_engine!$B$2:AC1060,4,),"")</f>
        <v/>
      </c>
      <c r="D69" s="5" t="str">
        <f>IFERROR(VLOOKUP(A69,search_engine!$B$2:AC1060,6,),"")</f>
        <v/>
      </c>
      <c r="E69" s="6" t="str">
        <f>IFERROR(VLOOKUP(A69,search_engine!$B$2:AC1060,8,),"")</f>
        <v/>
      </c>
      <c r="F69" s="3" t="str">
        <f>IFERROR(VLOOKUP(A69,search_engine!$B$2:AC1060,10,),"")</f>
        <v/>
      </c>
      <c r="G69" s="3" t="str">
        <f>IFERROR(VLOOKUP(A69,search_engine!$B$2:AC1060,12,),"")</f>
        <v/>
      </c>
      <c r="H69" s="3" t="str">
        <f>IFERROR(VLOOKUP(A69,search_engine!$B$2:AC1060,14,),"")</f>
        <v/>
      </c>
      <c r="I69" s="3" t="str">
        <f>IFERROR(VLOOKUP(A69,search_engine!$B$2:AC1060,16,),"")</f>
        <v/>
      </c>
      <c r="J69" s="3" t="str">
        <f>IFERROR(VLOOKUP(A69,search_engine!$B$2:AC1060,18,),"")</f>
        <v/>
      </c>
      <c r="K69" s="3" t="str">
        <f>IFERROR(VLOOKUP(A69,search_engine!$B$2:AC1060,20,),"")</f>
        <v/>
      </c>
      <c r="L69" s="3" t="str">
        <f>IFERROR(VLOOKUP(A69,search_engine!$B$2:AC1060,22,),"")</f>
        <v/>
      </c>
      <c r="M69" s="3" t="str">
        <f>IFERROR(VLOOKUP(A69,search_engine!$B$2:AC1060,24,),"")</f>
        <v/>
      </c>
      <c r="N69" s="3" t="str">
        <f>IFERROR(VLOOKUP(A69,search_engine!$B$2:AC1060,26,),"")</f>
        <v/>
      </c>
      <c r="O69" s="3" t="str">
        <f>IFERROR(VLOOKUP(A69,search_engine!$B$2:AC1060,28,),"")</f>
        <v/>
      </c>
    </row>
    <row r="70" spans="1:15" ht="38.25" customHeight="1" thickTop="1" thickBot="1">
      <c r="A70" s="3">
        <v>62</v>
      </c>
      <c r="B70" s="5" t="str">
        <f>IFERROR(VLOOKUP(A70,search_engine!$B$2:AC1061,2,),"")</f>
        <v/>
      </c>
      <c r="C70" s="3" t="str">
        <f>IFERROR(VLOOKUP(A70,search_engine!$B$2:AC1061,4,),"")</f>
        <v/>
      </c>
      <c r="D70" s="5" t="str">
        <f>IFERROR(VLOOKUP(A70,search_engine!$B$2:AC1061,6,),"")</f>
        <v/>
      </c>
      <c r="E70" s="6" t="str">
        <f>IFERROR(VLOOKUP(A70,search_engine!$B$2:AC1061,8,),"")</f>
        <v/>
      </c>
      <c r="F70" s="3" t="str">
        <f>IFERROR(VLOOKUP(A70,search_engine!$B$2:AC1061,10,),"")</f>
        <v/>
      </c>
      <c r="G70" s="3" t="str">
        <f>IFERROR(VLOOKUP(A70,search_engine!$B$2:AC1061,12,),"")</f>
        <v/>
      </c>
      <c r="H70" s="3" t="str">
        <f>IFERROR(VLOOKUP(A70,search_engine!$B$2:AC1061,14,),"")</f>
        <v/>
      </c>
      <c r="I70" s="3" t="str">
        <f>IFERROR(VLOOKUP(A70,search_engine!$B$2:AC1061,16,),"")</f>
        <v/>
      </c>
      <c r="J70" s="3" t="str">
        <f>IFERROR(VLOOKUP(A70,search_engine!$B$2:AC1061,18,),"")</f>
        <v/>
      </c>
      <c r="K70" s="3" t="str">
        <f>IFERROR(VLOOKUP(A70,search_engine!$B$2:AC1061,20,),"")</f>
        <v/>
      </c>
      <c r="L70" s="3" t="str">
        <f>IFERROR(VLOOKUP(A70,search_engine!$B$2:AC1061,22,),"")</f>
        <v/>
      </c>
      <c r="M70" s="3" t="str">
        <f>IFERROR(VLOOKUP(A70,search_engine!$B$2:AC1061,24,),"")</f>
        <v/>
      </c>
      <c r="N70" s="3" t="str">
        <f>IFERROR(VLOOKUP(A70,search_engine!$B$2:AC1061,26,),"")</f>
        <v/>
      </c>
      <c r="O70" s="3" t="str">
        <f>IFERROR(VLOOKUP(A70,search_engine!$B$2:AC1061,28,),"")</f>
        <v/>
      </c>
    </row>
    <row r="71" spans="1:15" ht="38.25" customHeight="1" thickTop="1" thickBot="1">
      <c r="A71" s="3">
        <v>63</v>
      </c>
      <c r="B71" s="5" t="str">
        <f>IFERROR(VLOOKUP(A71,search_engine!$B$2:AC1062,2,),"")</f>
        <v/>
      </c>
      <c r="C71" s="3" t="str">
        <f>IFERROR(VLOOKUP(A71,search_engine!$B$2:AC1062,4,),"")</f>
        <v/>
      </c>
      <c r="D71" s="5" t="str">
        <f>IFERROR(VLOOKUP(A71,search_engine!$B$2:AC1062,6,),"")</f>
        <v/>
      </c>
      <c r="E71" s="6" t="str">
        <f>IFERROR(VLOOKUP(A71,search_engine!$B$2:AC1062,8,),"")</f>
        <v/>
      </c>
      <c r="F71" s="3" t="str">
        <f>IFERROR(VLOOKUP(A71,search_engine!$B$2:AC1062,10,),"")</f>
        <v/>
      </c>
      <c r="G71" s="3" t="str">
        <f>IFERROR(VLOOKUP(A71,search_engine!$B$2:AC1062,12,),"")</f>
        <v/>
      </c>
      <c r="H71" s="3" t="str">
        <f>IFERROR(VLOOKUP(A71,search_engine!$B$2:AC1062,14,),"")</f>
        <v/>
      </c>
      <c r="I71" s="3" t="str">
        <f>IFERROR(VLOOKUP(A71,search_engine!$B$2:AC1062,16,),"")</f>
        <v/>
      </c>
      <c r="J71" s="3" t="str">
        <f>IFERROR(VLOOKUP(A71,search_engine!$B$2:AC1062,18,),"")</f>
        <v/>
      </c>
      <c r="K71" s="3" t="str">
        <f>IFERROR(VLOOKUP(A71,search_engine!$B$2:AC1062,20,),"")</f>
        <v/>
      </c>
      <c r="L71" s="3" t="str">
        <f>IFERROR(VLOOKUP(A71,search_engine!$B$2:AC1062,22,),"")</f>
        <v/>
      </c>
      <c r="M71" s="3" t="str">
        <f>IFERROR(VLOOKUP(A71,search_engine!$B$2:AC1062,24,),"")</f>
        <v/>
      </c>
      <c r="N71" s="3" t="str">
        <f>IFERROR(VLOOKUP(A71,search_engine!$B$2:AC1062,26,),"")</f>
        <v/>
      </c>
      <c r="O71" s="3" t="str">
        <f>IFERROR(VLOOKUP(A71,search_engine!$B$2:AC1062,28,),"")</f>
        <v/>
      </c>
    </row>
    <row r="72" spans="1:15" ht="38.25" customHeight="1" thickTop="1" thickBot="1">
      <c r="A72" s="3">
        <v>64</v>
      </c>
      <c r="B72" s="5" t="str">
        <f>IFERROR(VLOOKUP(A72,search_engine!$B$2:AC1063,2,),"")</f>
        <v/>
      </c>
      <c r="C72" s="3" t="str">
        <f>IFERROR(VLOOKUP(A72,search_engine!$B$2:AC1063,4,),"")</f>
        <v/>
      </c>
      <c r="D72" s="5" t="str">
        <f>IFERROR(VLOOKUP(A72,search_engine!$B$2:AC1063,6,),"")</f>
        <v/>
      </c>
      <c r="E72" s="6" t="str">
        <f>IFERROR(VLOOKUP(A72,search_engine!$B$2:AC1063,8,),"")</f>
        <v/>
      </c>
      <c r="F72" s="3" t="str">
        <f>IFERROR(VLOOKUP(A72,search_engine!$B$2:AC1063,10,),"")</f>
        <v/>
      </c>
      <c r="G72" s="3" t="str">
        <f>IFERROR(VLOOKUP(A72,search_engine!$B$2:AC1063,12,),"")</f>
        <v/>
      </c>
      <c r="H72" s="3" t="str">
        <f>IFERROR(VLOOKUP(A72,search_engine!$B$2:AC1063,14,),"")</f>
        <v/>
      </c>
      <c r="I72" s="3" t="str">
        <f>IFERROR(VLOOKUP(A72,search_engine!$B$2:AC1063,16,),"")</f>
        <v/>
      </c>
      <c r="J72" s="3" t="str">
        <f>IFERROR(VLOOKUP(A72,search_engine!$B$2:AC1063,18,),"")</f>
        <v/>
      </c>
      <c r="K72" s="3" t="str">
        <f>IFERROR(VLOOKUP(A72,search_engine!$B$2:AC1063,20,),"")</f>
        <v/>
      </c>
      <c r="L72" s="3" t="str">
        <f>IFERROR(VLOOKUP(A72,search_engine!$B$2:AC1063,22,),"")</f>
        <v/>
      </c>
      <c r="M72" s="3" t="str">
        <f>IFERROR(VLOOKUP(A72,search_engine!$B$2:AC1063,24,),"")</f>
        <v/>
      </c>
      <c r="N72" s="3" t="str">
        <f>IFERROR(VLOOKUP(A72,search_engine!$B$2:AC1063,26,),"")</f>
        <v/>
      </c>
      <c r="O72" s="3" t="str">
        <f>IFERROR(VLOOKUP(A72,search_engine!$B$2:AC1063,28,),"")</f>
        <v/>
      </c>
    </row>
    <row r="73" spans="1:15" ht="38.25" customHeight="1" thickTop="1" thickBot="1">
      <c r="A73" s="3">
        <v>65</v>
      </c>
      <c r="B73" s="5" t="str">
        <f>IFERROR(VLOOKUP(A73,search_engine!$B$2:AC1064,2,),"")</f>
        <v/>
      </c>
      <c r="C73" s="3" t="str">
        <f>IFERROR(VLOOKUP(A73,search_engine!$B$2:AC1064,4,),"")</f>
        <v/>
      </c>
      <c r="D73" s="5" t="str">
        <f>IFERROR(VLOOKUP(A73,search_engine!$B$2:AC1064,6,),"")</f>
        <v/>
      </c>
      <c r="E73" s="6" t="str">
        <f>IFERROR(VLOOKUP(A73,search_engine!$B$2:AC1064,8,),"")</f>
        <v/>
      </c>
      <c r="F73" s="3" t="str">
        <f>IFERROR(VLOOKUP(A73,search_engine!$B$2:AC1064,10,),"")</f>
        <v/>
      </c>
      <c r="G73" s="3" t="str">
        <f>IFERROR(VLOOKUP(A73,search_engine!$B$2:AC1064,12,),"")</f>
        <v/>
      </c>
      <c r="H73" s="3" t="str">
        <f>IFERROR(VLOOKUP(A73,search_engine!$B$2:AC1064,14,),"")</f>
        <v/>
      </c>
      <c r="I73" s="3" t="str">
        <f>IFERROR(VLOOKUP(A73,search_engine!$B$2:AC1064,16,),"")</f>
        <v/>
      </c>
      <c r="J73" s="3" t="str">
        <f>IFERROR(VLOOKUP(A73,search_engine!$B$2:AC1064,18,),"")</f>
        <v/>
      </c>
      <c r="K73" s="3" t="str">
        <f>IFERROR(VLOOKUP(A73,search_engine!$B$2:AC1064,20,),"")</f>
        <v/>
      </c>
      <c r="L73" s="3" t="str">
        <f>IFERROR(VLOOKUP(A73,search_engine!$B$2:AC1064,22,),"")</f>
        <v/>
      </c>
      <c r="M73" s="3" t="str">
        <f>IFERROR(VLOOKUP(A73,search_engine!$B$2:AC1064,24,),"")</f>
        <v/>
      </c>
      <c r="N73" s="3" t="str">
        <f>IFERROR(VLOOKUP(A73,search_engine!$B$2:AC1064,26,),"")</f>
        <v/>
      </c>
      <c r="O73" s="3" t="str">
        <f>IFERROR(VLOOKUP(A73,search_engine!$B$2:AC1064,28,),"")</f>
        <v/>
      </c>
    </row>
    <row r="74" spans="1:15" ht="38.25" customHeight="1" thickTop="1" thickBot="1">
      <c r="A74" s="3">
        <v>66</v>
      </c>
      <c r="B74" s="5" t="str">
        <f>IFERROR(VLOOKUP(A74,search_engine!$B$2:AC1065,2,),"")</f>
        <v/>
      </c>
      <c r="C74" s="3" t="str">
        <f>IFERROR(VLOOKUP(A74,search_engine!$B$2:AC1065,4,),"")</f>
        <v/>
      </c>
      <c r="D74" s="5" t="str">
        <f>IFERROR(VLOOKUP(A74,search_engine!$B$2:AC1065,6,),"")</f>
        <v/>
      </c>
      <c r="E74" s="6" t="str">
        <f>IFERROR(VLOOKUP(A74,search_engine!$B$2:AC1065,8,),"")</f>
        <v/>
      </c>
      <c r="F74" s="3" t="str">
        <f>IFERROR(VLOOKUP(A74,search_engine!$B$2:AC1065,10,),"")</f>
        <v/>
      </c>
      <c r="G74" s="3" t="str">
        <f>IFERROR(VLOOKUP(A74,search_engine!$B$2:AC1065,12,),"")</f>
        <v/>
      </c>
      <c r="H74" s="3" t="str">
        <f>IFERROR(VLOOKUP(A74,search_engine!$B$2:AC1065,14,),"")</f>
        <v/>
      </c>
      <c r="I74" s="3" t="str">
        <f>IFERROR(VLOOKUP(A74,search_engine!$B$2:AC1065,16,),"")</f>
        <v/>
      </c>
      <c r="J74" s="3" t="str">
        <f>IFERROR(VLOOKUP(A74,search_engine!$B$2:AC1065,18,),"")</f>
        <v/>
      </c>
      <c r="K74" s="3" t="str">
        <f>IFERROR(VLOOKUP(A74,search_engine!$B$2:AC1065,20,),"")</f>
        <v/>
      </c>
      <c r="L74" s="3" t="str">
        <f>IFERROR(VLOOKUP(A74,search_engine!$B$2:AC1065,22,),"")</f>
        <v/>
      </c>
      <c r="M74" s="3" t="str">
        <f>IFERROR(VLOOKUP(A74,search_engine!$B$2:AC1065,24,),"")</f>
        <v/>
      </c>
      <c r="N74" s="3" t="str">
        <f>IFERROR(VLOOKUP(A74,search_engine!$B$2:AC1065,26,),"")</f>
        <v/>
      </c>
      <c r="O74" s="3" t="str">
        <f>IFERROR(VLOOKUP(A74,search_engine!$B$2:AC1065,28,),"")</f>
        <v/>
      </c>
    </row>
    <row r="75" spans="1:15" ht="38.25" customHeight="1" thickTop="1" thickBot="1">
      <c r="A75" s="3">
        <v>67</v>
      </c>
      <c r="B75" s="5" t="str">
        <f>IFERROR(VLOOKUP(A75,search_engine!$B$2:AC1066,2,),"")</f>
        <v/>
      </c>
      <c r="C75" s="3" t="str">
        <f>IFERROR(VLOOKUP(A75,search_engine!$B$2:AC1066,4,),"")</f>
        <v/>
      </c>
      <c r="D75" s="5" t="str">
        <f>IFERROR(VLOOKUP(A75,search_engine!$B$2:AC1066,6,),"")</f>
        <v/>
      </c>
      <c r="E75" s="6" t="str">
        <f>IFERROR(VLOOKUP(A75,search_engine!$B$2:AC1066,8,),"")</f>
        <v/>
      </c>
      <c r="F75" s="3" t="str">
        <f>IFERROR(VLOOKUP(A75,search_engine!$B$2:AC1066,10,),"")</f>
        <v/>
      </c>
      <c r="G75" s="3" t="str">
        <f>IFERROR(VLOOKUP(A75,search_engine!$B$2:AC1066,12,),"")</f>
        <v/>
      </c>
      <c r="H75" s="3" t="str">
        <f>IFERROR(VLOOKUP(A75,search_engine!$B$2:AC1066,14,),"")</f>
        <v/>
      </c>
      <c r="I75" s="3" t="str">
        <f>IFERROR(VLOOKUP(A75,search_engine!$B$2:AC1066,16,),"")</f>
        <v/>
      </c>
      <c r="J75" s="3" t="str">
        <f>IFERROR(VLOOKUP(A75,search_engine!$B$2:AC1066,18,),"")</f>
        <v/>
      </c>
      <c r="K75" s="3" t="str">
        <f>IFERROR(VLOOKUP(A75,search_engine!$B$2:AC1066,20,),"")</f>
        <v/>
      </c>
      <c r="L75" s="3" t="str">
        <f>IFERROR(VLOOKUP(A75,search_engine!$B$2:AC1066,22,),"")</f>
        <v/>
      </c>
      <c r="M75" s="3" t="str">
        <f>IFERROR(VLOOKUP(A75,search_engine!$B$2:AC1066,24,),"")</f>
        <v/>
      </c>
      <c r="N75" s="3" t="str">
        <f>IFERROR(VLOOKUP(A75,search_engine!$B$2:AC1066,26,),"")</f>
        <v/>
      </c>
      <c r="O75" s="3" t="str">
        <f>IFERROR(VLOOKUP(A75,search_engine!$B$2:AC1066,28,),"")</f>
        <v/>
      </c>
    </row>
    <row r="76" spans="1:15" ht="38.25" customHeight="1" thickTop="1" thickBot="1">
      <c r="A76" s="3">
        <v>68</v>
      </c>
      <c r="B76" s="5" t="str">
        <f>IFERROR(VLOOKUP(A76,search_engine!$B$2:AC1067,2,),"")</f>
        <v/>
      </c>
      <c r="C76" s="3" t="str">
        <f>IFERROR(VLOOKUP(A76,search_engine!$B$2:AC1067,4,),"")</f>
        <v/>
      </c>
      <c r="D76" s="5" t="str">
        <f>IFERROR(VLOOKUP(A76,search_engine!$B$2:AC1067,6,),"")</f>
        <v/>
      </c>
      <c r="E76" s="6" t="str">
        <f>IFERROR(VLOOKUP(A76,search_engine!$B$2:AC1067,8,),"")</f>
        <v/>
      </c>
      <c r="F76" s="3" t="str">
        <f>IFERROR(VLOOKUP(A76,search_engine!$B$2:AC1067,10,),"")</f>
        <v/>
      </c>
      <c r="G76" s="3" t="str">
        <f>IFERROR(VLOOKUP(A76,search_engine!$B$2:AC1067,12,),"")</f>
        <v/>
      </c>
      <c r="H76" s="3" t="str">
        <f>IFERROR(VLOOKUP(A76,search_engine!$B$2:AC1067,14,),"")</f>
        <v/>
      </c>
      <c r="I76" s="3" t="str">
        <f>IFERROR(VLOOKUP(A76,search_engine!$B$2:AC1067,16,),"")</f>
        <v/>
      </c>
      <c r="J76" s="3" t="str">
        <f>IFERROR(VLOOKUP(A76,search_engine!$B$2:AC1067,18,),"")</f>
        <v/>
      </c>
      <c r="K76" s="3" t="str">
        <f>IFERROR(VLOOKUP(A76,search_engine!$B$2:AC1067,20,),"")</f>
        <v/>
      </c>
      <c r="L76" s="3" t="str">
        <f>IFERROR(VLOOKUP(A76,search_engine!$B$2:AC1067,22,),"")</f>
        <v/>
      </c>
      <c r="M76" s="3" t="str">
        <f>IFERROR(VLOOKUP(A76,search_engine!$B$2:AC1067,24,),"")</f>
        <v/>
      </c>
      <c r="N76" s="3" t="str">
        <f>IFERROR(VLOOKUP(A76,search_engine!$B$2:AC1067,26,),"")</f>
        <v/>
      </c>
      <c r="O76" s="3" t="str">
        <f>IFERROR(VLOOKUP(A76,search_engine!$B$2:AC1067,28,),"")</f>
        <v/>
      </c>
    </row>
    <row r="77" spans="1:15" ht="38.25" customHeight="1" thickTop="1" thickBot="1">
      <c r="A77" s="3">
        <v>69</v>
      </c>
      <c r="B77" s="5" t="str">
        <f>IFERROR(VLOOKUP(A77,search_engine!$B$2:AC1068,2,),"")</f>
        <v/>
      </c>
      <c r="C77" s="3" t="str">
        <f>IFERROR(VLOOKUP(A77,search_engine!$B$2:AC1068,4,),"")</f>
        <v/>
      </c>
      <c r="D77" s="5" t="str">
        <f>IFERROR(VLOOKUP(A77,search_engine!$B$2:AC1068,6,),"")</f>
        <v/>
      </c>
      <c r="E77" s="6" t="str">
        <f>IFERROR(VLOOKUP(A77,search_engine!$B$2:AC1068,8,),"")</f>
        <v/>
      </c>
      <c r="F77" s="3" t="str">
        <f>IFERROR(VLOOKUP(A77,search_engine!$B$2:AC1068,10,),"")</f>
        <v/>
      </c>
      <c r="G77" s="3" t="str">
        <f>IFERROR(VLOOKUP(A77,search_engine!$B$2:AC1068,12,),"")</f>
        <v/>
      </c>
      <c r="H77" s="3" t="str">
        <f>IFERROR(VLOOKUP(A77,search_engine!$B$2:AC1068,14,),"")</f>
        <v/>
      </c>
      <c r="I77" s="3" t="str">
        <f>IFERROR(VLOOKUP(A77,search_engine!$B$2:AC1068,16,),"")</f>
        <v/>
      </c>
      <c r="J77" s="3" t="str">
        <f>IFERROR(VLOOKUP(A77,search_engine!$B$2:AC1068,18,),"")</f>
        <v/>
      </c>
      <c r="K77" s="3" t="str">
        <f>IFERROR(VLOOKUP(A77,search_engine!$B$2:AC1068,20,),"")</f>
        <v/>
      </c>
      <c r="L77" s="3" t="str">
        <f>IFERROR(VLOOKUP(A77,search_engine!$B$2:AC1068,22,),"")</f>
        <v/>
      </c>
      <c r="M77" s="3" t="str">
        <f>IFERROR(VLOOKUP(A77,search_engine!$B$2:AC1068,24,),"")</f>
        <v/>
      </c>
      <c r="N77" s="3" t="str">
        <f>IFERROR(VLOOKUP(A77,search_engine!$B$2:AC1068,26,),"")</f>
        <v/>
      </c>
      <c r="O77" s="3" t="str">
        <f>IFERROR(VLOOKUP(A77,search_engine!$B$2:AC1068,28,),"")</f>
        <v/>
      </c>
    </row>
    <row r="78" spans="1:15" ht="38.25" customHeight="1" thickTop="1" thickBot="1">
      <c r="A78" s="3">
        <v>70</v>
      </c>
      <c r="B78" s="5" t="str">
        <f>IFERROR(VLOOKUP(A78,search_engine!$B$2:AC1069,2,),"")</f>
        <v/>
      </c>
      <c r="C78" s="3" t="str">
        <f>IFERROR(VLOOKUP(A78,search_engine!$B$2:AC1069,4,),"")</f>
        <v/>
      </c>
      <c r="D78" s="5" t="str">
        <f>IFERROR(VLOOKUP(A78,search_engine!$B$2:AC1069,6,),"")</f>
        <v/>
      </c>
      <c r="E78" s="6" t="str">
        <f>IFERROR(VLOOKUP(A78,search_engine!$B$2:AC1069,8,),"")</f>
        <v/>
      </c>
      <c r="F78" s="3" t="str">
        <f>IFERROR(VLOOKUP(A78,search_engine!$B$2:AC1069,10,),"")</f>
        <v/>
      </c>
      <c r="G78" s="3" t="str">
        <f>IFERROR(VLOOKUP(A78,search_engine!$B$2:AC1069,12,),"")</f>
        <v/>
      </c>
      <c r="H78" s="3" t="str">
        <f>IFERROR(VLOOKUP(A78,search_engine!$B$2:AC1069,14,),"")</f>
        <v/>
      </c>
      <c r="I78" s="3" t="str">
        <f>IFERROR(VLOOKUP(A78,search_engine!$B$2:AC1069,16,),"")</f>
        <v/>
      </c>
      <c r="J78" s="3" t="str">
        <f>IFERROR(VLOOKUP(A78,search_engine!$B$2:AC1069,18,),"")</f>
        <v/>
      </c>
      <c r="K78" s="3" t="str">
        <f>IFERROR(VLOOKUP(A78,search_engine!$B$2:AC1069,20,),"")</f>
        <v/>
      </c>
      <c r="L78" s="3" t="str">
        <f>IFERROR(VLOOKUP(A78,search_engine!$B$2:AC1069,22,),"")</f>
        <v/>
      </c>
      <c r="M78" s="3" t="str">
        <f>IFERROR(VLOOKUP(A78,search_engine!$B$2:AC1069,24,),"")</f>
        <v/>
      </c>
      <c r="N78" s="3" t="str">
        <f>IFERROR(VLOOKUP(A78,search_engine!$B$2:AC1069,26,),"")</f>
        <v/>
      </c>
      <c r="O78" s="3" t="str">
        <f>IFERROR(VLOOKUP(A78,search_engine!$B$2:AC1069,28,),"")</f>
        <v/>
      </c>
    </row>
    <row r="79" spans="1:15" ht="38.25" customHeight="1" thickTop="1" thickBot="1">
      <c r="A79" s="3">
        <v>71</v>
      </c>
      <c r="B79" s="5" t="str">
        <f>IFERROR(VLOOKUP(A79,search_engine!$B$2:AC1070,2,),"")</f>
        <v/>
      </c>
      <c r="C79" s="3" t="str">
        <f>IFERROR(VLOOKUP(A79,search_engine!$B$2:AC1070,4,),"")</f>
        <v/>
      </c>
      <c r="D79" s="5" t="str">
        <f>IFERROR(VLOOKUP(A79,search_engine!$B$2:AC1070,6,),"")</f>
        <v/>
      </c>
      <c r="E79" s="6" t="str">
        <f>IFERROR(VLOOKUP(A79,search_engine!$B$2:AC1070,8,),"")</f>
        <v/>
      </c>
      <c r="F79" s="3" t="str">
        <f>IFERROR(VLOOKUP(A79,search_engine!$B$2:AC1070,10,),"")</f>
        <v/>
      </c>
      <c r="G79" s="3" t="str">
        <f>IFERROR(VLOOKUP(A79,search_engine!$B$2:AC1070,12,),"")</f>
        <v/>
      </c>
      <c r="H79" s="3" t="str">
        <f>IFERROR(VLOOKUP(A79,search_engine!$B$2:AC1070,14,),"")</f>
        <v/>
      </c>
      <c r="I79" s="3" t="str">
        <f>IFERROR(VLOOKUP(A79,search_engine!$B$2:AC1070,16,),"")</f>
        <v/>
      </c>
      <c r="J79" s="3" t="str">
        <f>IFERROR(VLOOKUP(A79,search_engine!$B$2:AC1070,18,),"")</f>
        <v/>
      </c>
      <c r="K79" s="3" t="str">
        <f>IFERROR(VLOOKUP(A79,search_engine!$B$2:AC1070,20,),"")</f>
        <v/>
      </c>
      <c r="L79" s="3" t="str">
        <f>IFERROR(VLOOKUP(A79,search_engine!$B$2:AC1070,22,),"")</f>
        <v/>
      </c>
      <c r="M79" s="3" t="str">
        <f>IFERROR(VLOOKUP(A79,search_engine!$B$2:AC1070,24,),"")</f>
        <v/>
      </c>
      <c r="N79" s="3" t="str">
        <f>IFERROR(VLOOKUP(A79,search_engine!$B$2:AC1070,26,),"")</f>
        <v/>
      </c>
      <c r="O79" s="3" t="str">
        <f>IFERROR(VLOOKUP(A79,search_engine!$B$2:AC1070,28,),"")</f>
        <v/>
      </c>
    </row>
    <row r="80" spans="1:15" ht="38.25" customHeight="1" thickTop="1" thickBot="1">
      <c r="A80" s="3">
        <v>72</v>
      </c>
      <c r="B80" s="5" t="str">
        <f>IFERROR(VLOOKUP(A80,search_engine!$B$2:AC1071,2,),"")</f>
        <v/>
      </c>
      <c r="C80" s="3" t="str">
        <f>IFERROR(VLOOKUP(A80,search_engine!$B$2:AC1071,4,),"")</f>
        <v/>
      </c>
      <c r="D80" s="5" t="str">
        <f>IFERROR(VLOOKUP(A80,search_engine!$B$2:AC1071,6,),"")</f>
        <v/>
      </c>
      <c r="E80" s="6" t="str">
        <f>IFERROR(VLOOKUP(A80,search_engine!$B$2:AC1071,8,),"")</f>
        <v/>
      </c>
      <c r="F80" s="3" t="str">
        <f>IFERROR(VLOOKUP(A80,search_engine!$B$2:AC1071,10,),"")</f>
        <v/>
      </c>
      <c r="G80" s="3" t="str">
        <f>IFERROR(VLOOKUP(A80,search_engine!$B$2:AC1071,12,),"")</f>
        <v/>
      </c>
      <c r="H80" s="3" t="str">
        <f>IFERROR(VLOOKUP(A80,search_engine!$B$2:AC1071,14,),"")</f>
        <v/>
      </c>
      <c r="I80" s="3" t="str">
        <f>IFERROR(VLOOKUP(A80,search_engine!$B$2:AC1071,16,),"")</f>
        <v/>
      </c>
      <c r="J80" s="3" t="str">
        <f>IFERROR(VLOOKUP(A80,search_engine!$B$2:AC1071,18,),"")</f>
        <v/>
      </c>
      <c r="K80" s="3" t="str">
        <f>IFERROR(VLOOKUP(A80,search_engine!$B$2:AC1071,20,),"")</f>
        <v/>
      </c>
      <c r="L80" s="3" t="str">
        <f>IFERROR(VLOOKUP(A80,search_engine!$B$2:AC1071,22,),"")</f>
        <v/>
      </c>
      <c r="M80" s="3" t="str">
        <f>IFERROR(VLOOKUP(A80,search_engine!$B$2:AC1071,24,),"")</f>
        <v/>
      </c>
      <c r="N80" s="3" t="str">
        <f>IFERROR(VLOOKUP(A80,search_engine!$B$2:AC1071,26,),"")</f>
        <v/>
      </c>
      <c r="O80" s="3" t="str">
        <f>IFERROR(VLOOKUP(A80,search_engine!$B$2:AC1071,28,),"")</f>
        <v/>
      </c>
    </row>
    <row r="81" spans="1:15" ht="38.25" customHeight="1" thickTop="1" thickBot="1">
      <c r="A81" s="3">
        <v>73</v>
      </c>
      <c r="B81" s="5" t="str">
        <f>IFERROR(VLOOKUP(A81,search_engine!$B$2:AC1072,2,),"")</f>
        <v/>
      </c>
      <c r="C81" s="3" t="str">
        <f>IFERROR(VLOOKUP(A81,search_engine!$B$2:AC1072,4,),"")</f>
        <v/>
      </c>
      <c r="D81" s="5" t="str">
        <f>IFERROR(VLOOKUP(A81,search_engine!$B$2:AC1072,6,),"")</f>
        <v/>
      </c>
      <c r="E81" s="6" t="str">
        <f>IFERROR(VLOOKUP(A81,search_engine!$B$2:AC1072,8,),"")</f>
        <v/>
      </c>
      <c r="F81" s="3" t="str">
        <f>IFERROR(VLOOKUP(A81,search_engine!$B$2:AC1072,10,),"")</f>
        <v/>
      </c>
      <c r="G81" s="3" t="str">
        <f>IFERROR(VLOOKUP(A81,search_engine!$B$2:AC1072,12,),"")</f>
        <v/>
      </c>
      <c r="H81" s="3" t="str">
        <f>IFERROR(VLOOKUP(A81,search_engine!$B$2:AC1072,14,),"")</f>
        <v/>
      </c>
      <c r="I81" s="3" t="str">
        <f>IFERROR(VLOOKUP(A81,search_engine!$B$2:AC1072,16,),"")</f>
        <v/>
      </c>
      <c r="J81" s="3" t="str">
        <f>IFERROR(VLOOKUP(A81,search_engine!$B$2:AC1072,18,),"")</f>
        <v/>
      </c>
      <c r="K81" s="3" t="str">
        <f>IFERROR(VLOOKUP(A81,search_engine!$B$2:AC1072,20,),"")</f>
        <v/>
      </c>
      <c r="L81" s="3" t="str">
        <f>IFERROR(VLOOKUP(A81,search_engine!$B$2:AC1072,22,),"")</f>
        <v/>
      </c>
      <c r="M81" s="3" t="str">
        <f>IFERROR(VLOOKUP(A81,search_engine!$B$2:AC1072,24,),"")</f>
        <v/>
      </c>
      <c r="N81" s="3" t="str">
        <f>IFERROR(VLOOKUP(A81,search_engine!$B$2:AC1072,26,),"")</f>
        <v/>
      </c>
      <c r="O81" s="3" t="str">
        <f>IFERROR(VLOOKUP(A81,search_engine!$B$2:AC1072,28,),"")</f>
        <v/>
      </c>
    </row>
    <row r="82" spans="1:15" ht="38.25" customHeight="1" thickTop="1" thickBot="1">
      <c r="A82" s="3">
        <v>74</v>
      </c>
      <c r="B82" s="5" t="str">
        <f>IFERROR(VLOOKUP(A82,search_engine!$B$2:AC1073,2,),"")</f>
        <v/>
      </c>
      <c r="C82" s="3" t="str">
        <f>IFERROR(VLOOKUP(A82,search_engine!$B$2:AC1073,4,),"")</f>
        <v/>
      </c>
      <c r="D82" s="5" t="str">
        <f>IFERROR(VLOOKUP(A82,search_engine!$B$2:AC1073,6,),"")</f>
        <v/>
      </c>
      <c r="E82" s="6" t="str">
        <f>IFERROR(VLOOKUP(A82,search_engine!$B$2:AC1073,8,),"")</f>
        <v/>
      </c>
      <c r="F82" s="3" t="str">
        <f>IFERROR(VLOOKUP(A82,search_engine!$B$2:AC1073,10,),"")</f>
        <v/>
      </c>
      <c r="G82" s="3" t="str">
        <f>IFERROR(VLOOKUP(A82,search_engine!$B$2:AC1073,12,),"")</f>
        <v/>
      </c>
      <c r="H82" s="3" t="str">
        <f>IFERROR(VLOOKUP(A82,search_engine!$B$2:AC1073,14,),"")</f>
        <v/>
      </c>
      <c r="I82" s="3" t="str">
        <f>IFERROR(VLOOKUP(A82,search_engine!$B$2:AC1073,16,),"")</f>
        <v/>
      </c>
      <c r="J82" s="3" t="str">
        <f>IFERROR(VLOOKUP(A82,search_engine!$B$2:AC1073,18,),"")</f>
        <v/>
      </c>
      <c r="K82" s="3" t="str">
        <f>IFERROR(VLOOKUP(A82,search_engine!$B$2:AC1073,20,),"")</f>
        <v/>
      </c>
      <c r="L82" s="3" t="str">
        <f>IFERROR(VLOOKUP(A82,search_engine!$B$2:AC1073,22,),"")</f>
        <v/>
      </c>
      <c r="M82" s="3" t="str">
        <f>IFERROR(VLOOKUP(A82,search_engine!$B$2:AC1073,24,),"")</f>
        <v/>
      </c>
      <c r="N82" s="3" t="str">
        <f>IFERROR(VLOOKUP(A82,search_engine!$B$2:AC1073,26,),"")</f>
        <v/>
      </c>
      <c r="O82" s="3" t="str">
        <f>IFERROR(VLOOKUP(A82,search_engine!$B$2:AC1073,28,),"")</f>
        <v/>
      </c>
    </row>
    <row r="83" spans="1:15" ht="38.25" customHeight="1" thickTop="1" thickBot="1">
      <c r="A83" s="3">
        <v>75</v>
      </c>
      <c r="B83" s="5" t="str">
        <f>IFERROR(VLOOKUP(A83,search_engine!$B$2:AC1074,2,),"")</f>
        <v/>
      </c>
      <c r="C83" s="3" t="str">
        <f>IFERROR(VLOOKUP(A83,search_engine!$B$2:AC1074,4,),"")</f>
        <v/>
      </c>
      <c r="D83" s="5" t="str">
        <f>IFERROR(VLOOKUP(A83,search_engine!$B$2:AC1074,6,),"")</f>
        <v/>
      </c>
      <c r="E83" s="6" t="str">
        <f>IFERROR(VLOOKUP(A83,search_engine!$B$2:AC1074,8,),"")</f>
        <v/>
      </c>
      <c r="F83" s="3" t="str">
        <f>IFERROR(VLOOKUP(A83,search_engine!$B$2:AC1074,10,),"")</f>
        <v/>
      </c>
      <c r="G83" s="3" t="str">
        <f>IFERROR(VLOOKUP(A83,search_engine!$B$2:AC1074,12,),"")</f>
        <v/>
      </c>
      <c r="H83" s="3" t="str">
        <f>IFERROR(VLOOKUP(A83,search_engine!$B$2:AC1074,14,),"")</f>
        <v/>
      </c>
      <c r="I83" s="3" t="str">
        <f>IFERROR(VLOOKUP(A83,search_engine!$B$2:AC1074,16,),"")</f>
        <v/>
      </c>
      <c r="J83" s="3" t="str">
        <f>IFERROR(VLOOKUP(A83,search_engine!$B$2:AC1074,18,),"")</f>
        <v/>
      </c>
      <c r="K83" s="3" t="str">
        <f>IFERROR(VLOOKUP(A83,search_engine!$B$2:AC1074,20,),"")</f>
        <v/>
      </c>
      <c r="L83" s="3" t="str">
        <f>IFERROR(VLOOKUP(A83,search_engine!$B$2:AC1074,22,),"")</f>
        <v/>
      </c>
      <c r="M83" s="3" t="str">
        <f>IFERROR(VLOOKUP(A83,search_engine!$B$2:AC1074,24,),"")</f>
        <v/>
      </c>
      <c r="N83" s="3" t="str">
        <f>IFERROR(VLOOKUP(A83,search_engine!$B$2:AC1074,26,),"")</f>
        <v/>
      </c>
      <c r="O83" s="3" t="str">
        <f>IFERROR(VLOOKUP(A83,search_engine!$B$2:AC1074,28,),"")</f>
        <v/>
      </c>
    </row>
    <row r="84" spans="1:15" ht="38.25" customHeight="1" thickTop="1" thickBot="1">
      <c r="A84" s="3">
        <v>76</v>
      </c>
      <c r="B84" s="5" t="str">
        <f>IFERROR(VLOOKUP(A84,search_engine!$B$2:AC1075,2,),"")</f>
        <v/>
      </c>
      <c r="C84" s="3" t="str">
        <f>IFERROR(VLOOKUP(A84,search_engine!$B$2:AC1075,4,),"")</f>
        <v/>
      </c>
      <c r="D84" s="5" t="str">
        <f>IFERROR(VLOOKUP(A84,search_engine!$B$2:AC1075,6,),"")</f>
        <v/>
      </c>
      <c r="E84" s="6" t="str">
        <f>IFERROR(VLOOKUP(A84,search_engine!$B$2:AC1075,8,),"")</f>
        <v/>
      </c>
      <c r="F84" s="3" t="str">
        <f>IFERROR(VLOOKUP(A84,search_engine!$B$2:AC1075,10,),"")</f>
        <v/>
      </c>
      <c r="G84" s="3" t="str">
        <f>IFERROR(VLOOKUP(A84,search_engine!$B$2:AC1075,12,),"")</f>
        <v/>
      </c>
      <c r="H84" s="3" t="str">
        <f>IFERROR(VLOOKUP(A84,search_engine!$B$2:AC1075,14,),"")</f>
        <v/>
      </c>
      <c r="I84" s="3" t="str">
        <f>IFERROR(VLOOKUP(A84,search_engine!$B$2:AC1075,16,),"")</f>
        <v/>
      </c>
      <c r="J84" s="3" t="str">
        <f>IFERROR(VLOOKUP(A84,search_engine!$B$2:AC1075,18,),"")</f>
        <v/>
      </c>
      <c r="K84" s="3" t="str">
        <f>IFERROR(VLOOKUP(A84,search_engine!$B$2:AC1075,20,),"")</f>
        <v/>
      </c>
      <c r="L84" s="3" t="str">
        <f>IFERROR(VLOOKUP(A84,search_engine!$B$2:AC1075,22,),"")</f>
        <v/>
      </c>
      <c r="M84" s="3" t="str">
        <f>IFERROR(VLOOKUP(A84,search_engine!$B$2:AC1075,24,),"")</f>
        <v/>
      </c>
      <c r="N84" s="3" t="str">
        <f>IFERROR(VLOOKUP(A84,search_engine!$B$2:AC1075,26,),"")</f>
        <v/>
      </c>
      <c r="O84" s="3" t="str">
        <f>IFERROR(VLOOKUP(A84,search_engine!$B$2:AC1075,28,),"")</f>
        <v/>
      </c>
    </row>
    <row r="85" spans="1:15" ht="38.25" customHeight="1" thickTop="1" thickBot="1">
      <c r="A85" s="3">
        <v>77</v>
      </c>
      <c r="B85" s="5" t="str">
        <f>IFERROR(VLOOKUP(A85,search_engine!$B$2:AC1076,2,),"")</f>
        <v/>
      </c>
      <c r="C85" s="3" t="str">
        <f>IFERROR(VLOOKUP(A85,search_engine!$B$2:AC1076,4,),"")</f>
        <v/>
      </c>
      <c r="D85" s="5" t="str">
        <f>IFERROR(VLOOKUP(A85,search_engine!$B$2:AC1076,6,),"")</f>
        <v/>
      </c>
      <c r="E85" s="6" t="str">
        <f>IFERROR(VLOOKUP(A85,search_engine!$B$2:AC1076,8,),"")</f>
        <v/>
      </c>
      <c r="F85" s="3" t="str">
        <f>IFERROR(VLOOKUP(A85,search_engine!$B$2:AC1076,10,),"")</f>
        <v/>
      </c>
      <c r="G85" s="3" t="str">
        <f>IFERROR(VLOOKUP(A85,search_engine!$B$2:AC1076,12,),"")</f>
        <v/>
      </c>
      <c r="H85" s="3" t="str">
        <f>IFERROR(VLOOKUP(A85,search_engine!$B$2:AC1076,14,),"")</f>
        <v/>
      </c>
      <c r="I85" s="3" t="str">
        <f>IFERROR(VLOOKUP(A85,search_engine!$B$2:AC1076,16,),"")</f>
        <v/>
      </c>
      <c r="J85" s="3" t="str">
        <f>IFERROR(VLOOKUP(A85,search_engine!$B$2:AC1076,18,),"")</f>
        <v/>
      </c>
      <c r="K85" s="3" t="str">
        <f>IFERROR(VLOOKUP(A85,search_engine!$B$2:AC1076,20,),"")</f>
        <v/>
      </c>
      <c r="L85" s="3" t="str">
        <f>IFERROR(VLOOKUP(A85,search_engine!$B$2:AC1076,22,),"")</f>
        <v/>
      </c>
      <c r="M85" s="3" t="str">
        <f>IFERROR(VLOOKUP(A85,search_engine!$B$2:AC1076,24,),"")</f>
        <v/>
      </c>
      <c r="N85" s="3" t="str">
        <f>IFERROR(VLOOKUP(A85,search_engine!$B$2:AC1076,26,),"")</f>
        <v/>
      </c>
      <c r="O85" s="3" t="str">
        <f>IFERROR(VLOOKUP(A85,search_engine!$B$2:AC1076,28,),"")</f>
        <v/>
      </c>
    </row>
    <row r="86" spans="1:15" ht="38.25" customHeight="1" thickTop="1" thickBot="1">
      <c r="A86" s="3">
        <v>78</v>
      </c>
      <c r="B86" s="5" t="str">
        <f>IFERROR(VLOOKUP(A86,search_engine!$B$2:AC1077,2,),"")</f>
        <v/>
      </c>
      <c r="C86" s="3" t="str">
        <f>IFERROR(VLOOKUP(A86,search_engine!$B$2:AC1077,4,),"")</f>
        <v/>
      </c>
      <c r="D86" s="5" t="str">
        <f>IFERROR(VLOOKUP(A86,search_engine!$B$2:AC1077,6,),"")</f>
        <v/>
      </c>
      <c r="E86" s="6" t="str">
        <f>IFERROR(VLOOKUP(A86,search_engine!$B$2:AC1077,8,),"")</f>
        <v/>
      </c>
      <c r="F86" s="3" t="str">
        <f>IFERROR(VLOOKUP(A86,search_engine!$B$2:AC1077,10,),"")</f>
        <v/>
      </c>
      <c r="G86" s="3" t="str">
        <f>IFERROR(VLOOKUP(A86,search_engine!$B$2:AC1077,12,),"")</f>
        <v/>
      </c>
      <c r="H86" s="3" t="str">
        <f>IFERROR(VLOOKUP(A86,search_engine!$B$2:AC1077,14,),"")</f>
        <v/>
      </c>
      <c r="I86" s="3" t="str">
        <f>IFERROR(VLOOKUP(A86,search_engine!$B$2:AC1077,16,),"")</f>
        <v/>
      </c>
      <c r="J86" s="3" t="str">
        <f>IFERROR(VLOOKUP(A86,search_engine!$B$2:AC1077,18,),"")</f>
        <v/>
      </c>
      <c r="K86" s="3" t="str">
        <f>IFERROR(VLOOKUP(A86,search_engine!$B$2:AC1077,20,),"")</f>
        <v/>
      </c>
      <c r="L86" s="3" t="str">
        <f>IFERROR(VLOOKUP(A86,search_engine!$B$2:AC1077,22,),"")</f>
        <v/>
      </c>
      <c r="M86" s="3" t="str">
        <f>IFERROR(VLOOKUP(A86,search_engine!$B$2:AC1077,24,),"")</f>
        <v/>
      </c>
      <c r="N86" s="3" t="str">
        <f>IFERROR(VLOOKUP(A86,search_engine!$B$2:AC1077,26,),"")</f>
        <v/>
      </c>
      <c r="O86" s="3" t="str">
        <f>IFERROR(VLOOKUP(A86,search_engine!$B$2:AC1077,28,),"")</f>
        <v/>
      </c>
    </row>
    <row r="87" spans="1:15" ht="38.25" customHeight="1" thickTop="1" thickBot="1">
      <c r="A87" s="3">
        <v>79</v>
      </c>
      <c r="B87" s="5" t="str">
        <f>IFERROR(VLOOKUP(A87,search_engine!$B$2:AC1078,2,),"")</f>
        <v/>
      </c>
      <c r="C87" s="3" t="str">
        <f>IFERROR(VLOOKUP(A87,search_engine!$B$2:AC1078,4,),"")</f>
        <v/>
      </c>
      <c r="D87" s="5" t="str">
        <f>IFERROR(VLOOKUP(A87,search_engine!$B$2:AC1078,6,),"")</f>
        <v/>
      </c>
      <c r="E87" s="6" t="str">
        <f>IFERROR(VLOOKUP(A87,search_engine!$B$2:AC1078,8,),"")</f>
        <v/>
      </c>
      <c r="F87" s="3" t="str">
        <f>IFERROR(VLOOKUP(A87,search_engine!$B$2:AC1078,10,),"")</f>
        <v/>
      </c>
      <c r="G87" s="3" t="str">
        <f>IFERROR(VLOOKUP(A87,search_engine!$B$2:AC1078,12,),"")</f>
        <v/>
      </c>
      <c r="H87" s="3" t="str">
        <f>IFERROR(VLOOKUP(A87,search_engine!$B$2:AC1078,14,),"")</f>
        <v/>
      </c>
      <c r="I87" s="3" t="str">
        <f>IFERROR(VLOOKUP(A87,search_engine!$B$2:AC1078,16,),"")</f>
        <v/>
      </c>
      <c r="J87" s="3" t="str">
        <f>IFERROR(VLOOKUP(A87,search_engine!$B$2:AC1078,18,),"")</f>
        <v/>
      </c>
      <c r="K87" s="3" t="str">
        <f>IFERROR(VLOOKUP(A87,search_engine!$B$2:AC1078,20,),"")</f>
        <v/>
      </c>
      <c r="L87" s="3" t="str">
        <f>IFERROR(VLOOKUP(A87,search_engine!$B$2:AC1078,22,),"")</f>
        <v/>
      </c>
      <c r="M87" s="3" t="str">
        <f>IFERROR(VLOOKUP(A87,search_engine!$B$2:AC1078,24,),"")</f>
        <v/>
      </c>
      <c r="N87" s="3" t="str">
        <f>IFERROR(VLOOKUP(A87,search_engine!$B$2:AC1078,26,),"")</f>
        <v/>
      </c>
      <c r="O87" s="3" t="str">
        <f>IFERROR(VLOOKUP(A87,search_engine!$B$2:AC1078,28,),"")</f>
        <v/>
      </c>
    </row>
    <row r="88" spans="1:15" ht="38.25" customHeight="1" thickTop="1" thickBot="1">
      <c r="A88" s="3">
        <v>80</v>
      </c>
      <c r="B88" s="5" t="str">
        <f>IFERROR(VLOOKUP(A88,search_engine!$B$2:AC1079,2,),"")</f>
        <v/>
      </c>
      <c r="C88" s="3" t="str">
        <f>IFERROR(VLOOKUP(A88,search_engine!$B$2:AC1079,4,),"")</f>
        <v/>
      </c>
      <c r="D88" s="5" t="str">
        <f>IFERROR(VLOOKUP(A88,search_engine!$B$2:AC1079,6,),"")</f>
        <v/>
      </c>
      <c r="E88" s="6" t="str">
        <f>IFERROR(VLOOKUP(A88,search_engine!$B$2:AC1079,8,),"")</f>
        <v/>
      </c>
      <c r="F88" s="3" t="str">
        <f>IFERROR(VLOOKUP(A88,search_engine!$B$2:AC1079,10,),"")</f>
        <v/>
      </c>
      <c r="G88" s="3" t="str">
        <f>IFERROR(VLOOKUP(A88,search_engine!$B$2:AC1079,12,),"")</f>
        <v/>
      </c>
      <c r="H88" s="3" t="str">
        <f>IFERROR(VLOOKUP(A88,search_engine!$B$2:AC1079,14,),"")</f>
        <v/>
      </c>
      <c r="I88" s="3" t="str">
        <f>IFERROR(VLOOKUP(A88,search_engine!$B$2:AC1079,16,),"")</f>
        <v/>
      </c>
      <c r="J88" s="3" t="str">
        <f>IFERROR(VLOOKUP(A88,search_engine!$B$2:AC1079,18,),"")</f>
        <v/>
      </c>
      <c r="K88" s="3" t="str">
        <f>IFERROR(VLOOKUP(A88,search_engine!$B$2:AC1079,20,),"")</f>
        <v/>
      </c>
      <c r="L88" s="3" t="str">
        <f>IFERROR(VLOOKUP(A88,search_engine!$B$2:AC1079,22,),"")</f>
        <v/>
      </c>
      <c r="M88" s="3" t="str">
        <f>IFERROR(VLOOKUP(A88,search_engine!$B$2:AC1079,24,),"")</f>
        <v/>
      </c>
      <c r="N88" s="3" t="str">
        <f>IFERROR(VLOOKUP(A88,search_engine!$B$2:AC1079,26,),"")</f>
        <v/>
      </c>
      <c r="O88" s="3" t="str">
        <f>IFERROR(VLOOKUP(A88,search_engine!$B$2:AC1079,28,),"")</f>
        <v/>
      </c>
    </row>
    <row r="89" spans="1:15" ht="38.25" customHeight="1" thickTop="1" thickBot="1">
      <c r="A89" s="3">
        <v>81</v>
      </c>
      <c r="B89" s="5" t="str">
        <f>IFERROR(VLOOKUP(A89,search_engine!$B$2:AC1080,2,),"")</f>
        <v/>
      </c>
      <c r="C89" s="3" t="str">
        <f>IFERROR(VLOOKUP(A89,search_engine!$B$2:AC1080,4,),"")</f>
        <v/>
      </c>
      <c r="D89" s="5" t="str">
        <f>IFERROR(VLOOKUP(A89,search_engine!$B$2:AC1080,6,),"")</f>
        <v/>
      </c>
      <c r="E89" s="6" t="str">
        <f>IFERROR(VLOOKUP(A89,search_engine!$B$2:AC1080,8,),"")</f>
        <v/>
      </c>
      <c r="F89" s="3" t="str">
        <f>IFERROR(VLOOKUP(A89,search_engine!$B$2:AC1080,10,),"")</f>
        <v/>
      </c>
      <c r="G89" s="3" t="str">
        <f>IFERROR(VLOOKUP(A89,search_engine!$B$2:AC1080,12,),"")</f>
        <v/>
      </c>
      <c r="H89" s="3" t="str">
        <f>IFERROR(VLOOKUP(A89,search_engine!$B$2:AC1080,14,),"")</f>
        <v/>
      </c>
      <c r="I89" s="3" t="str">
        <f>IFERROR(VLOOKUP(A89,search_engine!$B$2:AC1080,16,),"")</f>
        <v/>
      </c>
      <c r="J89" s="3" t="str">
        <f>IFERROR(VLOOKUP(A89,search_engine!$B$2:AC1080,18,),"")</f>
        <v/>
      </c>
      <c r="K89" s="3" t="str">
        <f>IFERROR(VLOOKUP(A89,search_engine!$B$2:AC1080,20,),"")</f>
        <v/>
      </c>
      <c r="L89" s="3" t="str">
        <f>IFERROR(VLOOKUP(A89,search_engine!$B$2:AC1080,22,),"")</f>
        <v/>
      </c>
      <c r="M89" s="3" t="str">
        <f>IFERROR(VLOOKUP(A89,search_engine!$B$2:AC1080,24,),"")</f>
        <v/>
      </c>
      <c r="N89" s="3" t="str">
        <f>IFERROR(VLOOKUP(A89,search_engine!$B$2:AC1080,26,),"")</f>
        <v/>
      </c>
      <c r="O89" s="3" t="str">
        <f>IFERROR(VLOOKUP(A89,search_engine!$B$2:AC1080,28,),"")</f>
        <v/>
      </c>
    </row>
    <row r="90" spans="1:15" ht="38.25" customHeight="1" thickTop="1" thickBot="1">
      <c r="A90" s="3">
        <v>82</v>
      </c>
      <c r="B90" s="5" t="str">
        <f>IFERROR(VLOOKUP(A90,search_engine!$B$2:AC1081,2,),"")</f>
        <v/>
      </c>
      <c r="C90" s="3" t="str">
        <f>IFERROR(VLOOKUP(A90,search_engine!$B$2:AC1081,4,),"")</f>
        <v/>
      </c>
      <c r="D90" s="5" t="str">
        <f>IFERROR(VLOOKUP(A90,search_engine!$B$2:AC1081,6,),"")</f>
        <v/>
      </c>
      <c r="E90" s="6" t="str">
        <f>IFERROR(VLOOKUP(A90,search_engine!$B$2:AC1081,8,),"")</f>
        <v/>
      </c>
      <c r="F90" s="3" t="str">
        <f>IFERROR(VLOOKUP(A90,search_engine!$B$2:AC1081,10,),"")</f>
        <v/>
      </c>
      <c r="G90" s="3" t="str">
        <f>IFERROR(VLOOKUP(A90,search_engine!$B$2:AC1081,12,),"")</f>
        <v/>
      </c>
      <c r="H90" s="3" t="str">
        <f>IFERROR(VLOOKUP(A90,search_engine!$B$2:AC1081,14,),"")</f>
        <v/>
      </c>
      <c r="I90" s="3" t="str">
        <f>IFERROR(VLOOKUP(A90,search_engine!$B$2:AC1081,16,),"")</f>
        <v/>
      </c>
      <c r="J90" s="3" t="str">
        <f>IFERROR(VLOOKUP(A90,search_engine!$B$2:AC1081,18,),"")</f>
        <v/>
      </c>
      <c r="K90" s="3" t="str">
        <f>IFERROR(VLOOKUP(A90,search_engine!$B$2:AC1081,20,),"")</f>
        <v/>
      </c>
      <c r="L90" s="3" t="str">
        <f>IFERROR(VLOOKUP(A90,search_engine!$B$2:AC1081,22,),"")</f>
        <v/>
      </c>
      <c r="M90" s="3" t="str">
        <f>IFERROR(VLOOKUP(A90,search_engine!$B$2:AC1081,24,),"")</f>
        <v/>
      </c>
      <c r="N90" s="3" t="str">
        <f>IFERROR(VLOOKUP(A90,search_engine!$B$2:AC1081,26,),"")</f>
        <v/>
      </c>
      <c r="O90" s="3" t="str">
        <f>IFERROR(VLOOKUP(A90,search_engine!$B$2:AC1081,28,),"")</f>
        <v/>
      </c>
    </row>
    <row r="91" spans="1:15" ht="38.25" customHeight="1" thickTop="1" thickBot="1">
      <c r="A91" s="3">
        <v>83</v>
      </c>
      <c r="B91" s="5" t="str">
        <f>IFERROR(VLOOKUP(A91,search_engine!$B$2:AC1082,2,),"")</f>
        <v/>
      </c>
      <c r="C91" s="3" t="str">
        <f>IFERROR(VLOOKUP(A91,search_engine!$B$2:AC1082,4,),"")</f>
        <v/>
      </c>
      <c r="D91" s="5" t="str">
        <f>IFERROR(VLOOKUP(A91,search_engine!$B$2:AC1082,6,),"")</f>
        <v/>
      </c>
      <c r="E91" s="6" t="str">
        <f>IFERROR(VLOOKUP(A91,search_engine!$B$2:AC1082,8,),"")</f>
        <v/>
      </c>
      <c r="F91" s="3" t="str">
        <f>IFERROR(VLOOKUP(A91,search_engine!$B$2:AC1082,10,),"")</f>
        <v/>
      </c>
      <c r="G91" s="3" t="str">
        <f>IFERROR(VLOOKUP(A91,search_engine!$B$2:AC1082,12,),"")</f>
        <v/>
      </c>
      <c r="H91" s="3" t="str">
        <f>IFERROR(VLOOKUP(A91,search_engine!$B$2:AC1082,14,),"")</f>
        <v/>
      </c>
      <c r="I91" s="3" t="str">
        <f>IFERROR(VLOOKUP(A91,search_engine!$B$2:AC1082,16,),"")</f>
        <v/>
      </c>
      <c r="J91" s="3" t="str">
        <f>IFERROR(VLOOKUP(A91,search_engine!$B$2:AC1082,18,),"")</f>
        <v/>
      </c>
      <c r="K91" s="3" t="str">
        <f>IFERROR(VLOOKUP(A91,search_engine!$B$2:AC1082,20,),"")</f>
        <v/>
      </c>
      <c r="L91" s="3" t="str">
        <f>IFERROR(VLOOKUP(A91,search_engine!$B$2:AC1082,22,),"")</f>
        <v/>
      </c>
      <c r="M91" s="3" t="str">
        <f>IFERROR(VLOOKUP(A91,search_engine!$B$2:AC1082,24,),"")</f>
        <v/>
      </c>
      <c r="N91" s="3" t="str">
        <f>IFERROR(VLOOKUP(A91,search_engine!$B$2:AC1082,26,),"")</f>
        <v/>
      </c>
      <c r="O91" s="3" t="str">
        <f>IFERROR(VLOOKUP(A91,search_engine!$B$2:AC1082,28,),"")</f>
        <v/>
      </c>
    </row>
    <row r="92" spans="1:15" ht="38.25" customHeight="1" thickTop="1" thickBot="1">
      <c r="A92" s="3">
        <v>84</v>
      </c>
      <c r="B92" s="5" t="str">
        <f>IFERROR(VLOOKUP(A92,search_engine!$B$2:AC1083,2,),"")</f>
        <v/>
      </c>
      <c r="C92" s="3" t="str">
        <f>IFERROR(VLOOKUP(A92,search_engine!$B$2:AC1083,4,),"")</f>
        <v/>
      </c>
      <c r="D92" s="5" t="str">
        <f>IFERROR(VLOOKUP(A92,search_engine!$B$2:AC1083,6,),"")</f>
        <v/>
      </c>
      <c r="E92" s="6" t="str">
        <f>IFERROR(VLOOKUP(A92,search_engine!$B$2:AC1083,8,),"")</f>
        <v/>
      </c>
      <c r="F92" s="3" t="str">
        <f>IFERROR(VLOOKUP(A92,search_engine!$B$2:AC1083,10,),"")</f>
        <v/>
      </c>
      <c r="G92" s="3" t="str">
        <f>IFERROR(VLOOKUP(A92,search_engine!$B$2:AC1083,12,),"")</f>
        <v/>
      </c>
      <c r="H92" s="3" t="str">
        <f>IFERROR(VLOOKUP(A92,search_engine!$B$2:AC1083,14,),"")</f>
        <v/>
      </c>
      <c r="I92" s="3" t="str">
        <f>IFERROR(VLOOKUP(A92,search_engine!$B$2:AC1083,16,),"")</f>
        <v/>
      </c>
      <c r="J92" s="3" t="str">
        <f>IFERROR(VLOOKUP(A92,search_engine!$B$2:AC1083,18,),"")</f>
        <v/>
      </c>
      <c r="K92" s="3" t="str">
        <f>IFERROR(VLOOKUP(A92,search_engine!$B$2:AC1083,20,),"")</f>
        <v/>
      </c>
      <c r="L92" s="3" t="str">
        <f>IFERROR(VLOOKUP(A92,search_engine!$B$2:AC1083,22,),"")</f>
        <v/>
      </c>
      <c r="M92" s="3" t="str">
        <f>IFERROR(VLOOKUP(A92,search_engine!$B$2:AC1083,24,),"")</f>
        <v/>
      </c>
      <c r="N92" s="3" t="str">
        <f>IFERROR(VLOOKUP(A92,search_engine!$B$2:AC1083,26,),"")</f>
        <v/>
      </c>
      <c r="O92" s="3" t="str">
        <f>IFERROR(VLOOKUP(A92,search_engine!$B$2:AC1083,28,),"")</f>
        <v/>
      </c>
    </row>
    <row r="93" spans="1:15" ht="38.25" customHeight="1" thickTop="1" thickBot="1">
      <c r="A93" s="3">
        <v>85</v>
      </c>
      <c r="B93" s="5" t="str">
        <f>IFERROR(VLOOKUP(A93,search_engine!$B$2:AC1084,2,),"")</f>
        <v/>
      </c>
      <c r="C93" s="3" t="str">
        <f>IFERROR(VLOOKUP(A93,search_engine!$B$2:AC1084,4,),"")</f>
        <v/>
      </c>
      <c r="D93" s="5" t="str">
        <f>IFERROR(VLOOKUP(A93,search_engine!$B$2:AC1084,6,),"")</f>
        <v/>
      </c>
      <c r="E93" s="6" t="str">
        <f>IFERROR(VLOOKUP(A93,search_engine!$B$2:AC1084,8,),"")</f>
        <v/>
      </c>
      <c r="F93" s="3" t="str">
        <f>IFERROR(VLOOKUP(A93,search_engine!$B$2:AC1084,10,),"")</f>
        <v/>
      </c>
      <c r="G93" s="3" t="str">
        <f>IFERROR(VLOOKUP(A93,search_engine!$B$2:AC1084,12,),"")</f>
        <v/>
      </c>
      <c r="H93" s="3" t="str">
        <f>IFERROR(VLOOKUP(A93,search_engine!$B$2:AC1084,14,),"")</f>
        <v/>
      </c>
      <c r="I93" s="3" t="str">
        <f>IFERROR(VLOOKUP(A93,search_engine!$B$2:AC1084,16,),"")</f>
        <v/>
      </c>
      <c r="J93" s="3" t="str">
        <f>IFERROR(VLOOKUP(A93,search_engine!$B$2:AC1084,18,),"")</f>
        <v/>
      </c>
      <c r="K93" s="3" t="str">
        <f>IFERROR(VLOOKUP(A93,search_engine!$B$2:AC1084,20,),"")</f>
        <v/>
      </c>
      <c r="L93" s="3" t="str">
        <f>IFERROR(VLOOKUP(A93,search_engine!$B$2:AC1084,22,),"")</f>
        <v/>
      </c>
      <c r="M93" s="3" t="str">
        <f>IFERROR(VLOOKUP(A93,search_engine!$B$2:AC1084,24,),"")</f>
        <v/>
      </c>
      <c r="N93" s="3" t="str">
        <f>IFERROR(VLOOKUP(A93,search_engine!$B$2:AC1084,26,),"")</f>
        <v/>
      </c>
      <c r="O93" s="3" t="str">
        <f>IFERROR(VLOOKUP(A93,search_engine!$B$2:AC1084,28,),"")</f>
        <v/>
      </c>
    </row>
    <row r="94" spans="1:15" ht="38.25" customHeight="1" thickTop="1" thickBot="1">
      <c r="A94" s="3">
        <v>86</v>
      </c>
      <c r="B94" s="5" t="str">
        <f>IFERROR(VLOOKUP(A94,search_engine!$B$2:AC1085,2,),"")</f>
        <v/>
      </c>
      <c r="C94" s="3" t="str">
        <f>IFERROR(VLOOKUP(A94,search_engine!$B$2:AC1085,4,),"")</f>
        <v/>
      </c>
      <c r="D94" s="5" t="str">
        <f>IFERROR(VLOOKUP(A94,search_engine!$B$2:AC1085,6,),"")</f>
        <v/>
      </c>
      <c r="E94" s="6" t="str">
        <f>IFERROR(VLOOKUP(A94,search_engine!$B$2:AC1085,8,),"")</f>
        <v/>
      </c>
      <c r="F94" s="3" t="str">
        <f>IFERROR(VLOOKUP(A94,search_engine!$B$2:AC1085,10,),"")</f>
        <v/>
      </c>
      <c r="G94" s="3" t="str">
        <f>IFERROR(VLOOKUP(A94,search_engine!$B$2:AC1085,12,),"")</f>
        <v/>
      </c>
      <c r="H94" s="3" t="str">
        <f>IFERROR(VLOOKUP(A94,search_engine!$B$2:AC1085,14,),"")</f>
        <v/>
      </c>
      <c r="I94" s="3" t="str">
        <f>IFERROR(VLOOKUP(A94,search_engine!$B$2:AC1085,16,),"")</f>
        <v/>
      </c>
      <c r="J94" s="3" t="str">
        <f>IFERROR(VLOOKUP(A94,search_engine!$B$2:AC1085,18,),"")</f>
        <v/>
      </c>
      <c r="K94" s="3" t="str">
        <f>IFERROR(VLOOKUP(A94,search_engine!$B$2:AC1085,20,),"")</f>
        <v/>
      </c>
      <c r="L94" s="3" t="str">
        <f>IFERROR(VLOOKUP(A94,search_engine!$B$2:AC1085,22,),"")</f>
        <v/>
      </c>
      <c r="M94" s="3" t="str">
        <f>IFERROR(VLOOKUP(A94,search_engine!$B$2:AC1085,24,),"")</f>
        <v/>
      </c>
      <c r="N94" s="3" t="str">
        <f>IFERROR(VLOOKUP(A94,search_engine!$B$2:AC1085,26,),"")</f>
        <v/>
      </c>
      <c r="O94" s="3" t="str">
        <f>IFERROR(VLOOKUP(A94,search_engine!$B$2:AC1085,28,),"")</f>
        <v/>
      </c>
    </row>
    <row r="95" spans="1:15" ht="38.25" customHeight="1" thickTop="1" thickBot="1">
      <c r="A95" s="3">
        <v>87</v>
      </c>
      <c r="B95" s="5" t="str">
        <f>IFERROR(VLOOKUP(A95,search_engine!$B$2:AC1086,2,),"")</f>
        <v/>
      </c>
      <c r="C95" s="3" t="str">
        <f>IFERROR(VLOOKUP(A95,search_engine!$B$2:AC1086,4,),"")</f>
        <v/>
      </c>
      <c r="D95" s="5" t="str">
        <f>IFERROR(VLOOKUP(A95,search_engine!$B$2:AC1086,6,),"")</f>
        <v/>
      </c>
      <c r="E95" s="6" t="str">
        <f>IFERROR(VLOOKUP(A95,search_engine!$B$2:AC1086,8,),"")</f>
        <v/>
      </c>
      <c r="F95" s="3" t="str">
        <f>IFERROR(VLOOKUP(A95,search_engine!$B$2:AC1086,10,),"")</f>
        <v/>
      </c>
      <c r="G95" s="3" t="str">
        <f>IFERROR(VLOOKUP(A95,search_engine!$B$2:AC1086,12,),"")</f>
        <v/>
      </c>
      <c r="H95" s="3" t="str">
        <f>IFERROR(VLOOKUP(A95,search_engine!$B$2:AC1086,14,),"")</f>
        <v/>
      </c>
      <c r="I95" s="3" t="str">
        <f>IFERROR(VLOOKUP(A95,search_engine!$B$2:AC1086,16,),"")</f>
        <v/>
      </c>
      <c r="J95" s="3" t="str">
        <f>IFERROR(VLOOKUP(A95,search_engine!$B$2:AC1086,18,),"")</f>
        <v/>
      </c>
      <c r="K95" s="3" t="str">
        <f>IFERROR(VLOOKUP(A95,search_engine!$B$2:AC1086,20,),"")</f>
        <v/>
      </c>
      <c r="L95" s="3" t="str">
        <f>IFERROR(VLOOKUP(A95,search_engine!$B$2:AC1086,22,),"")</f>
        <v/>
      </c>
      <c r="M95" s="3" t="str">
        <f>IFERROR(VLOOKUP(A95,search_engine!$B$2:AC1086,24,),"")</f>
        <v/>
      </c>
      <c r="N95" s="3" t="str">
        <f>IFERROR(VLOOKUP(A95,search_engine!$B$2:AC1086,26,),"")</f>
        <v/>
      </c>
      <c r="O95" s="3" t="str">
        <f>IFERROR(VLOOKUP(A95,search_engine!$B$2:AC1086,28,),"")</f>
        <v/>
      </c>
    </row>
    <row r="96" spans="1:15" ht="38.25" customHeight="1" thickTop="1" thickBot="1">
      <c r="A96" s="3">
        <v>88</v>
      </c>
      <c r="B96" s="5" t="str">
        <f>IFERROR(VLOOKUP(A96,search_engine!$B$2:AC1087,2,),"")</f>
        <v/>
      </c>
      <c r="C96" s="3" t="str">
        <f>IFERROR(VLOOKUP(A96,search_engine!$B$2:AC1087,4,),"")</f>
        <v/>
      </c>
      <c r="D96" s="5" t="str">
        <f>IFERROR(VLOOKUP(A96,search_engine!$B$2:AC1087,6,),"")</f>
        <v/>
      </c>
      <c r="E96" s="6" t="str">
        <f>IFERROR(VLOOKUP(A96,search_engine!$B$2:AC1087,8,),"")</f>
        <v/>
      </c>
      <c r="F96" s="3" t="str">
        <f>IFERROR(VLOOKUP(A96,search_engine!$B$2:AC1087,10,),"")</f>
        <v/>
      </c>
      <c r="G96" s="3" t="str">
        <f>IFERROR(VLOOKUP(A96,search_engine!$B$2:AC1087,12,),"")</f>
        <v/>
      </c>
      <c r="H96" s="3" t="str">
        <f>IFERROR(VLOOKUP(A96,search_engine!$B$2:AC1087,14,),"")</f>
        <v/>
      </c>
      <c r="I96" s="3" t="str">
        <f>IFERROR(VLOOKUP(A96,search_engine!$B$2:AC1087,16,),"")</f>
        <v/>
      </c>
      <c r="J96" s="3" t="str">
        <f>IFERROR(VLOOKUP(A96,search_engine!$B$2:AC1087,18,),"")</f>
        <v/>
      </c>
      <c r="K96" s="3" t="str">
        <f>IFERROR(VLOOKUP(A96,search_engine!$B$2:AC1087,20,),"")</f>
        <v/>
      </c>
      <c r="L96" s="3" t="str">
        <f>IFERROR(VLOOKUP(A96,search_engine!$B$2:AC1087,22,),"")</f>
        <v/>
      </c>
      <c r="M96" s="3" t="str">
        <f>IFERROR(VLOOKUP(A96,search_engine!$B$2:AC1087,24,),"")</f>
        <v/>
      </c>
      <c r="N96" s="3" t="str">
        <f>IFERROR(VLOOKUP(A96,search_engine!$B$2:AC1087,26,),"")</f>
        <v/>
      </c>
      <c r="O96" s="3" t="str">
        <f>IFERROR(VLOOKUP(A96,search_engine!$B$2:AC1087,28,),"")</f>
        <v/>
      </c>
    </row>
    <row r="97" spans="1:15" ht="38.25" customHeight="1" thickTop="1" thickBot="1">
      <c r="A97" s="3">
        <v>89</v>
      </c>
      <c r="B97" s="5" t="str">
        <f>IFERROR(VLOOKUP(A97,search_engine!$B$2:AC1088,2,),"")</f>
        <v/>
      </c>
      <c r="C97" s="3" t="str">
        <f>IFERROR(VLOOKUP(A97,search_engine!$B$2:AC1088,4,),"")</f>
        <v/>
      </c>
      <c r="D97" s="5" t="str">
        <f>IFERROR(VLOOKUP(A97,search_engine!$B$2:AC1088,6,),"")</f>
        <v/>
      </c>
      <c r="E97" s="6" t="str">
        <f>IFERROR(VLOOKUP(A97,search_engine!$B$2:AC1088,8,),"")</f>
        <v/>
      </c>
      <c r="F97" s="3" t="str">
        <f>IFERROR(VLOOKUP(A97,search_engine!$B$2:AC1088,10,),"")</f>
        <v/>
      </c>
      <c r="G97" s="3" t="str">
        <f>IFERROR(VLOOKUP(A97,search_engine!$B$2:AC1088,12,),"")</f>
        <v/>
      </c>
      <c r="H97" s="3" t="str">
        <f>IFERROR(VLOOKUP(A97,search_engine!$B$2:AC1088,14,),"")</f>
        <v/>
      </c>
      <c r="I97" s="3" t="str">
        <f>IFERROR(VLOOKUP(A97,search_engine!$B$2:AC1088,16,),"")</f>
        <v/>
      </c>
      <c r="J97" s="3" t="str">
        <f>IFERROR(VLOOKUP(A97,search_engine!$B$2:AC1088,18,),"")</f>
        <v/>
      </c>
      <c r="K97" s="3" t="str">
        <f>IFERROR(VLOOKUP(A97,search_engine!$B$2:AC1088,20,),"")</f>
        <v/>
      </c>
      <c r="L97" s="3" t="str">
        <f>IFERROR(VLOOKUP(A97,search_engine!$B$2:AC1088,22,),"")</f>
        <v/>
      </c>
      <c r="M97" s="3" t="str">
        <f>IFERROR(VLOOKUP(A97,search_engine!$B$2:AC1088,24,),"")</f>
        <v/>
      </c>
      <c r="N97" s="3" t="str">
        <f>IFERROR(VLOOKUP(A97,search_engine!$B$2:AC1088,26,),"")</f>
        <v/>
      </c>
      <c r="O97" s="3" t="str">
        <f>IFERROR(VLOOKUP(A97,search_engine!$B$2:AC1088,28,),"")</f>
        <v/>
      </c>
    </row>
    <row r="98" spans="1:15" ht="38.25" customHeight="1" thickTop="1" thickBot="1">
      <c r="A98" s="3">
        <v>90</v>
      </c>
      <c r="B98" s="5" t="str">
        <f>IFERROR(VLOOKUP(A98,search_engine!$B$2:AC1089,2,),"")</f>
        <v/>
      </c>
      <c r="C98" s="3" t="str">
        <f>IFERROR(VLOOKUP(A98,search_engine!$B$2:AC1089,4,),"")</f>
        <v/>
      </c>
      <c r="D98" s="5" t="str">
        <f>IFERROR(VLOOKUP(A98,search_engine!$B$2:AC1089,6,),"")</f>
        <v/>
      </c>
      <c r="E98" s="6" t="str">
        <f>IFERROR(VLOOKUP(A98,search_engine!$B$2:AC1089,8,),"")</f>
        <v/>
      </c>
      <c r="F98" s="3" t="str">
        <f>IFERROR(VLOOKUP(A98,search_engine!$B$2:AC1089,10,),"")</f>
        <v/>
      </c>
      <c r="G98" s="3" t="str">
        <f>IFERROR(VLOOKUP(A98,search_engine!$B$2:AC1089,12,),"")</f>
        <v/>
      </c>
      <c r="H98" s="3" t="str">
        <f>IFERROR(VLOOKUP(A98,search_engine!$B$2:AC1089,14,),"")</f>
        <v/>
      </c>
      <c r="I98" s="3" t="str">
        <f>IFERROR(VLOOKUP(A98,search_engine!$B$2:AC1089,16,),"")</f>
        <v/>
      </c>
      <c r="J98" s="3" t="str">
        <f>IFERROR(VLOOKUP(A98,search_engine!$B$2:AC1089,18,),"")</f>
        <v/>
      </c>
      <c r="K98" s="3" t="str">
        <f>IFERROR(VLOOKUP(A98,search_engine!$B$2:AC1089,20,),"")</f>
        <v/>
      </c>
      <c r="L98" s="3" t="str">
        <f>IFERROR(VLOOKUP(A98,search_engine!$B$2:AC1089,22,),"")</f>
        <v/>
      </c>
      <c r="M98" s="3" t="str">
        <f>IFERROR(VLOOKUP(A98,search_engine!$B$2:AC1089,24,),"")</f>
        <v/>
      </c>
      <c r="N98" s="3" t="str">
        <f>IFERROR(VLOOKUP(A98,search_engine!$B$2:AC1089,26,),"")</f>
        <v/>
      </c>
      <c r="O98" s="3" t="str">
        <f>IFERROR(VLOOKUP(A98,search_engine!$B$2:AC1089,28,),"")</f>
        <v/>
      </c>
    </row>
    <row r="99" spans="1:15" ht="38.25" customHeight="1" thickTop="1" thickBot="1">
      <c r="A99" s="3">
        <v>91</v>
      </c>
      <c r="B99" s="5" t="str">
        <f>IFERROR(VLOOKUP(A99,search_engine!$B$2:AC1090,2,),"")</f>
        <v/>
      </c>
      <c r="C99" s="3" t="str">
        <f>IFERROR(VLOOKUP(A99,search_engine!$B$2:AC1090,4,),"")</f>
        <v/>
      </c>
      <c r="D99" s="5" t="str">
        <f>IFERROR(VLOOKUP(A99,search_engine!$B$2:AC1090,6,),"")</f>
        <v/>
      </c>
      <c r="E99" s="6" t="str">
        <f>IFERROR(VLOOKUP(A99,search_engine!$B$2:AC1090,8,),"")</f>
        <v/>
      </c>
      <c r="F99" s="3" t="str">
        <f>IFERROR(VLOOKUP(A99,search_engine!$B$2:AC1090,10,),"")</f>
        <v/>
      </c>
      <c r="G99" s="3" t="str">
        <f>IFERROR(VLOOKUP(A99,search_engine!$B$2:AC1090,12,),"")</f>
        <v/>
      </c>
      <c r="H99" s="3" t="str">
        <f>IFERROR(VLOOKUP(A99,search_engine!$B$2:AC1090,14,),"")</f>
        <v/>
      </c>
      <c r="I99" s="3" t="str">
        <f>IFERROR(VLOOKUP(A99,search_engine!$B$2:AC1090,16,),"")</f>
        <v/>
      </c>
      <c r="J99" s="3" t="str">
        <f>IFERROR(VLOOKUP(A99,search_engine!$B$2:AC1090,18,),"")</f>
        <v/>
      </c>
      <c r="K99" s="3" t="str">
        <f>IFERROR(VLOOKUP(A99,search_engine!$B$2:AC1090,20,),"")</f>
        <v/>
      </c>
      <c r="L99" s="3" t="str">
        <f>IFERROR(VLOOKUP(A99,search_engine!$B$2:AC1090,22,),"")</f>
        <v/>
      </c>
      <c r="M99" s="3" t="str">
        <f>IFERROR(VLOOKUP(A99,search_engine!$B$2:AC1090,24,),"")</f>
        <v/>
      </c>
      <c r="N99" s="3" t="str">
        <f>IFERROR(VLOOKUP(A99,search_engine!$B$2:AC1090,26,),"")</f>
        <v/>
      </c>
      <c r="O99" s="3" t="str">
        <f>IFERROR(VLOOKUP(A99,search_engine!$B$2:AC1090,28,),"")</f>
        <v/>
      </c>
    </row>
    <row r="100" spans="1:15" ht="38.25" customHeight="1" thickTop="1" thickBot="1">
      <c r="A100" s="3">
        <v>92</v>
      </c>
      <c r="B100" s="5" t="str">
        <f>IFERROR(VLOOKUP(A100,search_engine!$B$2:AC1091,2,),"")</f>
        <v/>
      </c>
      <c r="C100" s="3" t="str">
        <f>IFERROR(VLOOKUP(A100,search_engine!$B$2:AC1091,4,),"")</f>
        <v/>
      </c>
      <c r="D100" s="5" t="str">
        <f>IFERROR(VLOOKUP(A100,search_engine!$B$2:AC1091,6,),"")</f>
        <v/>
      </c>
      <c r="E100" s="6" t="str">
        <f>IFERROR(VLOOKUP(A100,search_engine!$B$2:AC1091,8,),"")</f>
        <v/>
      </c>
      <c r="F100" s="3" t="str">
        <f>IFERROR(VLOOKUP(A100,search_engine!$B$2:AC1091,10,),"")</f>
        <v/>
      </c>
      <c r="G100" s="3" t="str">
        <f>IFERROR(VLOOKUP(A100,search_engine!$B$2:AC1091,12,),"")</f>
        <v/>
      </c>
      <c r="H100" s="3" t="str">
        <f>IFERROR(VLOOKUP(A100,search_engine!$B$2:AC1091,14,),"")</f>
        <v/>
      </c>
      <c r="I100" s="3" t="str">
        <f>IFERROR(VLOOKUP(A100,search_engine!$B$2:AC1091,16,),"")</f>
        <v/>
      </c>
      <c r="J100" s="3" t="str">
        <f>IFERROR(VLOOKUP(A100,search_engine!$B$2:AC1091,18,),"")</f>
        <v/>
      </c>
      <c r="K100" s="3" t="str">
        <f>IFERROR(VLOOKUP(A100,search_engine!$B$2:AC1091,20,),"")</f>
        <v/>
      </c>
      <c r="L100" s="3" t="str">
        <f>IFERROR(VLOOKUP(A100,search_engine!$B$2:AC1091,22,),"")</f>
        <v/>
      </c>
      <c r="M100" s="3" t="str">
        <f>IFERROR(VLOOKUP(A100,search_engine!$B$2:AC1091,24,),"")</f>
        <v/>
      </c>
      <c r="N100" s="3" t="str">
        <f>IFERROR(VLOOKUP(A100,search_engine!$B$2:AC1091,26,),"")</f>
        <v/>
      </c>
      <c r="O100" s="3" t="str">
        <f>IFERROR(VLOOKUP(A100,search_engine!$B$2:AC1091,28,),"")</f>
        <v/>
      </c>
    </row>
    <row r="101" spans="1:15" ht="38.25" customHeight="1" thickTop="1" thickBot="1">
      <c r="A101" s="3">
        <v>93</v>
      </c>
      <c r="B101" s="5" t="str">
        <f>IFERROR(VLOOKUP(A101,search_engine!$B$2:AC1092,2,),"")</f>
        <v/>
      </c>
      <c r="C101" s="3" t="str">
        <f>IFERROR(VLOOKUP(A101,search_engine!$B$2:AC1092,4,),"")</f>
        <v/>
      </c>
      <c r="D101" s="5" t="str">
        <f>IFERROR(VLOOKUP(A101,search_engine!$B$2:AC1092,6,),"")</f>
        <v/>
      </c>
      <c r="E101" s="6" t="str">
        <f>IFERROR(VLOOKUP(A101,search_engine!$B$2:AC1092,8,),"")</f>
        <v/>
      </c>
      <c r="F101" s="3" t="str">
        <f>IFERROR(VLOOKUP(A101,search_engine!$B$2:AC1092,10,),"")</f>
        <v/>
      </c>
      <c r="G101" s="3" t="str">
        <f>IFERROR(VLOOKUP(A101,search_engine!$B$2:AC1092,12,),"")</f>
        <v/>
      </c>
      <c r="H101" s="3" t="str">
        <f>IFERROR(VLOOKUP(A101,search_engine!$B$2:AC1092,14,),"")</f>
        <v/>
      </c>
      <c r="I101" s="3" t="str">
        <f>IFERROR(VLOOKUP(A101,search_engine!$B$2:AC1092,16,),"")</f>
        <v/>
      </c>
      <c r="J101" s="3" t="str">
        <f>IFERROR(VLOOKUP(A101,search_engine!$B$2:AC1092,18,),"")</f>
        <v/>
      </c>
      <c r="K101" s="3" t="str">
        <f>IFERROR(VLOOKUP(A101,search_engine!$B$2:AC1092,20,),"")</f>
        <v/>
      </c>
      <c r="L101" s="3" t="str">
        <f>IFERROR(VLOOKUP(A101,search_engine!$B$2:AC1092,22,),"")</f>
        <v/>
      </c>
      <c r="M101" s="3" t="str">
        <f>IFERROR(VLOOKUP(A101,search_engine!$B$2:AC1092,24,),"")</f>
        <v/>
      </c>
      <c r="N101" s="3" t="str">
        <f>IFERROR(VLOOKUP(A101,search_engine!$B$2:AC1092,26,),"")</f>
        <v/>
      </c>
      <c r="O101" s="3" t="str">
        <f>IFERROR(VLOOKUP(A101,search_engine!$B$2:AC1092,28,),"")</f>
        <v/>
      </c>
    </row>
    <row r="102" spans="1:15" ht="38.25" customHeight="1" thickTop="1" thickBot="1">
      <c r="A102" s="3">
        <v>94</v>
      </c>
      <c r="B102" s="5" t="str">
        <f>IFERROR(VLOOKUP(A102,search_engine!$B$2:AC1093,2,),"")</f>
        <v/>
      </c>
      <c r="C102" s="3" t="str">
        <f>IFERROR(VLOOKUP(A102,search_engine!$B$2:AC1093,4,),"")</f>
        <v/>
      </c>
      <c r="D102" s="5" t="str">
        <f>IFERROR(VLOOKUP(A102,search_engine!$B$2:AC1093,6,),"")</f>
        <v/>
      </c>
      <c r="E102" s="6" t="str">
        <f>IFERROR(VLOOKUP(A102,search_engine!$B$2:AC1093,8,),"")</f>
        <v/>
      </c>
      <c r="F102" s="3" t="str">
        <f>IFERROR(VLOOKUP(A102,search_engine!$B$2:AC1093,10,),"")</f>
        <v/>
      </c>
      <c r="G102" s="3" t="str">
        <f>IFERROR(VLOOKUP(A102,search_engine!$B$2:AC1093,12,),"")</f>
        <v/>
      </c>
      <c r="H102" s="3" t="str">
        <f>IFERROR(VLOOKUP(A102,search_engine!$B$2:AC1093,14,),"")</f>
        <v/>
      </c>
      <c r="I102" s="3" t="str">
        <f>IFERROR(VLOOKUP(A102,search_engine!$B$2:AC1093,16,),"")</f>
        <v/>
      </c>
      <c r="J102" s="3" t="str">
        <f>IFERROR(VLOOKUP(A102,search_engine!$B$2:AC1093,18,),"")</f>
        <v/>
      </c>
      <c r="K102" s="3" t="str">
        <f>IFERROR(VLOOKUP(A102,search_engine!$B$2:AC1093,20,),"")</f>
        <v/>
      </c>
      <c r="L102" s="3" t="str">
        <f>IFERROR(VLOOKUP(A102,search_engine!$B$2:AC1093,22,),"")</f>
        <v/>
      </c>
      <c r="M102" s="3" t="str">
        <f>IFERROR(VLOOKUP(A102,search_engine!$B$2:AC1093,24,),"")</f>
        <v/>
      </c>
      <c r="N102" s="3" t="str">
        <f>IFERROR(VLOOKUP(A102,search_engine!$B$2:AC1093,26,),"")</f>
        <v/>
      </c>
      <c r="O102" s="3" t="str">
        <f>IFERROR(VLOOKUP(A102,search_engine!$B$2:AC1093,28,),"")</f>
        <v/>
      </c>
    </row>
    <row r="103" spans="1:15" ht="38.25" customHeight="1" thickTop="1" thickBot="1">
      <c r="A103" s="3">
        <v>95</v>
      </c>
      <c r="B103" s="5" t="str">
        <f>IFERROR(VLOOKUP(A103,search_engine!$B$2:AC1094,2,),"")</f>
        <v/>
      </c>
      <c r="C103" s="3" t="str">
        <f>IFERROR(VLOOKUP(A103,search_engine!$B$2:AC1094,4,),"")</f>
        <v/>
      </c>
      <c r="D103" s="5" t="str">
        <f>IFERROR(VLOOKUP(A103,search_engine!$B$2:AC1094,6,),"")</f>
        <v/>
      </c>
      <c r="E103" s="6" t="str">
        <f>IFERROR(VLOOKUP(A103,search_engine!$B$2:AC1094,8,),"")</f>
        <v/>
      </c>
      <c r="F103" s="3" t="str">
        <f>IFERROR(VLOOKUP(A103,search_engine!$B$2:AC1094,10,),"")</f>
        <v/>
      </c>
      <c r="G103" s="3" t="str">
        <f>IFERROR(VLOOKUP(A103,search_engine!$B$2:AC1094,12,),"")</f>
        <v/>
      </c>
      <c r="H103" s="3" t="str">
        <f>IFERROR(VLOOKUP(A103,search_engine!$B$2:AC1094,14,),"")</f>
        <v/>
      </c>
      <c r="I103" s="3" t="str">
        <f>IFERROR(VLOOKUP(A103,search_engine!$B$2:AC1094,16,),"")</f>
        <v/>
      </c>
      <c r="J103" s="3" t="str">
        <f>IFERROR(VLOOKUP(A103,search_engine!$B$2:AC1094,18,),"")</f>
        <v/>
      </c>
      <c r="K103" s="3" t="str">
        <f>IFERROR(VLOOKUP(A103,search_engine!$B$2:AC1094,20,),"")</f>
        <v/>
      </c>
      <c r="L103" s="3" t="str">
        <f>IFERROR(VLOOKUP(A103,search_engine!$B$2:AC1094,22,),"")</f>
        <v/>
      </c>
      <c r="M103" s="3" t="str">
        <f>IFERROR(VLOOKUP(A103,search_engine!$B$2:AC1094,24,),"")</f>
        <v/>
      </c>
      <c r="N103" s="3" t="str">
        <f>IFERROR(VLOOKUP(A103,search_engine!$B$2:AC1094,26,),"")</f>
        <v/>
      </c>
      <c r="O103" s="3" t="str">
        <f>IFERROR(VLOOKUP(A103,search_engine!$B$2:AC1094,28,),"")</f>
        <v/>
      </c>
    </row>
    <row r="104" spans="1:15" ht="38.25" customHeight="1" thickTop="1" thickBot="1">
      <c r="A104" s="3">
        <v>96</v>
      </c>
      <c r="B104" s="5" t="str">
        <f>IFERROR(VLOOKUP(A104,search_engine!$B$2:AC1095,2,),"")</f>
        <v/>
      </c>
      <c r="C104" s="3" t="str">
        <f>IFERROR(VLOOKUP(A104,search_engine!$B$2:AC1095,4,),"")</f>
        <v/>
      </c>
      <c r="D104" s="5" t="str">
        <f>IFERROR(VLOOKUP(A104,search_engine!$B$2:AC1095,6,),"")</f>
        <v/>
      </c>
      <c r="E104" s="6" t="str">
        <f>IFERROR(VLOOKUP(A104,search_engine!$B$2:AC1095,8,),"")</f>
        <v/>
      </c>
      <c r="F104" s="3" t="str">
        <f>IFERROR(VLOOKUP(A104,search_engine!$B$2:AC1095,10,),"")</f>
        <v/>
      </c>
      <c r="G104" s="3" t="str">
        <f>IFERROR(VLOOKUP(A104,search_engine!$B$2:AC1095,12,),"")</f>
        <v/>
      </c>
      <c r="H104" s="3" t="str">
        <f>IFERROR(VLOOKUP(A104,search_engine!$B$2:AC1095,14,),"")</f>
        <v/>
      </c>
      <c r="I104" s="3" t="str">
        <f>IFERROR(VLOOKUP(A104,search_engine!$B$2:AC1095,16,),"")</f>
        <v/>
      </c>
      <c r="J104" s="3" t="str">
        <f>IFERROR(VLOOKUP(A104,search_engine!$B$2:AC1095,18,),"")</f>
        <v/>
      </c>
      <c r="K104" s="3" t="str">
        <f>IFERROR(VLOOKUP(A104,search_engine!$B$2:AC1095,20,),"")</f>
        <v/>
      </c>
      <c r="L104" s="3" t="str">
        <f>IFERROR(VLOOKUP(A104,search_engine!$B$2:AC1095,22,),"")</f>
        <v/>
      </c>
      <c r="M104" s="3" t="str">
        <f>IFERROR(VLOOKUP(A104,search_engine!$B$2:AC1095,24,),"")</f>
        <v/>
      </c>
      <c r="N104" s="3" t="str">
        <f>IFERROR(VLOOKUP(A104,search_engine!$B$2:AC1095,26,),"")</f>
        <v/>
      </c>
      <c r="O104" s="3" t="str">
        <f>IFERROR(VLOOKUP(A104,search_engine!$B$2:AC1095,28,),"")</f>
        <v/>
      </c>
    </row>
    <row r="105" spans="1:15" ht="38.25" customHeight="1" thickTop="1" thickBot="1">
      <c r="A105" s="3">
        <v>97</v>
      </c>
      <c r="B105" s="5" t="str">
        <f>IFERROR(VLOOKUP(A105,search_engine!$B$2:AC1096,2,),"")</f>
        <v/>
      </c>
      <c r="C105" s="3" t="str">
        <f>IFERROR(VLOOKUP(A105,search_engine!$B$2:AC1096,4,),"")</f>
        <v/>
      </c>
      <c r="D105" s="5" t="str">
        <f>IFERROR(VLOOKUP(A105,search_engine!$B$2:AC1096,6,),"")</f>
        <v/>
      </c>
      <c r="E105" s="6" t="str">
        <f>IFERROR(VLOOKUP(A105,search_engine!$B$2:AC1096,8,),"")</f>
        <v/>
      </c>
      <c r="F105" s="3" t="str">
        <f>IFERROR(VLOOKUP(A105,search_engine!$B$2:AC1096,10,),"")</f>
        <v/>
      </c>
      <c r="G105" s="3" t="str">
        <f>IFERROR(VLOOKUP(A105,search_engine!$B$2:AC1096,12,),"")</f>
        <v/>
      </c>
      <c r="H105" s="3" t="str">
        <f>IFERROR(VLOOKUP(A105,search_engine!$B$2:AC1096,14,),"")</f>
        <v/>
      </c>
      <c r="I105" s="3" t="str">
        <f>IFERROR(VLOOKUP(A105,search_engine!$B$2:AC1096,16,),"")</f>
        <v/>
      </c>
      <c r="J105" s="3" t="str">
        <f>IFERROR(VLOOKUP(A105,search_engine!$B$2:AC1096,18,),"")</f>
        <v/>
      </c>
      <c r="K105" s="3" t="str">
        <f>IFERROR(VLOOKUP(A105,search_engine!$B$2:AC1096,20,),"")</f>
        <v/>
      </c>
      <c r="L105" s="3" t="str">
        <f>IFERROR(VLOOKUP(A105,search_engine!$B$2:AC1096,22,),"")</f>
        <v/>
      </c>
      <c r="M105" s="3" t="str">
        <f>IFERROR(VLOOKUP(A105,search_engine!$B$2:AC1096,24,),"")</f>
        <v/>
      </c>
      <c r="N105" s="3" t="str">
        <f>IFERROR(VLOOKUP(A105,search_engine!$B$2:AC1096,26,),"")</f>
        <v/>
      </c>
      <c r="O105" s="3" t="str">
        <f>IFERROR(VLOOKUP(A105,search_engine!$B$2:AC1096,28,),"")</f>
        <v/>
      </c>
    </row>
    <row r="106" spans="1:15" ht="38.25" customHeight="1" thickTop="1" thickBot="1">
      <c r="A106" s="3">
        <v>98</v>
      </c>
      <c r="B106" s="5" t="str">
        <f>IFERROR(VLOOKUP(A106,search_engine!$B$2:AC1097,2,),"")</f>
        <v/>
      </c>
      <c r="C106" s="3" t="str">
        <f>IFERROR(VLOOKUP(A106,search_engine!$B$2:AC1097,4,),"")</f>
        <v/>
      </c>
      <c r="D106" s="5" t="str">
        <f>IFERROR(VLOOKUP(A106,search_engine!$B$2:AC1097,6,),"")</f>
        <v/>
      </c>
      <c r="E106" s="6" t="str">
        <f>IFERROR(VLOOKUP(A106,search_engine!$B$2:AC1097,8,),"")</f>
        <v/>
      </c>
      <c r="F106" s="3" t="str">
        <f>IFERROR(VLOOKUP(A106,search_engine!$B$2:AC1097,10,),"")</f>
        <v/>
      </c>
      <c r="G106" s="3" t="str">
        <f>IFERROR(VLOOKUP(A106,search_engine!$B$2:AC1097,12,),"")</f>
        <v/>
      </c>
      <c r="H106" s="3" t="str">
        <f>IFERROR(VLOOKUP(A106,search_engine!$B$2:AC1097,14,),"")</f>
        <v/>
      </c>
      <c r="I106" s="3" t="str">
        <f>IFERROR(VLOOKUP(A106,search_engine!$B$2:AC1097,16,),"")</f>
        <v/>
      </c>
      <c r="J106" s="3" t="str">
        <f>IFERROR(VLOOKUP(A106,search_engine!$B$2:AC1097,18,),"")</f>
        <v/>
      </c>
      <c r="K106" s="3" t="str">
        <f>IFERROR(VLOOKUP(A106,search_engine!$B$2:AC1097,20,),"")</f>
        <v/>
      </c>
      <c r="L106" s="3" t="str">
        <f>IFERROR(VLOOKUP(A106,search_engine!$B$2:AC1097,22,),"")</f>
        <v/>
      </c>
      <c r="M106" s="3" t="str">
        <f>IFERROR(VLOOKUP(A106,search_engine!$B$2:AC1097,24,),"")</f>
        <v/>
      </c>
      <c r="N106" s="3" t="str">
        <f>IFERROR(VLOOKUP(A106,search_engine!$B$2:AC1097,26,),"")</f>
        <v/>
      </c>
      <c r="O106" s="3" t="str">
        <f>IFERROR(VLOOKUP(A106,search_engine!$B$2:AC1097,28,),"")</f>
        <v/>
      </c>
    </row>
    <row r="107" spans="1:15" ht="38.25" customHeight="1" thickTop="1" thickBot="1">
      <c r="A107" s="3">
        <v>99</v>
      </c>
      <c r="B107" s="5" t="str">
        <f>IFERROR(VLOOKUP(A107,search_engine!$B$2:AC1098,2,),"")</f>
        <v/>
      </c>
      <c r="C107" s="3" t="str">
        <f>IFERROR(VLOOKUP(A107,search_engine!$B$2:AC1098,4,),"")</f>
        <v/>
      </c>
      <c r="D107" s="5" t="str">
        <f>IFERROR(VLOOKUP(A107,search_engine!$B$2:AC1098,6,),"")</f>
        <v/>
      </c>
      <c r="E107" s="6" t="str">
        <f>IFERROR(VLOOKUP(A107,search_engine!$B$2:AC1098,8,),"")</f>
        <v/>
      </c>
      <c r="F107" s="3" t="str">
        <f>IFERROR(VLOOKUP(A107,search_engine!$B$2:AC1098,10,),"")</f>
        <v/>
      </c>
      <c r="G107" s="3" t="str">
        <f>IFERROR(VLOOKUP(A107,search_engine!$B$2:AC1098,12,),"")</f>
        <v/>
      </c>
      <c r="H107" s="3" t="str">
        <f>IFERROR(VLOOKUP(A107,search_engine!$B$2:AC1098,14,),"")</f>
        <v/>
      </c>
      <c r="I107" s="3" t="str">
        <f>IFERROR(VLOOKUP(A107,search_engine!$B$2:AC1098,16,),"")</f>
        <v/>
      </c>
      <c r="J107" s="3" t="str">
        <f>IFERROR(VLOOKUP(A107,search_engine!$B$2:AC1098,18,),"")</f>
        <v/>
      </c>
      <c r="K107" s="3" t="str">
        <f>IFERROR(VLOOKUP(A107,search_engine!$B$2:AC1098,20,),"")</f>
        <v/>
      </c>
      <c r="L107" s="3" t="str">
        <f>IFERROR(VLOOKUP(A107,search_engine!$B$2:AC1098,22,),"")</f>
        <v/>
      </c>
      <c r="M107" s="3" t="str">
        <f>IFERROR(VLOOKUP(A107,search_engine!$B$2:AC1098,24,),"")</f>
        <v/>
      </c>
      <c r="N107" s="3" t="str">
        <f>IFERROR(VLOOKUP(A107,search_engine!$B$2:AC1098,26,),"")</f>
        <v/>
      </c>
      <c r="O107" s="3" t="str">
        <f>IFERROR(VLOOKUP(A107,search_engine!$B$2:AC1098,28,),"")</f>
        <v/>
      </c>
    </row>
    <row r="108" spans="1:15" ht="38.25" customHeight="1" thickTop="1" thickBot="1">
      <c r="A108" s="3">
        <v>100</v>
      </c>
      <c r="B108" s="5" t="str">
        <f>IFERROR(VLOOKUP(A108,search_engine!$B$2:AC1099,2,),"")</f>
        <v/>
      </c>
      <c r="C108" s="3" t="str">
        <f>IFERROR(VLOOKUP(A108,search_engine!$B$2:AC1099,4,),"")</f>
        <v/>
      </c>
      <c r="D108" s="5" t="str">
        <f>IFERROR(VLOOKUP(A108,search_engine!$B$2:AC1099,6,),"")</f>
        <v/>
      </c>
      <c r="E108" s="6" t="str">
        <f>IFERROR(VLOOKUP(A108,search_engine!$B$2:AC1099,8,),"")</f>
        <v/>
      </c>
      <c r="F108" s="3" t="str">
        <f>IFERROR(VLOOKUP(A108,search_engine!$B$2:AC1099,10,),"")</f>
        <v/>
      </c>
      <c r="G108" s="3" t="str">
        <f>IFERROR(VLOOKUP(A108,search_engine!$B$2:AC1099,12,),"")</f>
        <v/>
      </c>
      <c r="H108" s="3" t="str">
        <f>IFERROR(VLOOKUP(A108,search_engine!$B$2:AC1099,14,),"")</f>
        <v/>
      </c>
      <c r="I108" s="3" t="str">
        <f>IFERROR(VLOOKUP(A108,search_engine!$B$2:AC1099,16,),"")</f>
        <v/>
      </c>
      <c r="J108" s="3" t="str">
        <f>IFERROR(VLOOKUP(A108,search_engine!$B$2:AC1099,18,),"")</f>
        <v/>
      </c>
      <c r="K108" s="3" t="str">
        <f>IFERROR(VLOOKUP(A108,search_engine!$B$2:AC1099,20,),"")</f>
        <v/>
      </c>
      <c r="L108" s="3" t="str">
        <f>IFERROR(VLOOKUP(A108,search_engine!$B$2:AC1099,22,),"")</f>
        <v/>
      </c>
      <c r="M108" s="3" t="str">
        <f>IFERROR(VLOOKUP(A108,search_engine!$B$2:AC1099,24,),"")</f>
        <v/>
      </c>
      <c r="N108" s="3" t="str">
        <f>IFERROR(VLOOKUP(A108,search_engine!$B$2:AC1099,26,),"")</f>
        <v/>
      </c>
      <c r="O108" s="3" t="str">
        <f>IFERROR(VLOOKUP(A108,search_engine!$B$2:AC1099,28,),"")</f>
        <v/>
      </c>
    </row>
    <row r="109" spans="1:15" ht="14.4" thickTop="1">
      <c r="O109" t="s">
        <v>56</v>
      </c>
    </row>
  </sheetData>
  <mergeCells count="1">
    <mergeCell ref="B6:C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ngine"/>
  <dimension ref="A1:AD1001"/>
  <sheetViews>
    <sheetView workbookViewId="0">
      <selection activeCell="A2" sqref="A2"/>
    </sheetView>
  </sheetViews>
  <sheetFormatPr defaultRowHeight="13.8"/>
  <sheetData>
    <row r="1" spans="1:30">
      <c r="A1" s="1" t="s">
        <v>36</v>
      </c>
      <c r="C1" t="str">
        <f>samples!B1</f>
        <v>ID</v>
      </c>
      <c r="D1" t="s">
        <v>37</v>
      </c>
      <c r="E1" t="str">
        <f>IF(samples!C1=0,"",samples!C1)</f>
        <v>name</v>
      </c>
      <c r="F1" t="s">
        <v>38</v>
      </c>
      <c r="G1" t="str">
        <f>IF(samples!D1=0,"",samples!D1)</f>
        <v>derived_from</v>
      </c>
      <c r="H1" t="s">
        <v>39</v>
      </c>
      <c r="I1" t="str">
        <f>IF(samples!E1=0,"",samples!E1)</f>
        <v>synth_date</v>
      </c>
      <c r="J1" t="s">
        <v>40</v>
      </c>
      <c r="K1" t="str">
        <f>IF(samples!F1=0,"",samples!F1)</f>
        <v>reference</v>
      </c>
      <c r="L1" t="s">
        <v>41</v>
      </c>
      <c r="M1" t="str">
        <f>IF(samples!G1=0,"",samples!G1)</f>
        <v>materials type</v>
      </c>
      <c r="N1" t="s">
        <v>42</v>
      </c>
      <c r="O1" t="str">
        <f>IF(samples!H1=0,"",samples!H1)</f>
        <v>location</v>
      </c>
      <c r="P1" t="s">
        <v>43</v>
      </c>
      <c r="Q1" t="str">
        <f>IF(samples!I1=0,"",samples!I1)</f>
        <v>recipe</v>
      </c>
      <c r="R1" t="s">
        <v>44</v>
      </c>
      <c r="S1" t="str">
        <f>IF(samples!J1=0,"",samples!J1)</f>
        <v>equipment</v>
      </c>
      <c r="T1" t="s">
        <v>45</v>
      </c>
      <c r="U1" t="str">
        <f>IF(samples!K1=0,"",samples!K1)</f>
        <v>volume, ml</v>
      </c>
      <c r="V1" t="s">
        <v>46</v>
      </c>
      <c r="W1" t="str">
        <f>IF(samples!L1=0,"",samples!L1)</f>
        <v>temperature, deg.C</v>
      </c>
      <c r="X1" t="s">
        <v>47</v>
      </c>
      <c r="Y1" t="str">
        <f>IF(samples!M1=0,"",samples!M1)</f>
        <v>time, h</v>
      </c>
      <c r="Z1" t="s">
        <v>48</v>
      </c>
      <c r="AA1" t="str">
        <f>IF(samples!N1=0,"",samples!N1)</f>
        <v>notes</v>
      </c>
      <c r="AB1" t="s">
        <v>49</v>
      </c>
      <c r="AC1" t="str">
        <f>IF(samples!O1=0,"",samples!O1)</f>
        <v>ingredients</v>
      </c>
      <c r="AD1" t="s">
        <v>50</v>
      </c>
    </row>
    <row r="2" spans="1:30">
      <c r="A2">
        <f>IF(SUM(D2,F2,H2,J2,L2,N2,P2,R2,T2,V2,X2,Z2,AB2,AD2)&gt;0,1,0)</f>
        <v>1</v>
      </c>
      <c r="B2">
        <f>IF(SUM(D2,F2,H2,J2,L2,N2,P2,R2,T2,V2,X2,Z2,AB2,AD2)&gt;0,SUM($A$2:A2),0)</f>
        <v>1</v>
      </c>
      <c r="C2">
        <f>samples!B2</f>
        <v>1</v>
      </c>
      <c r="D2">
        <f>IFERROR(SEARCH(search!$B$6,samples!B2,1),0)</f>
        <v>1</v>
      </c>
      <c r="E2" t="str">
        <f>IF(samples!C2=0,"",samples!C2)</f>
        <v>LabNotebook</v>
      </c>
      <c r="F2">
        <f>IFERROR(SEARCH(search!$B$6,samples!C2,1),0)</f>
        <v>1</v>
      </c>
      <c r="G2">
        <f>IF(samples!D2=0,"",samples!D2)</f>
        <v>1</v>
      </c>
      <c r="H2">
        <f>IFERROR(SEARCH(search!$B$6,samples!D2,1),0)</f>
        <v>1</v>
      </c>
      <c r="I2" t="str">
        <f>IF(samples!E2=0,"",samples!E2)</f>
        <v>13/12/2019</v>
      </c>
      <c r="J2">
        <f>IFERROR(SEARCH(search!$B$6,samples!E2,1),0)</f>
        <v>1</v>
      </c>
      <c r="K2" t="str">
        <f>IF(samples!F2=0,"",samples!F2)</f>
        <v>bartoszmarszalek.com</v>
      </c>
      <c r="L2">
        <f>IFERROR(SEARCH(search!$B$6,samples!F2,1),0)</f>
        <v>1</v>
      </c>
      <c r="M2" t="str">
        <f>IF(samples!G2=0,"",samples!G2)</f>
        <v>software</v>
      </c>
      <c r="N2">
        <f>IFERROR(SEARCH(search!$B$6,samples!G2,1),0)</f>
        <v>1</v>
      </c>
      <c r="O2" t="str">
        <f>IF(samples!H2=0,"",samples!H2)</f>
        <v>github.com/bartoszmarszalek/LabNotebookInExcel</v>
      </c>
      <c r="P2">
        <f>IFERROR(SEARCH(search!$B$6,samples!H2,1),0)</f>
        <v>1</v>
      </c>
      <c r="Q2" t="str">
        <f>IF(samples!I2=0,"",samples!I2)</f>
        <v>a little bit of VBA for Excel</v>
      </c>
      <c r="R2">
        <f>IFERROR(SEARCH(search!$B$6,samples!I2,1),0)</f>
        <v>1</v>
      </c>
      <c r="S2" t="str">
        <f>IF(samples!J2=0,"",samples!J2)</f>
        <v>my PC</v>
      </c>
      <c r="T2">
        <f>IFERROR(SEARCH(search!$B$6,samples!J2,1),0)</f>
        <v>1</v>
      </c>
      <c r="U2" t="str">
        <f>IF(samples!K2=0,"",samples!K2)</f>
        <v/>
      </c>
      <c r="V2">
        <f>IFERROR(SEARCH(search!$B$6,samples!K2,1),0)</f>
        <v>1</v>
      </c>
      <c r="W2">
        <f>IF(samples!L2=0,"",samples!L2)</f>
        <v>36.6</v>
      </c>
      <c r="X2">
        <f>IFERROR(SEARCH(search!$B$6,samples!L2,1),0)</f>
        <v>1</v>
      </c>
      <c r="Y2">
        <f>IF(samples!M2=0,"",samples!M2)</f>
        <v>40</v>
      </c>
      <c r="Z2">
        <f>IFERROR(SEARCH(search!$B$6,samples!M2,1),0)</f>
        <v>1</v>
      </c>
      <c r="AA2" t="str">
        <f>IF(samples!N2=0,"",samples!N2)</f>
        <v>The LabNotebook is made for people who need to keep track of their samples._x000D_
People do understand and use Excel in the lab, so there is no need to install additional software if you share it in a folder such as Dropbox.</v>
      </c>
      <c r="AB2">
        <f>IFERROR(SEARCH(search!$B$6,samples!N2,1),0)</f>
        <v>1</v>
      </c>
      <c r="AC2" t="str">
        <f>IF(samples!O2=0,"",samples!O2)</f>
        <v>time and understanding of what people in the lab need</v>
      </c>
      <c r="AD2">
        <f>IFERROR(SEARCH(search!$B$6,samples!O2,1),0)</f>
        <v>1</v>
      </c>
    </row>
    <row r="3" spans="1:30">
      <c r="A3">
        <f t="shared" ref="A3:A66" si="0">IF(SUM(D3,F3,H3,J3,L3,N3,P3,R3,T3,V3,X3,Z3,AB3,AD3)&gt;0,1,0)</f>
        <v>0</v>
      </c>
      <c r="B3">
        <f>IF(SUM(D3,F3,H3,J3,L3,N3,P3,R3,T3,V3,X3,Z3,AB3,AD3)&gt;0,SUM($A$2:A3),0)</f>
        <v>0</v>
      </c>
      <c r="C3" t="e">
        <f>samples!#REF!</f>
        <v>#REF!</v>
      </c>
      <c r="D3">
        <f>IFERROR(SEARCH(search!$B$6,samples!#REF!,1),0)</f>
        <v>0</v>
      </c>
      <c r="E3" t="e">
        <f>IF(samples!#REF!=0,"",samples!#REF!)</f>
        <v>#REF!</v>
      </c>
      <c r="F3">
        <f>IFERROR(SEARCH(search!$B$6,samples!#REF!,1),0)</f>
        <v>0</v>
      </c>
      <c r="G3" t="e">
        <f>IF(samples!#REF!=0,"",samples!#REF!)</f>
        <v>#REF!</v>
      </c>
      <c r="H3">
        <f>IFERROR(SEARCH(search!$B$6,samples!#REF!,1),0)</f>
        <v>0</v>
      </c>
      <c r="I3" t="e">
        <f>IF(samples!#REF!=0,"",samples!#REF!)</f>
        <v>#REF!</v>
      </c>
      <c r="J3">
        <f>IFERROR(SEARCH(search!$B$6,samples!#REF!,1),0)</f>
        <v>0</v>
      </c>
      <c r="K3" t="e">
        <f>IF(samples!#REF!=0,"",samples!#REF!)</f>
        <v>#REF!</v>
      </c>
      <c r="L3">
        <f>IFERROR(SEARCH(search!$B$6,samples!#REF!,1),0)</f>
        <v>0</v>
      </c>
      <c r="M3" t="e">
        <f>IF(samples!#REF!=0,"",samples!#REF!)</f>
        <v>#REF!</v>
      </c>
      <c r="N3">
        <f>IFERROR(SEARCH(search!$B$6,samples!#REF!,1),0)</f>
        <v>0</v>
      </c>
      <c r="O3" t="e">
        <f>IF(samples!#REF!=0,"",samples!#REF!)</f>
        <v>#REF!</v>
      </c>
      <c r="P3">
        <f>IFERROR(SEARCH(search!$B$6,samples!#REF!,1),0)</f>
        <v>0</v>
      </c>
      <c r="Q3" t="e">
        <f>IF(samples!#REF!=0,"",samples!#REF!)</f>
        <v>#REF!</v>
      </c>
      <c r="R3">
        <f>IFERROR(SEARCH(search!$B$6,samples!#REF!,1),0)</f>
        <v>0</v>
      </c>
      <c r="S3" t="e">
        <f>IF(samples!#REF!=0,"",samples!#REF!)</f>
        <v>#REF!</v>
      </c>
      <c r="T3">
        <f>IFERROR(SEARCH(search!$B$6,samples!#REF!,1),0)</f>
        <v>0</v>
      </c>
      <c r="U3" t="e">
        <f>IF(samples!#REF!=0,"",samples!#REF!)</f>
        <v>#REF!</v>
      </c>
      <c r="V3">
        <f>IFERROR(SEARCH(search!$B$6,samples!#REF!,1),0)</f>
        <v>0</v>
      </c>
      <c r="W3" t="e">
        <f>IF(samples!#REF!=0,"",samples!#REF!)</f>
        <v>#REF!</v>
      </c>
      <c r="X3">
        <f>IFERROR(SEARCH(search!$B$6,samples!#REF!,1),0)</f>
        <v>0</v>
      </c>
      <c r="Y3" t="e">
        <f>IF(samples!#REF!=0,"",samples!#REF!)</f>
        <v>#REF!</v>
      </c>
      <c r="Z3">
        <f>IFERROR(SEARCH(search!$B$6,samples!#REF!,1),0)</f>
        <v>0</v>
      </c>
      <c r="AA3" t="e">
        <f>IF(samples!#REF!=0,"",samples!#REF!)</f>
        <v>#REF!</v>
      </c>
      <c r="AB3">
        <f>IFERROR(SEARCH(search!$B$6,samples!#REF!,1),0)</f>
        <v>0</v>
      </c>
      <c r="AC3" t="e">
        <f>IF(samples!#REF!=0,"",samples!#REF!)</f>
        <v>#REF!</v>
      </c>
      <c r="AD3">
        <f>IFERROR(SEARCH(search!$B$6,samples!#REF!,1),0)</f>
        <v>0</v>
      </c>
    </row>
    <row r="4" spans="1:30">
      <c r="A4">
        <f t="shared" si="0"/>
        <v>0</v>
      </c>
      <c r="B4">
        <f>IF(SUM(D4,F4,H4,J4,L4,N4,P4,R4,T4,V4,X4,Z4,AB4,AD4)&gt;0,SUM($A$2:A4),0)</f>
        <v>0</v>
      </c>
      <c r="C4" t="e">
        <f>samples!#REF!</f>
        <v>#REF!</v>
      </c>
      <c r="D4">
        <f>IFERROR(SEARCH(search!$B$6,samples!#REF!,1),0)</f>
        <v>0</v>
      </c>
      <c r="E4" t="e">
        <f>IF(samples!#REF!=0,"",samples!#REF!)</f>
        <v>#REF!</v>
      </c>
      <c r="F4">
        <f>IFERROR(SEARCH(search!$B$6,samples!#REF!,1),0)</f>
        <v>0</v>
      </c>
      <c r="G4" t="e">
        <f>IF(samples!#REF!=0,"",samples!#REF!)</f>
        <v>#REF!</v>
      </c>
      <c r="H4">
        <f>IFERROR(SEARCH(search!$B$6,samples!#REF!,1),0)</f>
        <v>0</v>
      </c>
      <c r="I4" t="e">
        <f>IF(samples!#REF!=0,"",samples!#REF!)</f>
        <v>#REF!</v>
      </c>
      <c r="J4">
        <f>IFERROR(SEARCH(search!$B$6,samples!#REF!,1),0)</f>
        <v>0</v>
      </c>
      <c r="K4" t="e">
        <f>IF(samples!#REF!=0,"",samples!#REF!)</f>
        <v>#REF!</v>
      </c>
      <c r="L4">
        <f>IFERROR(SEARCH(search!$B$6,samples!#REF!,1),0)</f>
        <v>0</v>
      </c>
      <c r="M4" t="e">
        <f>IF(samples!#REF!=0,"",samples!#REF!)</f>
        <v>#REF!</v>
      </c>
      <c r="N4">
        <f>IFERROR(SEARCH(search!$B$6,samples!#REF!,1),0)</f>
        <v>0</v>
      </c>
      <c r="O4" t="e">
        <f>IF(samples!#REF!=0,"",samples!#REF!)</f>
        <v>#REF!</v>
      </c>
      <c r="P4">
        <f>IFERROR(SEARCH(search!$B$6,samples!#REF!,1),0)</f>
        <v>0</v>
      </c>
      <c r="Q4" t="e">
        <f>IF(samples!#REF!=0,"",samples!#REF!)</f>
        <v>#REF!</v>
      </c>
      <c r="R4">
        <f>IFERROR(SEARCH(search!$B$6,samples!#REF!,1),0)</f>
        <v>0</v>
      </c>
      <c r="S4" t="e">
        <f>IF(samples!#REF!=0,"",samples!#REF!)</f>
        <v>#REF!</v>
      </c>
      <c r="T4">
        <f>IFERROR(SEARCH(search!$B$6,samples!#REF!,1),0)</f>
        <v>0</v>
      </c>
      <c r="U4" t="e">
        <f>IF(samples!#REF!=0,"",samples!#REF!)</f>
        <v>#REF!</v>
      </c>
      <c r="V4">
        <f>IFERROR(SEARCH(search!$B$6,samples!#REF!,1),0)</f>
        <v>0</v>
      </c>
      <c r="W4" t="e">
        <f>IF(samples!#REF!=0,"",samples!#REF!)</f>
        <v>#REF!</v>
      </c>
      <c r="X4">
        <f>IFERROR(SEARCH(search!$B$6,samples!#REF!,1),0)</f>
        <v>0</v>
      </c>
      <c r="Y4" t="e">
        <f>IF(samples!#REF!=0,"",samples!#REF!)</f>
        <v>#REF!</v>
      </c>
      <c r="Z4">
        <f>IFERROR(SEARCH(search!$B$6,samples!#REF!,1),0)</f>
        <v>0</v>
      </c>
      <c r="AA4" t="e">
        <f>IF(samples!#REF!=0,"",samples!#REF!)</f>
        <v>#REF!</v>
      </c>
      <c r="AB4">
        <f>IFERROR(SEARCH(search!$B$6,samples!#REF!,1),0)</f>
        <v>0</v>
      </c>
      <c r="AC4" t="e">
        <f>IF(samples!#REF!=0,"",samples!#REF!)</f>
        <v>#REF!</v>
      </c>
      <c r="AD4">
        <f>IFERROR(SEARCH(search!$B$6,samples!#REF!,1),0)</f>
        <v>0</v>
      </c>
    </row>
    <row r="5" spans="1:30">
      <c r="A5">
        <f t="shared" si="0"/>
        <v>0</v>
      </c>
      <c r="B5">
        <f>IF(SUM(D5,F5,H5,J5,L5,N5,P5,R5,T5,V5,X5,Z5,AB5,AD5)&gt;0,SUM($A$2:A5),0)</f>
        <v>0</v>
      </c>
      <c r="C5" t="e">
        <f>samples!#REF!</f>
        <v>#REF!</v>
      </c>
      <c r="D5">
        <f>IFERROR(SEARCH(search!$B$6,samples!#REF!,1),0)</f>
        <v>0</v>
      </c>
      <c r="E5" t="e">
        <f>IF(samples!#REF!=0,"",samples!#REF!)</f>
        <v>#REF!</v>
      </c>
      <c r="F5">
        <f>IFERROR(SEARCH(search!$B$6,samples!#REF!,1),0)</f>
        <v>0</v>
      </c>
      <c r="G5" t="e">
        <f>IF(samples!#REF!=0,"",samples!#REF!)</f>
        <v>#REF!</v>
      </c>
      <c r="H5">
        <f>IFERROR(SEARCH(search!$B$6,samples!#REF!,1),0)</f>
        <v>0</v>
      </c>
      <c r="I5" t="e">
        <f>IF(samples!#REF!=0,"",samples!#REF!)</f>
        <v>#REF!</v>
      </c>
      <c r="J5">
        <f>IFERROR(SEARCH(search!$B$6,samples!#REF!,1),0)</f>
        <v>0</v>
      </c>
      <c r="K5" t="e">
        <f>IF(samples!#REF!=0,"",samples!#REF!)</f>
        <v>#REF!</v>
      </c>
      <c r="L5">
        <f>IFERROR(SEARCH(search!$B$6,samples!#REF!,1),0)</f>
        <v>0</v>
      </c>
      <c r="M5" t="e">
        <f>IF(samples!#REF!=0,"",samples!#REF!)</f>
        <v>#REF!</v>
      </c>
      <c r="N5">
        <f>IFERROR(SEARCH(search!$B$6,samples!#REF!,1),0)</f>
        <v>0</v>
      </c>
      <c r="O5" t="e">
        <f>IF(samples!#REF!=0,"",samples!#REF!)</f>
        <v>#REF!</v>
      </c>
      <c r="P5">
        <f>IFERROR(SEARCH(search!$B$6,samples!#REF!,1),0)</f>
        <v>0</v>
      </c>
      <c r="Q5" t="e">
        <f>IF(samples!#REF!=0,"",samples!#REF!)</f>
        <v>#REF!</v>
      </c>
      <c r="R5">
        <f>IFERROR(SEARCH(search!$B$6,samples!#REF!,1),0)</f>
        <v>0</v>
      </c>
      <c r="S5" t="e">
        <f>IF(samples!#REF!=0,"",samples!#REF!)</f>
        <v>#REF!</v>
      </c>
      <c r="T5">
        <f>IFERROR(SEARCH(search!$B$6,samples!#REF!,1),0)</f>
        <v>0</v>
      </c>
      <c r="U5" t="e">
        <f>IF(samples!#REF!=0,"",samples!#REF!)</f>
        <v>#REF!</v>
      </c>
      <c r="V5">
        <f>IFERROR(SEARCH(search!$B$6,samples!#REF!,1),0)</f>
        <v>0</v>
      </c>
      <c r="W5" t="e">
        <f>IF(samples!#REF!=0,"",samples!#REF!)</f>
        <v>#REF!</v>
      </c>
      <c r="X5">
        <f>IFERROR(SEARCH(search!$B$6,samples!#REF!,1),0)</f>
        <v>0</v>
      </c>
      <c r="Y5" t="e">
        <f>IF(samples!#REF!=0,"",samples!#REF!)</f>
        <v>#REF!</v>
      </c>
      <c r="Z5">
        <f>IFERROR(SEARCH(search!$B$6,samples!#REF!,1),0)</f>
        <v>0</v>
      </c>
      <c r="AA5" t="e">
        <f>IF(samples!#REF!=0,"",samples!#REF!)</f>
        <v>#REF!</v>
      </c>
      <c r="AB5">
        <f>IFERROR(SEARCH(search!$B$6,samples!#REF!,1),0)</f>
        <v>0</v>
      </c>
      <c r="AC5" t="e">
        <f>IF(samples!#REF!=0,"",samples!#REF!)</f>
        <v>#REF!</v>
      </c>
      <c r="AD5">
        <f>IFERROR(SEARCH(search!$B$6,samples!#REF!,1),0)</f>
        <v>0</v>
      </c>
    </row>
    <row r="6" spans="1:30">
      <c r="A6">
        <f t="shared" si="0"/>
        <v>0</v>
      </c>
      <c r="B6">
        <f>IF(SUM(D6,F6,H6,J6,L6,N6,P6,R6,T6,V6,X6,Z6,AB6,AD6)&gt;0,SUM($A$2:A6),0)</f>
        <v>0</v>
      </c>
      <c r="C6" t="e">
        <f>samples!#REF!</f>
        <v>#REF!</v>
      </c>
      <c r="D6">
        <f>IFERROR(SEARCH(search!$B$6,samples!#REF!,1),0)</f>
        <v>0</v>
      </c>
      <c r="E6" t="e">
        <f>IF(samples!#REF!=0,"",samples!#REF!)</f>
        <v>#REF!</v>
      </c>
      <c r="F6">
        <f>IFERROR(SEARCH(search!$B$6,samples!#REF!,1),0)</f>
        <v>0</v>
      </c>
      <c r="G6" t="e">
        <f>IF(samples!#REF!=0,"",samples!#REF!)</f>
        <v>#REF!</v>
      </c>
      <c r="H6">
        <f>IFERROR(SEARCH(search!$B$6,samples!#REF!,1),0)</f>
        <v>0</v>
      </c>
      <c r="I6" t="e">
        <f>IF(samples!#REF!=0,"",samples!#REF!)</f>
        <v>#REF!</v>
      </c>
      <c r="J6">
        <f>IFERROR(SEARCH(search!$B$6,samples!#REF!,1),0)</f>
        <v>0</v>
      </c>
      <c r="K6" t="e">
        <f>IF(samples!#REF!=0,"",samples!#REF!)</f>
        <v>#REF!</v>
      </c>
      <c r="L6">
        <f>IFERROR(SEARCH(search!$B$6,samples!#REF!,1),0)</f>
        <v>0</v>
      </c>
      <c r="M6" t="e">
        <f>IF(samples!#REF!=0,"",samples!#REF!)</f>
        <v>#REF!</v>
      </c>
      <c r="N6">
        <f>IFERROR(SEARCH(search!$B$6,samples!#REF!,1),0)</f>
        <v>0</v>
      </c>
      <c r="O6" t="e">
        <f>IF(samples!#REF!=0,"",samples!#REF!)</f>
        <v>#REF!</v>
      </c>
      <c r="P6">
        <f>IFERROR(SEARCH(search!$B$6,samples!#REF!,1),0)</f>
        <v>0</v>
      </c>
      <c r="Q6" t="e">
        <f>IF(samples!#REF!=0,"",samples!#REF!)</f>
        <v>#REF!</v>
      </c>
      <c r="R6">
        <f>IFERROR(SEARCH(search!$B$6,samples!#REF!,1),0)</f>
        <v>0</v>
      </c>
      <c r="S6" t="e">
        <f>IF(samples!#REF!=0,"",samples!#REF!)</f>
        <v>#REF!</v>
      </c>
      <c r="T6">
        <f>IFERROR(SEARCH(search!$B$6,samples!#REF!,1),0)</f>
        <v>0</v>
      </c>
      <c r="U6" t="e">
        <f>IF(samples!#REF!=0,"",samples!#REF!)</f>
        <v>#REF!</v>
      </c>
      <c r="V6">
        <f>IFERROR(SEARCH(search!$B$6,samples!#REF!,1),0)</f>
        <v>0</v>
      </c>
      <c r="W6" t="e">
        <f>IF(samples!#REF!=0,"",samples!#REF!)</f>
        <v>#REF!</v>
      </c>
      <c r="X6">
        <f>IFERROR(SEARCH(search!$B$6,samples!#REF!,1),0)</f>
        <v>0</v>
      </c>
      <c r="Y6" t="e">
        <f>IF(samples!#REF!=0,"",samples!#REF!)</f>
        <v>#REF!</v>
      </c>
      <c r="Z6">
        <f>IFERROR(SEARCH(search!$B$6,samples!#REF!,1),0)</f>
        <v>0</v>
      </c>
      <c r="AA6" t="e">
        <f>IF(samples!#REF!=0,"",samples!#REF!)</f>
        <v>#REF!</v>
      </c>
      <c r="AB6">
        <f>IFERROR(SEARCH(search!$B$6,samples!#REF!,1),0)</f>
        <v>0</v>
      </c>
      <c r="AC6" t="e">
        <f>IF(samples!#REF!=0,"",samples!#REF!)</f>
        <v>#REF!</v>
      </c>
      <c r="AD6">
        <f>IFERROR(SEARCH(search!$B$6,samples!#REF!,1),0)</f>
        <v>0</v>
      </c>
    </row>
    <row r="7" spans="1:30">
      <c r="A7">
        <f t="shared" si="0"/>
        <v>0</v>
      </c>
      <c r="B7">
        <f>IF(SUM(D7,F7,H7,J7,L7,N7,P7,R7,T7,V7,X7,Z7,AB7,AD7)&gt;0,SUM($A$2:A7),0)</f>
        <v>0</v>
      </c>
      <c r="C7" t="e">
        <f>samples!#REF!</f>
        <v>#REF!</v>
      </c>
      <c r="D7">
        <f>IFERROR(SEARCH(search!$B$6,samples!#REF!,1),0)</f>
        <v>0</v>
      </c>
      <c r="E7" t="e">
        <f>IF(samples!#REF!=0,"",samples!#REF!)</f>
        <v>#REF!</v>
      </c>
      <c r="F7">
        <f>IFERROR(SEARCH(search!$B$6,samples!#REF!,1),0)</f>
        <v>0</v>
      </c>
      <c r="G7" t="e">
        <f>IF(samples!#REF!=0,"",samples!#REF!)</f>
        <v>#REF!</v>
      </c>
      <c r="H7">
        <f>IFERROR(SEARCH(search!$B$6,samples!#REF!,1),0)</f>
        <v>0</v>
      </c>
      <c r="I7" t="e">
        <f>IF(samples!#REF!=0,"",samples!#REF!)</f>
        <v>#REF!</v>
      </c>
      <c r="J7">
        <f>IFERROR(SEARCH(search!$B$6,samples!#REF!,1),0)</f>
        <v>0</v>
      </c>
      <c r="K7" t="e">
        <f>IF(samples!#REF!=0,"",samples!#REF!)</f>
        <v>#REF!</v>
      </c>
      <c r="L7">
        <f>IFERROR(SEARCH(search!$B$6,samples!#REF!,1),0)</f>
        <v>0</v>
      </c>
      <c r="M7" t="e">
        <f>IF(samples!#REF!=0,"",samples!#REF!)</f>
        <v>#REF!</v>
      </c>
      <c r="N7">
        <f>IFERROR(SEARCH(search!$B$6,samples!#REF!,1),0)</f>
        <v>0</v>
      </c>
      <c r="O7" t="e">
        <f>IF(samples!#REF!=0,"",samples!#REF!)</f>
        <v>#REF!</v>
      </c>
      <c r="P7">
        <f>IFERROR(SEARCH(search!$B$6,samples!#REF!,1),0)</f>
        <v>0</v>
      </c>
      <c r="Q7" t="e">
        <f>IF(samples!#REF!=0,"",samples!#REF!)</f>
        <v>#REF!</v>
      </c>
      <c r="R7">
        <f>IFERROR(SEARCH(search!$B$6,samples!#REF!,1),0)</f>
        <v>0</v>
      </c>
      <c r="S7" t="e">
        <f>IF(samples!#REF!=0,"",samples!#REF!)</f>
        <v>#REF!</v>
      </c>
      <c r="T7">
        <f>IFERROR(SEARCH(search!$B$6,samples!#REF!,1),0)</f>
        <v>0</v>
      </c>
      <c r="U7" t="e">
        <f>IF(samples!#REF!=0,"",samples!#REF!)</f>
        <v>#REF!</v>
      </c>
      <c r="V7">
        <f>IFERROR(SEARCH(search!$B$6,samples!#REF!,1),0)</f>
        <v>0</v>
      </c>
      <c r="W7" t="e">
        <f>IF(samples!#REF!=0,"",samples!#REF!)</f>
        <v>#REF!</v>
      </c>
      <c r="X7">
        <f>IFERROR(SEARCH(search!$B$6,samples!#REF!,1),0)</f>
        <v>0</v>
      </c>
      <c r="Y7" t="e">
        <f>IF(samples!#REF!=0,"",samples!#REF!)</f>
        <v>#REF!</v>
      </c>
      <c r="Z7">
        <f>IFERROR(SEARCH(search!$B$6,samples!#REF!,1),0)</f>
        <v>0</v>
      </c>
      <c r="AA7" t="e">
        <f>IF(samples!#REF!=0,"",samples!#REF!)</f>
        <v>#REF!</v>
      </c>
      <c r="AB7">
        <f>IFERROR(SEARCH(search!$B$6,samples!#REF!,1),0)</f>
        <v>0</v>
      </c>
      <c r="AC7" t="e">
        <f>IF(samples!#REF!=0,"",samples!#REF!)</f>
        <v>#REF!</v>
      </c>
      <c r="AD7">
        <f>IFERROR(SEARCH(search!$B$6,samples!#REF!,1),0)</f>
        <v>0</v>
      </c>
    </row>
    <row r="8" spans="1:30">
      <c r="A8">
        <f t="shared" si="0"/>
        <v>0</v>
      </c>
      <c r="B8">
        <f>IF(SUM(D8,F8,H8,J8,L8,N8,P8,R8,T8,V8,X8,Z8,AB8,AD8)&gt;0,SUM($A$2:A8),0)</f>
        <v>0</v>
      </c>
      <c r="C8" t="e">
        <f>samples!#REF!</f>
        <v>#REF!</v>
      </c>
      <c r="D8">
        <f>IFERROR(SEARCH(search!$B$6,samples!#REF!,1),0)</f>
        <v>0</v>
      </c>
      <c r="E8" t="e">
        <f>IF(samples!#REF!=0,"",samples!#REF!)</f>
        <v>#REF!</v>
      </c>
      <c r="F8">
        <f>IFERROR(SEARCH(search!$B$6,samples!#REF!,1),0)</f>
        <v>0</v>
      </c>
      <c r="G8" t="e">
        <f>IF(samples!#REF!=0,"",samples!#REF!)</f>
        <v>#REF!</v>
      </c>
      <c r="H8">
        <f>IFERROR(SEARCH(search!$B$6,samples!#REF!,1),0)</f>
        <v>0</v>
      </c>
      <c r="I8" t="e">
        <f>IF(samples!#REF!=0,"",samples!#REF!)</f>
        <v>#REF!</v>
      </c>
      <c r="J8">
        <f>IFERROR(SEARCH(search!$B$6,samples!#REF!,1),0)</f>
        <v>0</v>
      </c>
      <c r="K8" t="e">
        <f>IF(samples!#REF!=0,"",samples!#REF!)</f>
        <v>#REF!</v>
      </c>
      <c r="L8">
        <f>IFERROR(SEARCH(search!$B$6,samples!#REF!,1),0)</f>
        <v>0</v>
      </c>
      <c r="M8" t="e">
        <f>IF(samples!#REF!=0,"",samples!#REF!)</f>
        <v>#REF!</v>
      </c>
      <c r="N8">
        <f>IFERROR(SEARCH(search!$B$6,samples!#REF!,1),0)</f>
        <v>0</v>
      </c>
      <c r="O8" t="e">
        <f>IF(samples!#REF!=0,"",samples!#REF!)</f>
        <v>#REF!</v>
      </c>
      <c r="P8">
        <f>IFERROR(SEARCH(search!$B$6,samples!#REF!,1),0)</f>
        <v>0</v>
      </c>
      <c r="Q8" t="e">
        <f>IF(samples!#REF!=0,"",samples!#REF!)</f>
        <v>#REF!</v>
      </c>
      <c r="R8">
        <f>IFERROR(SEARCH(search!$B$6,samples!#REF!,1),0)</f>
        <v>0</v>
      </c>
      <c r="S8" t="e">
        <f>IF(samples!#REF!=0,"",samples!#REF!)</f>
        <v>#REF!</v>
      </c>
      <c r="T8">
        <f>IFERROR(SEARCH(search!$B$6,samples!#REF!,1),0)</f>
        <v>0</v>
      </c>
      <c r="U8" t="e">
        <f>IF(samples!#REF!=0,"",samples!#REF!)</f>
        <v>#REF!</v>
      </c>
      <c r="V8">
        <f>IFERROR(SEARCH(search!$B$6,samples!#REF!,1),0)</f>
        <v>0</v>
      </c>
      <c r="W8" t="e">
        <f>IF(samples!#REF!=0,"",samples!#REF!)</f>
        <v>#REF!</v>
      </c>
      <c r="X8">
        <f>IFERROR(SEARCH(search!$B$6,samples!#REF!,1),0)</f>
        <v>0</v>
      </c>
      <c r="Y8" t="e">
        <f>IF(samples!#REF!=0,"",samples!#REF!)</f>
        <v>#REF!</v>
      </c>
      <c r="Z8">
        <f>IFERROR(SEARCH(search!$B$6,samples!#REF!,1),0)</f>
        <v>0</v>
      </c>
      <c r="AA8" t="e">
        <f>IF(samples!#REF!=0,"",samples!#REF!)</f>
        <v>#REF!</v>
      </c>
      <c r="AB8">
        <f>IFERROR(SEARCH(search!$B$6,samples!#REF!,1),0)</f>
        <v>0</v>
      </c>
      <c r="AC8" t="e">
        <f>IF(samples!#REF!=0,"",samples!#REF!)</f>
        <v>#REF!</v>
      </c>
      <c r="AD8">
        <f>IFERROR(SEARCH(search!$B$6,samples!#REF!,1),0)</f>
        <v>0</v>
      </c>
    </row>
    <row r="9" spans="1:30">
      <c r="A9">
        <f t="shared" si="0"/>
        <v>0</v>
      </c>
      <c r="B9">
        <f>IF(SUM(D9,F9,H9,J9,L9,N9,P9,R9,T9,V9,X9,Z9,AB9,AD9)&gt;0,SUM($A$2:A9),0)</f>
        <v>0</v>
      </c>
      <c r="C9" t="e">
        <f>samples!#REF!</f>
        <v>#REF!</v>
      </c>
      <c r="D9">
        <f>IFERROR(SEARCH(search!$B$6,samples!#REF!,1),0)</f>
        <v>0</v>
      </c>
      <c r="E9" t="e">
        <f>IF(samples!#REF!=0,"",samples!#REF!)</f>
        <v>#REF!</v>
      </c>
      <c r="F9">
        <f>IFERROR(SEARCH(search!$B$6,samples!#REF!,1),0)</f>
        <v>0</v>
      </c>
      <c r="G9" t="e">
        <f>IF(samples!#REF!=0,"",samples!#REF!)</f>
        <v>#REF!</v>
      </c>
      <c r="H9">
        <f>IFERROR(SEARCH(search!$B$6,samples!#REF!,1),0)</f>
        <v>0</v>
      </c>
      <c r="I9" t="e">
        <f>IF(samples!#REF!=0,"",samples!#REF!)</f>
        <v>#REF!</v>
      </c>
      <c r="J9">
        <f>IFERROR(SEARCH(search!$B$6,samples!#REF!,1),0)</f>
        <v>0</v>
      </c>
      <c r="K9" t="e">
        <f>IF(samples!#REF!=0,"",samples!#REF!)</f>
        <v>#REF!</v>
      </c>
      <c r="L9">
        <f>IFERROR(SEARCH(search!$B$6,samples!#REF!,1),0)</f>
        <v>0</v>
      </c>
      <c r="M9" t="e">
        <f>IF(samples!#REF!=0,"",samples!#REF!)</f>
        <v>#REF!</v>
      </c>
      <c r="N9">
        <f>IFERROR(SEARCH(search!$B$6,samples!#REF!,1),0)</f>
        <v>0</v>
      </c>
      <c r="O9" t="e">
        <f>IF(samples!#REF!=0,"",samples!#REF!)</f>
        <v>#REF!</v>
      </c>
      <c r="P9">
        <f>IFERROR(SEARCH(search!$B$6,samples!#REF!,1),0)</f>
        <v>0</v>
      </c>
      <c r="Q9" t="e">
        <f>IF(samples!#REF!=0,"",samples!#REF!)</f>
        <v>#REF!</v>
      </c>
      <c r="R9">
        <f>IFERROR(SEARCH(search!$B$6,samples!#REF!,1),0)</f>
        <v>0</v>
      </c>
      <c r="S9" t="e">
        <f>IF(samples!#REF!=0,"",samples!#REF!)</f>
        <v>#REF!</v>
      </c>
      <c r="T9">
        <f>IFERROR(SEARCH(search!$B$6,samples!#REF!,1),0)</f>
        <v>0</v>
      </c>
      <c r="U9" t="e">
        <f>IF(samples!#REF!=0,"",samples!#REF!)</f>
        <v>#REF!</v>
      </c>
      <c r="V9">
        <f>IFERROR(SEARCH(search!$B$6,samples!#REF!,1),0)</f>
        <v>0</v>
      </c>
      <c r="W9" t="e">
        <f>IF(samples!#REF!=0,"",samples!#REF!)</f>
        <v>#REF!</v>
      </c>
      <c r="X9">
        <f>IFERROR(SEARCH(search!$B$6,samples!#REF!,1),0)</f>
        <v>0</v>
      </c>
      <c r="Y9" t="e">
        <f>IF(samples!#REF!=0,"",samples!#REF!)</f>
        <v>#REF!</v>
      </c>
      <c r="Z9">
        <f>IFERROR(SEARCH(search!$B$6,samples!#REF!,1),0)</f>
        <v>0</v>
      </c>
      <c r="AA9" t="e">
        <f>IF(samples!#REF!=0,"",samples!#REF!)</f>
        <v>#REF!</v>
      </c>
      <c r="AB9">
        <f>IFERROR(SEARCH(search!$B$6,samples!#REF!,1),0)</f>
        <v>0</v>
      </c>
      <c r="AC9" t="e">
        <f>IF(samples!#REF!=0,"",samples!#REF!)</f>
        <v>#REF!</v>
      </c>
      <c r="AD9">
        <f>IFERROR(SEARCH(search!$B$6,samples!#REF!,1),0)</f>
        <v>0</v>
      </c>
    </row>
    <row r="10" spans="1:30">
      <c r="A10">
        <f t="shared" si="0"/>
        <v>0</v>
      </c>
      <c r="B10">
        <f>IF(SUM(D10,F10,H10,J10,L10,N10,P10,R10,T10,V10,X10,Z10,AB10,AD10)&gt;0,SUM($A$2:A10),0)</f>
        <v>0</v>
      </c>
      <c r="C10" t="e">
        <f>samples!#REF!</f>
        <v>#REF!</v>
      </c>
      <c r="D10">
        <f>IFERROR(SEARCH(search!$B$6,samples!#REF!,1),0)</f>
        <v>0</v>
      </c>
      <c r="E10" t="e">
        <f>IF(samples!#REF!=0,"",samples!#REF!)</f>
        <v>#REF!</v>
      </c>
      <c r="F10">
        <f>IFERROR(SEARCH(search!$B$6,samples!#REF!,1),0)</f>
        <v>0</v>
      </c>
      <c r="G10" t="e">
        <f>IF(samples!#REF!=0,"",samples!#REF!)</f>
        <v>#REF!</v>
      </c>
      <c r="H10">
        <f>IFERROR(SEARCH(search!$B$6,samples!#REF!,1),0)</f>
        <v>0</v>
      </c>
      <c r="I10" t="e">
        <f>IF(samples!#REF!=0,"",samples!#REF!)</f>
        <v>#REF!</v>
      </c>
      <c r="J10">
        <f>IFERROR(SEARCH(search!$B$6,samples!#REF!,1),0)</f>
        <v>0</v>
      </c>
      <c r="K10" t="e">
        <f>IF(samples!#REF!=0,"",samples!#REF!)</f>
        <v>#REF!</v>
      </c>
      <c r="L10">
        <f>IFERROR(SEARCH(search!$B$6,samples!#REF!,1),0)</f>
        <v>0</v>
      </c>
      <c r="M10" t="e">
        <f>IF(samples!#REF!=0,"",samples!#REF!)</f>
        <v>#REF!</v>
      </c>
      <c r="N10">
        <f>IFERROR(SEARCH(search!$B$6,samples!#REF!,1),0)</f>
        <v>0</v>
      </c>
      <c r="O10" t="e">
        <f>IF(samples!#REF!=0,"",samples!#REF!)</f>
        <v>#REF!</v>
      </c>
      <c r="P10">
        <f>IFERROR(SEARCH(search!$B$6,samples!#REF!,1),0)</f>
        <v>0</v>
      </c>
      <c r="Q10" t="e">
        <f>IF(samples!#REF!=0,"",samples!#REF!)</f>
        <v>#REF!</v>
      </c>
      <c r="R10">
        <f>IFERROR(SEARCH(search!$B$6,samples!#REF!,1),0)</f>
        <v>0</v>
      </c>
      <c r="S10" t="e">
        <f>IF(samples!#REF!=0,"",samples!#REF!)</f>
        <v>#REF!</v>
      </c>
      <c r="T10">
        <f>IFERROR(SEARCH(search!$B$6,samples!#REF!,1),0)</f>
        <v>0</v>
      </c>
      <c r="U10" t="e">
        <f>IF(samples!#REF!=0,"",samples!#REF!)</f>
        <v>#REF!</v>
      </c>
      <c r="V10">
        <f>IFERROR(SEARCH(search!$B$6,samples!#REF!,1),0)</f>
        <v>0</v>
      </c>
      <c r="W10" t="e">
        <f>IF(samples!#REF!=0,"",samples!#REF!)</f>
        <v>#REF!</v>
      </c>
      <c r="X10">
        <f>IFERROR(SEARCH(search!$B$6,samples!#REF!,1),0)</f>
        <v>0</v>
      </c>
      <c r="Y10" t="e">
        <f>IF(samples!#REF!=0,"",samples!#REF!)</f>
        <v>#REF!</v>
      </c>
      <c r="Z10">
        <f>IFERROR(SEARCH(search!$B$6,samples!#REF!,1),0)</f>
        <v>0</v>
      </c>
      <c r="AA10" t="e">
        <f>IF(samples!#REF!=0,"",samples!#REF!)</f>
        <v>#REF!</v>
      </c>
      <c r="AB10">
        <f>IFERROR(SEARCH(search!$B$6,samples!#REF!,1),0)</f>
        <v>0</v>
      </c>
      <c r="AC10" t="e">
        <f>IF(samples!#REF!=0,"",samples!#REF!)</f>
        <v>#REF!</v>
      </c>
      <c r="AD10">
        <f>IFERROR(SEARCH(search!$B$6,samples!#REF!,1),0)</f>
        <v>0</v>
      </c>
    </row>
    <row r="11" spans="1:30">
      <c r="A11">
        <f t="shared" si="0"/>
        <v>0</v>
      </c>
      <c r="B11">
        <f>IF(SUM(D11,F11,H11,J11,L11,N11,P11,R11,T11,V11,X11,Z11,AB11,AD11)&gt;0,SUM($A$2:A11),0)</f>
        <v>0</v>
      </c>
      <c r="C11" t="e">
        <f>samples!#REF!</f>
        <v>#REF!</v>
      </c>
      <c r="D11">
        <f>IFERROR(SEARCH(search!$B$6,samples!#REF!,1),0)</f>
        <v>0</v>
      </c>
      <c r="E11" t="e">
        <f>IF(samples!#REF!=0,"",samples!#REF!)</f>
        <v>#REF!</v>
      </c>
      <c r="F11">
        <f>IFERROR(SEARCH(search!$B$6,samples!#REF!,1),0)</f>
        <v>0</v>
      </c>
      <c r="G11" t="e">
        <f>IF(samples!#REF!=0,"",samples!#REF!)</f>
        <v>#REF!</v>
      </c>
      <c r="H11">
        <f>IFERROR(SEARCH(search!$B$6,samples!#REF!,1),0)</f>
        <v>0</v>
      </c>
      <c r="I11" t="e">
        <f>IF(samples!#REF!=0,"",samples!#REF!)</f>
        <v>#REF!</v>
      </c>
      <c r="J11">
        <f>IFERROR(SEARCH(search!$B$6,samples!#REF!,1),0)</f>
        <v>0</v>
      </c>
      <c r="K11" t="e">
        <f>IF(samples!#REF!=0,"",samples!#REF!)</f>
        <v>#REF!</v>
      </c>
      <c r="L11">
        <f>IFERROR(SEARCH(search!$B$6,samples!#REF!,1),0)</f>
        <v>0</v>
      </c>
      <c r="M11" t="e">
        <f>IF(samples!#REF!=0,"",samples!#REF!)</f>
        <v>#REF!</v>
      </c>
      <c r="N11">
        <f>IFERROR(SEARCH(search!$B$6,samples!#REF!,1),0)</f>
        <v>0</v>
      </c>
      <c r="O11" t="e">
        <f>IF(samples!#REF!=0,"",samples!#REF!)</f>
        <v>#REF!</v>
      </c>
      <c r="P11">
        <f>IFERROR(SEARCH(search!$B$6,samples!#REF!,1),0)</f>
        <v>0</v>
      </c>
      <c r="Q11" t="e">
        <f>IF(samples!#REF!=0,"",samples!#REF!)</f>
        <v>#REF!</v>
      </c>
      <c r="R11">
        <f>IFERROR(SEARCH(search!$B$6,samples!#REF!,1),0)</f>
        <v>0</v>
      </c>
      <c r="S11" t="e">
        <f>IF(samples!#REF!=0,"",samples!#REF!)</f>
        <v>#REF!</v>
      </c>
      <c r="T11">
        <f>IFERROR(SEARCH(search!$B$6,samples!#REF!,1),0)</f>
        <v>0</v>
      </c>
      <c r="U11" t="e">
        <f>IF(samples!#REF!=0,"",samples!#REF!)</f>
        <v>#REF!</v>
      </c>
      <c r="V11">
        <f>IFERROR(SEARCH(search!$B$6,samples!#REF!,1),0)</f>
        <v>0</v>
      </c>
      <c r="W11" t="e">
        <f>IF(samples!#REF!=0,"",samples!#REF!)</f>
        <v>#REF!</v>
      </c>
      <c r="X11">
        <f>IFERROR(SEARCH(search!$B$6,samples!#REF!,1),0)</f>
        <v>0</v>
      </c>
      <c r="Y11" t="e">
        <f>IF(samples!#REF!=0,"",samples!#REF!)</f>
        <v>#REF!</v>
      </c>
      <c r="Z11">
        <f>IFERROR(SEARCH(search!$B$6,samples!#REF!,1),0)</f>
        <v>0</v>
      </c>
      <c r="AA11" t="e">
        <f>IF(samples!#REF!=0,"",samples!#REF!)</f>
        <v>#REF!</v>
      </c>
      <c r="AB11">
        <f>IFERROR(SEARCH(search!$B$6,samples!#REF!,1),0)</f>
        <v>0</v>
      </c>
      <c r="AC11" t="e">
        <f>IF(samples!#REF!=0,"",samples!#REF!)</f>
        <v>#REF!</v>
      </c>
      <c r="AD11">
        <f>IFERROR(SEARCH(search!$B$6,samples!#REF!,1),0)</f>
        <v>0</v>
      </c>
    </row>
    <row r="12" spans="1:30">
      <c r="A12">
        <f t="shared" si="0"/>
        <v>0</v>
      </c>
      <c r="B12">
        <f>IF(SUM(D12,F12,H12,J12,L12,N12,P12,R12,T12,V12,X12,Z12,AB12,AD12)&gt;0,SUM($A$2:A12),0)</f>
        <v>0</v>
      </c>
      <c r="C12" t="e">
        <f>samples!#REF!</f>
        <v>#REF!</v>
      </c>
      <c r="D12">
        <f>IFERROR(SEARCH(search!$B$6,samples!#REF!,1),0)</f>
        <v>0</v>
      </c>
      <c r="E12" t="e">
        <f>IF(samples!#REF!=0,"",samples!#REF!)</f>
        <v>#REF!</v>
      </c>
      <c r="F12">
        <f>IFERROR(SEARCH(search!$B$6,samples!#REF!,1),0)</f>
        <v>0</v>
      </c>
      <c r="G12" t="e">
        <f>IF(samples!#REF!=0,"",samples!#REF!)</f>
        <v>#REF!</v>
      </c>
      <c r="H12">
        <f>IFERROR(SEARCH(search!$B$6,samples!#REF!,1),0)</f>
        <v>0</v>
      </c>
      <c r="I12" t="e">
        <f>IF(samples!#REF!=0,"",samples!#REF!)</f>
        <v>#REF!</v>
      </c>
      <c r="J12">
        <f>IFERROR(SEARCH(search!$B$6,samples!#REF!,1),0)</f>
        <v>0</v>
      </c>
      <c r="K12" t="e">
        <f>IF(samples!#REF!=0,"",samples!#REF!)</f>
        <v>#REF!</v>
      </c>
      <c r="L12">
        <f>IFERROR(SEARCH(search!$B$6,samples!#REF!,1),0)</f>
        <v>0</v>
      </c>
      <c r="M12" t="e">
        <f>IF(samples!#REF!=0,"",samples!#REF!)</f>
        <v>#REF!</v>
      </c>
      <c r="N12">
        <f>IFERROR(SEARCH(search!$B$6,samples!#REF!,1),0)</f>
        <v>0</v>
      </c>
      <c r="O12" t="e">
        <f>IF(samples!#REF!=0,"",samples!#REF!)</f>
        <v>#REF!</v>
      </c>
      <c r="P12">
        <f>IFERROR(SEARCH(search!$B$6,samples!#REF!,1),0)</f>
        <v>0</v>
      </c>
      <c r="Q12" t="e">
        <f>IF(samples!#REF!=0,"",samples!#REF!)</f>
        <v>#REF!</v>
      </c>
      <c r="R12">
        <f>IFERROR(SEARCH(search!$B$6,samples!#REF!,1),0)</f>
        <v>0</v>
      </c>
      <c r="S12" t="e">
        <f>IF(samples!#REF!=0,"",samples!#REF!)</f>
        <v>#REF!</v>
      </c>
      <c r="T12">
        <f>IFERROR(SEARCH(search!$B$6,samples!#REF!,1),0)</f>
        <v>0</v>
      </c>
      <c r="U12" t="e">
        <f>IF(samples!#REF!=0,"",samples!#REF!)</f>
        <v>#REF!</v>
      </c>
      <c r="V12">
        <f>IFERROR(SEARCH(search!$B$6,samples!#REF!,1),0)</f>
        <v>0</v>
      </c>
      <c r="W12" t="e">
        <f>IF(samples!#REF!=0,"",samples!#REF!)</f>
        <v>#REF!</v>
      </c>
      <c r="X12">
        <f>IFERROR(SEARCH(search!$B$6,samples!#REF!,1),0)</f>
        <v>0</v>
      </c>
      <c r="Y12" t="e">
        <f>IF(samples!#REF!=0,"",samples!#REF!)</f>
        <v>#REF!</v>
      </c>
      <c r="Z12">
        <f>IFERROR(SEARCH(search!$B$6,samples!#REF!,1),0)</f>
        <v>0</v>
      </c>
      <c r="AA12" t="e">
        <f>IF(samples!#REF!=0,"",samples!#REF!)</f>
        <v>#REF!</v>
      </c>
      <c r="AB12">
        <f>IFERROR(SEARCH(search!$B$6,samples!#REF!,1),0)</f>
        <v>0</v>
      </c>
      <c r="AC12" t="e">
        <f>IF(samples!#REF!=0,"",samples!#REF!)</f>
        <v>#REF!</v>
      </c>
      <c r="AD12">
        <f>IFERROR(SEARCH(search!$B$6,samples!#REF!,1),0)</f>
        <v>0</v>
      </c>
    </row>
    <row r="13" spans="1:30">
      <c r="A13">
        <f t="shared" si="0"/>
        <v>0</v>
      </c>
      <c r="B13">
        <f>IF(SUM(D13,F13,H13,J13,L13,N13,P13,R13,T13,V13,X13,Z13,AB13,AD13)&gt;0,SUM($A$2:A13),0)</f>
        <v>0</v>
      </c>
      <c r="C13" t="e">
        <f>samples!#REF!</f>
        <v>#REF!</v>
      </c>
      <c r="D13">
        <f>IFERROR(SEARCH(search!$B$6,samples!#REF!,1),0)</f>
        <v>0</v>
      </c>
      <c r="E13" t="e">
        <f>IF(samples!#REF!=0,"",samples!#REF!)</f>
        <v>#REF!</v>
      </c>
      <c r="F13">
        <f>IFERROR(SEARCH(search!$B$6,samples!#REF!,1),0)</f>
        <v>0</v>
      </c>
      <c r="G13" t="e">
        <f>IF(samples!#REF!=0,"",samples!#REF!)</f>
        <v>#REF!</v>
      </c>
      <c r="H13">
        <f>IFERROR(SEARCH(search!$B$6,samples!#REF!,1),0)</f>
        <v>0</v>
      </c>
      <c r="I13" t="e">
        <f>IF(samples!#REF!=0,"",samples!#REF!)</f>
        <v>#REF!</v>
      </c>
      <c r="J13">
        <f>IFERROR(SEARCH(search!$B$6,samples!#REF!,1),0)</f>
        <v>0</v>
      </c>
      <c r="K13" t="e">
        <f>IF(samples!#REF!=0,"",samples!#REF!)</f>
        <v>#REF!</v>
      </c>
      <c r="L13">
        <f>IFERROR(SEARCH(search!$B$6,samples!#REF!,1),0)</f>
        <v>0</v>
      </c>
      <c r="M13" t="e">
        <f>IF(samples!#REF!=0,"",samples!#REF!)</f>
        <v>#REF!</v>
      </c>
      <c r="N13">
        <f>IFERROR(SEARCH(search!$B$6,samples!#REF!,1),0)</f>
        <v>0</v>
      </c>
      <c r="O13" t="e">
        <f>IF(samples!#REF!=0,"",samples!#REF!)</f>
        <v>#REF!</v>
      </c>
      <c r="P13">
        <f>IFERROR(SEARCH(search!$B$6,samples!#REF!,1),0)</f>
        <v>0</v>
      </c>
      <c r="Q13" t="e">
        <f>IF(samples!#REF!=0,"",samples!#REF!)</f>
        <v>#REF!</v>
      </c>
      <c r="R13">
        <f>IFERROR(SEARCH(search!$B$6,samples!#REF!,1),0)</f>
        <v>0</v>
      </c>
      <c r="S13" t="e">
        <f>IF(samples!#REF!=0,"",samples!#REF!)</f>
        <v>#REF!</v>
      </c>
      <c r="T13">
        <f>IFERROR(SEARCH(search!$B$6,samples!#REF!,1),0)</f>
        <v>0</v>
      </c>
      <c r="U13" t="e">
        <f>IF(samples!#REF!=0,"",samples!#REF!)</f>
        <v>#REF!</v>
      </c>
      <c r="V13">
        <f>IFERROR(SEARCH(search!$B$6,samples!#REF!,1),0)</f>
        <v>0</v>
      </c>
      <c r="W13" t="e">
        <f>IF(samples!#REF!=0,"",samples!#REF!)</f>
        <v>#REF!</v>
      </c>
      <c r="X13">
        <f>IFERROR(SEARCH(search!$B$6,samples!#REF!,1),0)</f>
        <v>0</v>
      </c>
      <c r="Y13" t="e">
        <f>IF(samples!#REF!=0,"",samples!#REF!)</f>
        <v>#REF!</v>
      </c>
      <c r="Z13">
        <f>IFERROR(SEARCH(search!$B$6,samples!#REF!,1),0)</f>
        <v>0</v>
      </c>
      <c r="AA13" t="e">
        <f>IF(samples!#REF!=0,"",samples!#REF!)</f>
        <v>#REF!</v>
      </c>
      <c r="AB13">
        <f>IFERROR(SEARCH(search!$B$6,samples!#REF!,1),0)</f>
        <v>0</v>
      </c>
      <c r="AC13" t="e">
        <f>IF(samples!#REF!=0,"",samples!#REF!)</f>
        <v>#REF!</v>
      </c>
      <c r="AD13">
        <f>IFERROR(SEARCH(search!$B$6,samples!#REF!,1),0)</f>
        <v>0</v>
      </c>
    </row>
    <row r="14" spans="1:30">
      <c r="A14">
        <f t="shared" si="0"/>
        <v>0</v>
      </c>
      <c r="B14">
        <f>IF(SUM(D14,F14,H14,J14,L14,N14,P14,R14,T14,V14,X14,Z14,AB14,AD14)&gt;0,SUM($A$2:A14),0)</f>
        <v>0</v>
      </c>
      <c r="C14" t="e">
        <f>samples!#REF!</f>
        <v>#REF!</v>
      </c>
      <c r="D14">
        <f>IFERROR(SEARCH(search!$B$6,samples!#REF!,1),0)</f>
        <v>0</v>
      </c>
      <c r="E14" t="e">
        <f>IF(samples!#REF!=0,"",samples!#REF!)</f>
        <v>#REF!</v>
      </c>
      <c r="F14">
        <f>IFERROR(SEARCH(search!$B$6,samples!#REF!,1),0)</f>
        <v>0</v>
      </c>
      <c r="G14" t="e">
        <f>IF(samples!#REF!=0,"",samples!#REF!)</f>
        <v>#REF!</v>
      </c>
      <c r="H14">
        <f>IFERROR(SEARCH(search!$B$6,samples!#REF!,1),0)</f>
        <v>0</v>
      </c>
      <c r="I14" t="e">
        <f>IF(samples!#REF!=0,"",samples!#REF!)</f>
        <v>#REF!</v>
      </c>
      <c r="J14">
        <f>IFERROR(SEARCH(search!$B$6,samples!#REF!,1),0)</f>
        <v>0</v>
      </c>
      <c r="K14" t="e">
        <f>IF(samples!#REF!=0,"",samples!#REF!)</f>
        <v>#REF!</v>
      </c>
      <c r="L14">
        <f>IFERROR(SEARCH(search!$B$6,samples!#REF!,1),0)</f>
        <v>0</v>
      </c>
      <c r="M14" t="e">
        <f>IF(samples!#REF!=0,"",samples!#REF!)</f>
        <v>#REF!</v>
      </c>
      <c r="N14">
        <f>IFERROR(SEARCH(search!$B$6,samples!#REF!,1),0)</f>
        <v>0</v>
      </c>
      <c r="O14" t="e">
        <f>IF(samples!#REF!=0,"",samples!#REF!)</f>
        <v>#REF!</v>
      </c>
      <c r="P14">
        <f>IFERROR(SEARCH(search!$B$6,samples!#REF!,1),0)</f>
        <v>0</v>
      </c>
      <c r="Q14" t="e">
        <f>IF(samples!#REF!=0,"",samples!#REF!)</f>
        <v>#REF!</v>
      </c>
      <c r="R14">
        <f>IFERROR(SEARCH(search!$B$6,samples!#REF!,1),0)</f>
        <v>0</v>
      </c>
      <c r="S14" t="e">
        <f>IF(samples!#REF!=0,"",samples!#REF!)</f>
        <v>#REF!</v>
      </c>
      <c r="T14">
        <f>IFERROR(SEARCH(search!$B$6,samples!#REF!,1),0)</f>
        <v>0</v>
      </c>
      <c r="U14" t="e">
        <f>IF(samples!#REF!=0,"",samples!#REF!)</f>
        <v>#REF!</v>
      </c>
      <c r="V14">
        <f>IFERROR(SEARCH(search!$B$6,samples!#REF!,1),0)</f>
        <v>0</v>
      </c>
      <c r="W14" t="e">
        <f>IF(samples!#REF!=0,"",samples!#REF!)</f>
        <v>#REF!</v>
      </c>
      <c r="X14">
        <f>IFERROR(SEARCH(search!$B$6,samples!#REF!,1),0)</f>
        <v>0</v>
      </c>
      <c r="Y14" t="e">
        <f>IF(samples!#REF!=0,"",samples!#REF!)</f>
        <v>#REF!</v>
      </c>
      <c r="Z14">
        <f>IFERROR(SEARCH(search!$B$6,samples!#REF!,1),0)</f>
        <v>0</v>
      </c>
      <c r="AA14" t="e">
        <f>IF(samples!#REF!=0,"",samples!#REF!)</f>
        <v>#REF!</v>
      </c>
      <c r="AB14">
        <f>IFERROR(SEARCH(search!$B$6,samples!#REF!,1),0)</f>
        <v>0</v>
      </c>
      <c r="AC14" t="e">
        <f>IF(samples!#REF!=0,"",samples!#REF!)</f>
        <v>#REF!</v>
      </c>
      <c r="AD14">
        <f>IFERROR(SEARCH(search!$B$6,samples!#REF!,1),0)</f>
        <v>0</v>
      </c>
    </row>
    <row r="15" spans="1:30">
      <c r="A15">
        <f t="shared" si="0"/>
        <v>0</v>
      </c>
      <c r="B15">
        <f>IF(SUM(D15,F15,H15,J15,L15,N15,P15,R15,T15,V15,X15,Z15,AB15,AD15)&gt;0,SUM($A$2:A15),0)</f>
        <v>0</v>
      </c>
      <c r="C15" t="e">
        <f>samples!#REF!</f>
        <v>#REF!</v>
      </c>
      <c r="D15">
        <f>IFERROR(SEARCH(search!$B$6,samples!#REF!,1),0)</f>
        <v>0</v>
      </c>
      <c r="E15" t="e">
        <f>IF(samples!#REF!=0,"",samples!#REF!)</f>
        <v>#REF!</v>
      </c>
      <c r="F15">
        <f>IFERROR(SEARCH(search!$B$6,samples!#REF!,1),0)</f>
        <v>0</v>
      </c>
      <c r="G15" t="e">
        <f>IF(samples!#REF!=0,"",samples!#REF!)</f>
        <v>#REF!</v>
      </c>
      <c r="H15">
        <f>IFERROR(SEARCH(search!$B$6,samples!#REF!,1),0)</f>
        <v>0</v>
      </c>
      <c r="I15" t="e">
        <f>IF(samples!#REF!=0,"",samples!#REF!)</f>
        <v>#REF!</v>
      </c>
      <c r="J15">
        <f>IFERROR(SEARCH(search!$B$6,samples!#REF!,1),0)</f>
        <v>0</v>
      </c>
      <c r="K15" t="e">
        <f>IF(samples!#REF!=0,"",samples!#REF!)</f>
        <v>#REF!</v>
      </c>
      <c r="L15">
        <f>IFERROR(SEARCH(search!$B$6,samples!#REF!,1),0)</f>
        <v>0</v>
      </c>
      <c r="M15" t="e">
        <f>IF(samples!#REF!=0,"",samples!#REF!)</f>
        <v>#REF!</v>
      </c>
      <c r="N15">
        <f>IFERROR(SEARCH(search!$B$6,samples!#REF!,1),0)</f>
        <v>0</v>
      </c>
      <c r="O15" t="e">
        <f>IF(samples!#REF!=0,"",samples!#REF!)</f>
        <v>#REF!</v>
      </c>
      <c r="P15">
        <f>IFERROR(SEARCH(search!$B$6,samples!#REF!,1),0)</f>
        <v>0</v>
      </c>
      <c r="Q15" t="e">
        <f>IF(samples!#REF!=0,"",samples!#REF!)</f>
        <v>#REF!</v>
      </c>
      <c r="R15">
        <f>IFERROR(SEARCH(search!$B$6,samples!#REF!,1),0)</f>
        <v>0</v>
      </c>
      <c r="S15" t="e">
        <f>IF(samples!#REF!=0,"",samples!#REF!)</f>
        <v>#REF!</v>
      </c>
      <c r="T15">
        <f>IFERROR(SEARCH(search!$B$6,samples!#REF!,1),0)</f>
        <v>0</v>
      </c>
      <c r="U15" t="e">
        <f>IF(samples!#REF!=0,"",samples!#REF!)</f>
        <v>#REF!</v>
      </c>
      <c r="V15">
        <f>IFERROR(SEARCH(search!$B$6,samples!#REF!,1),0)</f>
        <v>0</v>
      </c>
      <c r="W15" t="e">
        <f>IF(samples!#REF!=0,"",samples!#REF!)</f>
        <v>#REF!</v>
      </c>
      <c r="X15">
        <f>IFERROR(SEARCH(search!$B$6,samples!#REF!,1),0)</f>
        <v>0</v>
      </c>
      <c r="Y15" t="e">
        <f>IF(samples!#REF!=0,"",samples!#REF!)</f>
        <v>#REF!</v>
      </c>
      <c r="Z15">
        <f>IFERROR(SEARCH(search!$B$6,samples!#REF!,1),0)</f>
        <v>0</v>
      </c>
      <c r="AA15" t="e">
        <f>IF(samples!#REF!=0,"",samples!#REF!)</f>
        <v>#REF!</v>
      </c>
      <c r="AB15">
        <f>IFERROR(SEARCH(search!$B$6,samples!#REF!,1),0)</f>
        <v>0</v>
      </c>
      <c r="AC15" t="e">
        <f>IF(samples!#REF!=0,"",samples!#REF!)</f>
        <v>#REF!</v>
      </c>
      <c r="AD15">
        <f>IFERROR(SEARCH(search!$B$6,samples!#REF!,1),0)</f>
        <v>0</v>
      </c>
    </row>
    <row r="16" spans="1:30">
      <c r="A16">
        <f t="shared" si="0"/>
        <v>0</v>
      </c>
      <c r="B16">
        <f>IF(SUM(D16,F16,H16,J16,L16,N16,P16,R16,T16,V16,X16,Z16,AB16,AD16)&gt;0,SUM($A$2:A16),0)</f>
        <v>0</v>
      </c>
      <c r="C16" t="e">
        <f>samples!#REF!</f>
        <v>#REF!</v>
      </c>
      <c r="D16">
        <f>IFERROR(SEARCH(search!$B$6,samples!#REF!,1),0)</f>
        <v>0</v>
      </c>
      <c r="E16" t="e">
        <f>IF(samples!#REF!=0,"",samples!#REF!)</f>
        <v>#REF!</v>
      </c>
      <c r="F16">
        <f>IFERROR(SEARCH(search!$B$6,samples!#REF!,1),0)</f>
        <v>0</v>
      </c>
      <c r="G16" t="e">
        <f>IF(samples!#REF!=0,"",samples!#REF!)</f>
        <v>#REF!</v>
      </c>
      <c r="H16">
        <f>IFERROR(SEARCH(search!$B$6,samples!#REF!,1),0)</f>
        <v>0</v>
      </c>
      <c r="I16" t="e">
        <f>IF(samples!#REF!=0,"",samples!#REF!)</f>
        <v>#REF!</v>
      </c>
      <c r="J16">
        <f>IFERROR(SEARCH(search!$B$6,samples!#REF!,1),0)</f>
        <v>0</v>
      </c>
      <c r="K16" t="e">
        <f>IF(samples!#REF!=0,"",samples!#REF!)</f>
        <v>#REF!</v>
      </c>
      <c r="L16">
        <f>IFERROR(SEARCH(search!$B$6,samples!#REF!,1),0)</f>
        <v>0</v>
      </c>
      <c r="M16" t="e">
        <f>IF(samples!#REF!=0,"",samples!#REF!)</f>
        <v>#REF!</v>
      </c>
      <c r="N16">
        <f>IFERROR(SEARCH(search!$B$6,samples!#REF!,1),0)</f>
        <v>0</v>
      </c>
      <c r="O16" t="e">
        <f>IF(samples!#REF!=0,"",samples!#REF!)</f>
        <v>#REF!</v>
      </c>
      <c r="P16">
        <f>IFERROR(SEARCH(search!$B$6,samples!#REF!,1),0)</f>
        <v>0</v>
      </c>
      <c r="Q16" t="e">
        <f>IF(samples!#REF!=0,"",samples!#REF!)</f>
        <v>#REF!</v>
      </c>
      <c r="R16">
        <f>IFERROR(SEARCH(search!$B$6,samples!#REF!,1),0)</f>
        <v>0</v>
      </c>
      <c r="S16" t="e">
        <f>IF(samples!#REF!=0,"",samples!#REF!)</f>
        <v>#REF!</v>
      </c>
      <c r="T16">
        <f>IFERROR(SEARCH(search!$B$6,samples!#REF!,1),0)</f>
        <v>0</v>
      </c>
      <c r="U16" t="e">
        <f>IF(samples!#REF!=0,"",samples!#REF!)</f>
        <v>#REF!</v>
      </c>
      <c r="V16">
        <f>IFERROR(SEARCH(search!$B$6,samples!#REF!,1),0)</f>
        <v>0</v>
      </c>
      <c r="W16" t="e">
        <f>IF(samples!#REF!=0,"",samples!#REF!)</f>
        <v>#REF!</v>
      </c>
      <c r="X16">
        <f>IFERROR(SEARCH(search!$B$6,samples!#REF!,1),0)</f>
        <v>0</v>
      </c>
      <c r="Y16" t="e">
        <f>IF(samples!#REF!=0,"",samples!#REF!)</f>
        <v>#REF!</v>
      </c>
      <c r="Z16">
        <f>IFERROR(SEARCH(search!$B$6,samples!#REF!,1),0)</f>
        <v>0</v>
      </c>
      <c r="AA16" t="e">
        <f>IF(samples!#REF!=0,"",samples!#REF!)</f>
        <v>#REF!</v>
      </c>
      <c r="AB16">
        <f>IFERROR(SEARCH(search!$B$6,samples!#REF!,1),0)</f>
        <v>0</v>
      </c>
      <c r="AC16" t="e">
        <f>IF(samples!#REF!=0,"",samples!#REF!)</f>
        <v>#REF!</v>
      </c>
      <c r="AD16">
        <f>IFERROR(SEARCH(search!$B$6,samples!#REF!,1),0)</f>
        <v>0</v>
      </c>
    </row>
    <row r="17" spans="1:30">
      <c r="A17">
        <f t="shared" si="0"/>
        <v>0</v>
      </c>
      <c r="B17">
        <f>IF(SUM(D17,F17,H17,J17,L17,N17,P17,R17,T17,V17,X17,Z17,AB17,AD17)&gt;0,SUM($A$2:A17),0)</f>
        <v>0</v>
      </c>
      <c r="C17" t="e">
        <f>samples!#REF!</f>
        <v>#REF!</v>
      </c>
      <c r="D17">
        <f>IFERROR(SEARCH(search!$B$6,samples!#REF!,1),0)</f>
        <v>0</v>
      </c>
      <c r="E17" t="e">
        <f>IF(samples!#REF!=0,"",samples!#REF!)</f>
        <v>#REF!</v>
      </c>
      <c r="F17">
        <f>IFERROR(SEARCH(search!$B$6,samples!#REF!,1),0)</f>
        <v>0</v>
      </c>
      <c r="G17" t="e">
        <f>IF(samples!#REF!=0,"",samples!#REF!)</f>
        <v>#REF!</v>
      </c>
      <c r="H17">
        <f>IFERROR(SEARCH(search!$B$6,samples!#REF!,1),0)</f>
        <v>0</v>
      </c>
      <c r="I17" t="e">
        <f>IF(samples!#REF!=0,"",samples!#REF!)</f>
        <v>#REF!</v>
      </c>
      <c r="J17">
        <f>IFERROR(SEARCH(search!$B$6,samples!#REF!,1),0)</f>
        <v>0</v>
      </c>
      <c r="K17" t="e">
        <f>IF(samples!#REF!=0,"",samples!#REF!)</f>
        <v>#REF!</v>
      </c>
      <c r="L17">
        <f>IFERROR(SEARCH(search!$B$6,samples!#REF!,1),0)</f>
        <v>0</v>
      </c>
      <c r="M17" t="e">
        <f>IF(samples!#REF!=0,"",samples!#REF!)</f>
        <v>#REF!</v>
      </c>
      <c r="N17">
        <f>IFERROR(SEARCH(search!$B$6,samples!#REF!,1),0)</f>
        <v>0</v>
      </c>
      <c r="O17" t="e">
        <f>IF(samples!#REF!=0,"",samples!#REF!)</f>
        <v>#REF!</v>
      </c>
      <c r="P17">
        <f>IFERROR(SEARCH(search!$B$6,samples!#REF!,1),0)</f>
        <v>0</v>
      </c>
      <c r="Q17" t="e">
        <f>IF(samples!#REF!=0,"",samples!#REF!)</f>
        <v>#REF!</v>
      </c>
      <c r="R17">
        <f>IFERROR(SEARCH(search!$B$6,samples!#REF!,1),0)</f>
        <v>0</v>
      </c>
      <c r="S17" t="e">
        <f>IF(samples!#REF!=0,"",samples!#REF!)</f>
        <v>#REF!</v>
      </c>
      <c r="T17">
        <f>IFERROR(SEARCH(search!$B$6,samples!#REF!,1),0)</f>
        <v>0</v>
      </c>
      <c r="U17" t="e">
        <f>IF(samples!#REF!=0,"",samples!#REF!)</f>
        <v>#REF!</v>
      </c>
      <c r="V17">
        <f>IFERROR(SEARCH(search!$B$6,samples!#REF!,1),0)</f>
        <v>0</v>
      </c>
      <c r="W17" t="e">
        <f>IF(samples!#REF!=0,"",samples!#REF!)</f>
        <v>#REF!</v>
      </c>
      <c r="X17">
        <f>IFERROR(SEARCH(search!$B$6,samples!#REF!,1),0)</f>
        <v>0</v>
      </c>
      <c r="Y17" t="e">
        <f>IF(samples!#REF!=0,"",samples!#REF!)</f>
        <v>#REF!</v>
      </c>
      <c r="Z17">
        <f>IFERROR(SEARCH(search!$B$6,samples!#REF!,1),0)</f>
        <v>0</v>
      </c>
      <c r="AA17" t="e">
        <f>IF(samples!#REF!=0,"",samples!#REF!)</f>
        <v>#REF!</v>
      </c>
      <c r="AB17">
        <f>IFERROR(SEARCH(search!$B$6,samples!#REF!,1),0)</f>
        <v>0</v>
      </c>
      <c r="AC17" t="e">
        <f>IF(samples!#REF!=0,"",samples!#REF!)</f>
        <v>#REF!</v>
      </c>
      <c r="AD17">
        <f>IFERROR(SEARCH(search!$B$6,samples!#REF!,1),0)</f>
        <v>0</v>
      </c>
    </row>
    <row r="18" spans="1:30">
      <c r="A18">
        <f t="shared" si="0"/>
        <v>0</v>
      </c>
      <c r="B18">
        <f>IF(SUM(D18,F18,H18,J18,L18,N18,P18,R18,T18,V18,X18,Z18,AB18,AD18)&gt;0,SUM($A$2:A18),0)</f>
        <v>0</v>
      </c>
      <c r="C18" t="e">
        <f>samples!#REF!</f>
        <v>#REF!</v>
      </c>
      <c r="D18">
        <f>IFERROR(SEARCH(search!$B$6,samples!#REF!,1),0)</f>
        <v>0</v>
      </c>
      <c r="E18" t="e">
        <f>IF(samples!#REF!=0,"",samples!#REF!)</f>
        <v>#REF!</v>
      </c>
      <c r="F18">
        <f>IFERROR(SEARCH(search!$B$6,samples!#REF!,1),0)</f>
        <v>0</v>
      </c>
      <c r="G18" t="e">
        <f>IF(samples!#REF!=0,"",samples!#REF!)</f>
        <v>#REF!</v>
      </c>
      <c r="H18">
        <f>IFERROR(SEARCH(search!$B$6,samples!#REF!,1),0)</f>
        <v>0</v>
      </c>
      <c r="I18" t="e">
        <f>IF(samples!#REF!=0,"",samples!#REF!)</f>
        <v>#REF!</v>
      </c>
      <c r="J18">
        <f>IFERROR(SEARCH(search!$B$6,samples!#REF!,1),0)</f>
        <v>0</v>
      </c>
      <c r="K18" t="e">
        <f>IF(samples!#REF!=0,"",samples!#REF!)</f>
        <v>#REF!</v>
      </c>
      <c r="L18">
        <f>IFERROR(SEARCH(search!$B$6,samples!#REF!,1),0)</f>
        <v>0</v>
      </c>
      <c r="M18" t="e">
        <f>IF(samples!#REF!=0,"",samples!#REF!)</f>
        <v>#REF!</v>
      </c>
      <c r="N18">
        <f>IFERROR(SEARCH(search!$B$6,samples!#REF!,1),0)</f>
        <v>0</v>
      </c>
      <c r="O18" t="e">
        <f>IF(samples!#REF!=0,"",samples!#REF!)</f>
        <v>#REF!</v>
      </c>
      <c r="P18">
        <f>IFERROR(SEARCH(search!$B$6,samples!#REF!,1),0)</f>
        <v>0</v>
      </c>
      <c r="Q18" t="e">
        <f>IF(samples!#REF!=0,"",samples!#REF!)</f>
        <v>#REF!</v>
      </c>
      <c r="R18">
        <f>IFERROR(SEARCH(search!$B$6,samples!#REF!,1),0)</f>
        <v>0</v>
      </c>
      <c r="S18" t="e">
        <f>IF(samples!#REF!=0,"",samples!#REF!)</f>
        <v>#REF!</v>
      </c>
      <c r="T18">
        <f>IFERROR(SEARCH(search!$B$6,samples!#REF!,1),0)</f>
        <v>0</v>
      </c>
      <c r="U18" t="e">
        <f>IF(samples!#REF!=0,"",samples!#REF!)</f>
        <v>#REF!</v>
      </c>
      <c r="V18">
        <f>IFERROR(SEARCH(search!$B$6,samples!#REF!,1),0)</f>
        <v>0</v>
      </c>
      <c r="W18" t="e">
        <f>IF(samples!#REF!=0,"",samples!#REF!)</f>
        <v>#REF!</v>
      </c>
      <c r="X18">
        <f>IFERROR(SEARCH(search!$B$6,samples!#REF!,1),0)</f>
        <v>0</v>
      </c>
      <c r="Y18" t="e">
        <f>IF(samples!#REF!=0,"",samples!#REF!)</f>
        <v>#REF!</v>
      </c>
      <c r="Z18">
        <f>IFERROR(SEARCH(search!$B$6,samples!#REF!,1),0)</f>
        <v>0</v>
      </c>
      <c r="AA18" t="e">
        <f>IF(samples!#REF!=0,"",samples!#REF!)</f>
        <v>#REF!</v>
      </c>
      <c r="AB18">
        <f>IFERROR(SEARCH(search!$B$6,samples!#REF!,1),0)</f>
        <v>0</v>
      </c>
      <c r="AC18" t="e">
        <f>IF(samples!#REF!=0,"",samples!#REF!)</f>
        <v>#REF!</v>
      </c>
      <c r="AD18">
        <f>IFERROR(SEARCH(search!$B$6,samples!#REF!,1),0)</f>
        <v>0</v>
      </c>
    </row>
    <row r="19" spans="1:30">
      <c r="A19">
        <f t="shared" si="0"/>
        <v>0</v>
      </c>
      <c r="B19">
        <f>IF(SUM(D19,F19,H19,J19,L19,N19,P19,R19,T19,V19,X19,Z19,AB19,AD19)&gt;0,SUM($A$2:A19),0)</f>
        <v>0</v>
      </c>
      <c r="C19" t="e">
        <f>samples!#REF!</f>
        <v>#REF!</v>
      </c>
      <c r="D19">
        <f>IFERROR(SEARCH(search!$B$6,samples!#REF!,1),0)</f>
        <v>0</v>
      </c>
      <c r="E19" t="e">
        <f>IF(samples!#REF!=0,"",samples!#REF!)</f>
        <v>#REF!</v>
      </c>
      <c r="F19">
        <f>IFERROR(SEARCH(search!$B$6,samples!#REF!,1),0)</f>
        <v>0</v>
      </c>
      <c r="G19" t="e">
        <f>IF(samples!#REF!=0,"",samples!#REF!)</f>
        <v>#REF!</v>
      </c>
      <c r="H19">
        <f>IFERROR(SEARCH(search!$B$6,samples!#REF!,1),0)</f>
        <v>0</v>
      </c>
      <c r="I19" t="e">
        <f>IF(samples!#REF!=0,"",samples!#REF!)</f>
        <v>#REF!</v>
      </c>
      <c r="J19">
        <f>IFERROR(SEARCH(search!$B$6,samples!#REF!,1),0)</f>
        <v>0</v>
      </c>
      <c r="K19" t="e">
        <f>IF(samples!#REF!=0,"",samples!#REF!)</f>
        <v>#REF!</v>
      </c>
      <c r="L19">
        <f>IFERROR(SEARCH(search!$B$6,samples!#REF!,1),0)</f>
        <v>0</v>
      </c>
      <c r="M19" t="e">
        <f>IF(samples!#REF!=0,"",samples!#REF!)</f>
        <v>#REF!</v>
      </c>
      <c r="N19">
        <f>IFERROR(SEARCH(search!$B$6,samples!#REF!,1),0)</f>
        <v>0</v>
      </c>
      <c r="O19" t="e">
        <f>IF(samples!#REF!=0,"",samples!#REF!)</f>
        <v>#REF!</v>
      </c>
      <c r="P19">
        <f>IFERROR(SEARCH(search!$B$6,samples!#REF!,1),0)</f>
        <v>0</v>
      </c>
      <c r="Q19" t="e">
        <f>IF(samples!#REF!=0,"",samples!#REF!)</f>
        <v>#REF!</v>
      </c>
      <c r="R19">
        <f>IFERROR(SEARCH(search!$B$6,samples!#REF!,1),0)</f>
        <v>0</v>
      </c>
      <c r="S19" t="e">
        <f>IF(samples!#REF!=0,"",samples!#REF!)</f>
        <v>#REF!</v>
      </c>
      <c r="T19">
        <f>IFERROR(SEARCH(search!$B$6,samples!#REF!,1),0)</f>
        <v>0</v>
      </c>
      <c r="U19" t="e">
        <f>IF(samples!#REF!=0,"",samples!#REF!)</f>
        <v>#REF!</v>
      </c>
      <c r="V19">
        <f>IFERROR(SEARCH(search!$B$6,samples!#REF!,1),0)</f>
        <v>0</v>
      </c>
      <c r="W19" t="e">
        <f>IF(samples!#REF!=0,"",samples!#REF!)</f>
        <v>#REF!</v>
      </c>
      <c r="X19">
        <f>IFERROR(SEARCH(search!$B$6,samples!#REF!,1),0)</f>
        <v>0</v>
      </c>
      <c r="Y19" t="e">
        <f>IF(samples!#REF!=0,"",samples!#REF!)</f>
        <v>#REF!</v>
      </c>
      <c r="Z19">
        <f>IFERROR(SEARCH(search!$B$6,samples!#REF!,1),0)</f>
        <v>0</v>
      </c>
      <c r="AA19" t="e">
        <f>IF(samples!#REF!=0,"",samples!#REF!)</f>
        <v>#REF!</v>
      </c>
      <c r="AB19">
        <f>IFERROR(SEARCH(search!$B$6,samples!#REF!,1),0)</f>
        <v>0</v>
      </c>
      <c r="AC19" t="e">
        <f>IF(samples!#REF!=0,"",samples!#REF!)</f>
        <v>#REF!</v>
      </c>
      <c r="AD19">
        <f>IFERROR(SEARCH(search!$B$6,samples!#REF!,1),0)</f>
        <v>0</v>
      </c>
    </row>
    <row r="20" spans="1:30">
      <c r="A20">
        <f t="shared" si="0"/>
        <v>0</v>
      </c>
      <c r="B20">
        <f>IF(SUM(D20,F20,H20,J20,L20,N20,P20,R20,T20,V20,X20,Z20,AB20,AD20)&gt;0,SUM($A$2:A20),0)</f>
        <v>0</v>
      </c>
      <c r="C20" t="e">
        <f>samples!#REF!</f>
        <v>#REF!</v>
      </c>
      <c r="D20">
        <f>IFERROR(SEARCH(search!$B$6,samples!#REF!,1),0)</f>
        <v>0</v>
      </c>
      <c r="E20" t="e">
        <f>IF(samples!#REF!=0,"",samples!#REF!)</f>
        <v>#REF!</v>
      </c>
      <c r="F20">
        <f>IFERROR(SEARCH(search!$B$6,samples!#REF!,1),0)</f>
        <v>0</v>
      </c>
      <c r="G20" t="e">
        <f>IF(samples!#REF!=0,"",samples!#REF!)</f>
        <v>#REF!</v>
      </c>
      <c r="H20">
        <f>IFERROR(SEARCH(search!$B$6,samples!#REF!,1),0)</f>
        <v>0</v>
      </c>
      <c r="I20" t="e">
        <f>IF(samples!#REF!=0,"",samples!#REF!)</f>
        <v>#REF!</v>
      </c>
      <c r="J20">
        <f>IFERROR(SEARCH(search!$B$6,samples!#REF!,1),0)</f>
        <v>0</v>
      </c>
      <c r="K20" t="e">
        <f>IF(samples!#REF!=0,"",samples!#REF!)</f>
        <v>#REF!</v>
      </c>
      <c r="L20">
        <f>IFERROR(SEARCH(search!$B$6,samples!#REF!,1),0)</f>
        <v>0</v>
      </c>
      <c r="M20" t="e">
        <f>IF(samples!#REF!=0,"",samples!#REF!)</f>
        <v>#REF!</v>
      </c>
      <c r="N20">
        <f>IFERROR(SEARCH(search!$B$6,samples!#REF!,1),0)</f>
        <v>0</v>
      </c>
      <c r="O20" t="e">
        <f>IF(samples!#REF!=0,"",samples!#REF!)</f>
        <v>#REF!</v>
      </c>
      <c r="P20">
        <f>IFERROR(SEARCH(search!$B$6,samples!#REF!,1),0)</f>
        <v>0</v>
      </c>
      <c r="Q20" t="e">
        <f>IF(samples!#REF!=0,"",samples!#REF!)</f>
        <v>#REF!</v>
      </c>
      <c r="R20">
        <f>IFERROR(SEARCH(search!$B$6,samples!#REF!,1),0)</f>
        <v>0</v>
      </c>
      <c r="S20" t="e">
        <f>IF(samples!#REF!=0,"",samples!#REF!)</f>
        <v>#REF!</v>
      </c>
      <c r="T20">
        <f>IFERROR(SEARCH(search!$B$6,samples!#REF!,1),0)</f>
        <v>0</v>
      </c>
      <c r="U20" t="e">
        <f>IF(samples!#REF!=0,"",samples!#REF!)</f>
        <v>#REF!</v>
      </c>
      <c r="V20">
        <f>IFERROR(SEARCH(search!$B$6,samples!#REF!,1),0)</f>
        <v>0</v>
      </c>
      <c r="W20" t="e">
        <f>IF(samples!#REF!=0,"",samples!#REF!)</f>
        <v>#REF!</v>
      </c>
      <c r="X20">
        <f>IFERROR(SEARCH(search!$B$6,samples!#REF!,1),0)</f>
        <v>0</v>
      </c>
      <c r="Y20" t="e">
        <f>IF(samples!#REF!=0,"",samples!#REF!)</f>
        <v>#REF!</v>
      </c>
      <c r="Z20">
        <f>IFERROR(SEARCH(search!$B$6,samples!#REF!,1),0)</f>
        <v>0</v>
      </c>
      <c r="AA20" t="e">
        <f>IF(samples!#REF!=0,"",samples!#REF!)</f>
        <v>#REF!</v>
      </c>
      <c r="AB20">
        <f>IFERROR(SEARCH(search!$B$6,samples!#REF!,1),0)</f>
        <v>0</v>
      </c>
      <c r="AC20" t="e">
        <f>IF(samples!#REF!=0,"",samples!#REF!)</f>
        <v>#REF!</v>
      </c>
      <c r="AD20">
        <f>IFERROR(SEARCH(search!$B$6,samples!#REF!,1),0)</f>
        <v>0</v>
      </c>
    </row>
    <row r="21" spans="1:30">
      <c r="A21">
        <f t="shared" si="0"/>
        <v>0</v>
      </c>
      <c r="B21">
        <f>IF(SUM(D21,F21,H21,J21,L21,N21,P21,R21,T21,V21,X21,Z21,AB21,AD21)&gt;0,SUM($A$2:A21),0)</f>
        <v>0</v>
      </c>
      <c r="C21" t="e">
        <f>samples!#REF!</f>
        <v>#REF!</v>
      </c>
      <c r="D21">
        <f>IFERROR(SEARCH(search!$B$6,samples!#REF!,1),0)</f>
        <v>0</v>
      </c>
      <c r="E21" t="e">
        <f>IF(samples!#REF!=0,"",samples!#REF!)</f>
        <v>#REF!</v>
      </c>
      <c r="F21">
        <f>IFERROR(SEARCH(search!$B$6,samples!#REF!,1),0)</f>
        <v>0</v>
      </c>
      <c r="G21" t="e">
        <f>IF(samples!#REF!=0,"",samples!#REF!)</f>
        <v>#REF!</v>
      </c>
      <c r="H21">
        <f>IFERROR(SEARCH(search!$B$6,samples!#REF!,1),0)</f>
        <v>0</v>
      </c>
      <c r="I21" t="e">
        <f>IF(samples!#REF!=0,"",samples!#REF!)</f>
        <v>#REF!</v>
      </c>
      <c r="J21">
        <f>IFERROR(SEARCH(search!$B$6,samples!#REF!,1),0)</f>
        <v>0</v>
      </c>
      <c r="K21" t="e">
        <f>IF(samples!#REF!=0,"",samples!#REF!)</f>
        <v>#REF!</v>
      </c>
      <c r="L21">
        <f>IFERROR(SEARCH(search!$B$6,samples!#REF!,1),0)</f>
        <v>0</v>
      </c>
      <c r="M21" t="e">
        <f>IF(samples!#REF!=0,"",samples!#REF!)</f>
        <v>#REF!</v>
      </c>
      <c r="N21">
        <f>IFERROR(SEARCH(search!$B$6,samples!#REF!,1),0)</f>
        <v>0</v>
      </c>
      <c r="O21" t="e">
        <f>IF(samples!#REF!=0,"",samples!#REF!)</f>
        <v>#REF!</v>
      </c>
      <c r="P21">
        <f>IFERROR(SEARCH(search!$B$6,samples!#REF!,1),0)</f>
        <v>0</v>
      </c>
      <c r="Q21" t="e">
        <f>IF(samples!#REF!=0,"",samples!#REF!)</f>
        <v>#REF!</v>
      </c>
      <c r="R21">
        <f>IFERROR(SEARCH(search!$B$6,samples!#REF!,1),0)</f>
        <v>0</v>
      </c>
      <c r="S21" t="e">
        <f>IF(samples!#REF!=0,"",samples!#REF!)</f>
        <v>#REF!</v>
      </c>
      <c r="T21">
        <f>IFERROR(SEARCH(search!$B$6,samples!#REF!,1),0)</f>
        <v>0</v>
      </c>
      <c r="U21" t="e">
        <f>IF(samples!#REF!=0,"",samples!#REF!)</f>
        <v>#REF!</v>
      </c>
      <c r="V21">
        <f>IFERROR(SEARCH(search!$B$6,samples!#REF!,1),0)</f>
        <v>0</v>
      </c>
      <c r="W21" t="e">
        <f>IF(samples!#REF!=0,"",samples!#REF!)</f>
        <v>#REF!</v>
      </c>
      <c r="X21">
        <f>IFERROR(SEARCH(search!$B$6,samples!#REF!,1),0)</f>
        <v>0</v>
      </c>
      <c r="Y21" t="e">
        <f>IF(samples!#REF!=0,"",samples!#REF!)</f>
        <v>#REF!</v>
      </c>
      <c r="Z21">
        <f>IFERROR(SEARCH(search!$B$6,samples!#REF!,1),0)</f>
        <v>0</v>
      </c>
      <c r="AA21" t="e">
        <f>IF(samples!#REF!=0,"",samples!#REF!)</f>
        <v>#REF!</v>
      </c>
      <c r="AB21">
        <f>IFERROR(SEARCH(search!$B$6,samples!#REF!,1),0)</f>
        <v>0</v>
      </c>
      <c r="AC21" t="e">
        <f>IF(samples!#REF!=0,"",samples!#REF!)</f>
        <v>#REF!</v>
      </c>
      <c r="AD21">
        <f>IFERROR(SEARCH(search!$B$6,samples!#REF!,1),0)</f>
        <v>0</v>
      </c>
    </row>
    <row r="22" spans="1:30">
      <c r="A22">
        <f t="shared" si="0"/>
        <v>0</v>
      </c>
      <c r="B22">
        <f>IF(SUM(D22,F22,H22,J22,L22,N22,P22,R22,T22,V22,X22,Z22,AB22,AD22)&gt;0,SUM($A$2:A22),0)</f>
        <v>0</v>
      </c>
      <c r="C22" t="e">
        <f>samples!#REF!</f>
        <v>#REF!</v>
      </c>
      <c r="D22">
        <f>IFERROR(SEARCH(search!$B$6,samples!#REF!,1),0)</f>
        <v>0</v>
      </c>
      <c r="E22" t="e">
        <f>IF(samples!#REF!=0,"",samples!#REF!)</f>
        <v>#REF!</v>
      </c>
      <c r="F22">
        <f>IFERROR(SEARCH(search!$B$6,samples!#REF!,1),0)</f>
        <v>0</v>
      </c>
      <c r="G22" t="e">
        <f>IF(samples!#REF!=0,"",samples!#REF!)</f>
        <v>#REF!</v>
      </c>
      <c r="H22">
        <f>IFERROR(SEARCH(search!$B$6,samples!#REF!,1),0)</f>
        <v>0</v>
      </c>
      <c r="I22" t="e">
        <f>IF(samples!#REF!=0,"",samples!#REF!)</f>
        <v>#REF!</v>
      </c>
      <c r="J22">
        <f>IFERROR(SEARCH(search!$B$6,samples!#REF!,1),0)</f>
        <v>0</v>
      </c>
      <c r="K22" t="e">
        <f>IF(samples!#REF!=0,"",samples!#REF!)</f>
        <v>#REF!</v>
      </c>
      <c r="L22">
        <f>IFERROR(SEARCH(search!$B$6,samples!#REF!,1),0)</f>
        <v>0</v>
      </c>
      <c r="M22" t="e">
        <f>IF(samples!#REF!=0,"",samples!#REF!)</f>
        <v>#REF!</v>
      </c>
      <c r="N22">
        <f>IFERROR(SEARCH(search!$B$6,samples!#REF!,1),0)</f>
        <v>0</v>
      </c>
      <c r="O22" t="e">
        <f>IF(samples!#REF!=0,"",samples!#REF!)</f>
        <v>#REF!</v>
      </c>
      <c r="P22">
        <f>IFERROR(SEARCH(search!$B$6,samples!#REF!,1),0)</f>
        <v>0</v>
      </c>
      <c r="Q22" t="e">
        <f>IF(samples!#REF!=0,"",samples!#REF!)</f>
        <v>#REF!</v>
      </c>
      <c r="R22">
        <f>IFERROR(SEARCH(search!$B$6,samples!#REF!,1),0)</f>
        <v>0</v>
      </c>
      <c r="S22" t="e">
        <f>IF(samples!#REF!=0,"",samples!#REF!)</f>
        <v>#REF!</v>
      </c>
      <c r="T22">
        <f>IFERROR(SEARCH(search!$B$6,samples!#REF!,1),0)</f>
        <v>0</v>
      </c>
      <c r="U22" t="e">
        <f>IF(samples!#REF!=0,"",samples!#REF!)</f>
        <v>#REF!</v>
      </c>
      <c r="V22">
        <f>IFERROR(SEARCH(search!$B$6,samples!#REF!,1),0)</f>
        <v>0</v>
      </c>
      <c r="W22" t="e">
        <f>IF(samples!#REF!=0,"",samples!#REF!)</f>
        <v>#REF!</v>
      </c>
      <c r="X22">
        <f>IFERROR(SEARCH(search!$B$6,samples!#REF!,1),0)</f>
        <v>0</v>
      </c>
      <c r="Y22" t="e">
        <f>IF(samples!#REF!=0,"",samples!#REF!)</f>
        <v>#REF!</v>
      </c>
      <c r="Z22">
        <f>IFERROR(SEARCH(search!$B$6,samples!#REF!,1),0)</f>
        <v>0</v>
      </c>
      <c r="AA22" t="e">
        <f>IF(samples!#REF!=0,"",samples!#REF!)</f>
        <v>#REF!</v>
      </c>
      <c r="AB22">
        <f>IFERROR(SEARCH(search!$B$6,samples!#REF!,1),0)</f>
        <v>0</v>
      </c>
      <c r="AC22" t="e">
        <f>IF(samples!#REF!=0,"",samples!#REF!)</f>
        <v>#REF!</v>
      </c>
      <c r="AD22">
        <f>IFERROR(SEARCH(search!$B$6,samples!#REF!,1),0)</f>
        <v>0</v>
      </c>
    </row>
    <row r="23" spans="1:30">
      <c r="A23">
        <f t="shared" si="0"/>
        <v>0</v>
      </c>
      <c r="B23">
        <f>IF(SUM(D23,F23,H23,J23,L23,N23,P23,R23,T23,V23,X23,Z23,AB23,AD23)&gt;0,SUM($A$2:A23),0)</f>
        <v>0</v>
      </c>
      <c r="C23" t="e">
        <f>samples!#REF!</f>
        <v>#REF!</v>
      </c>
      <c r="D23">
        <f>IFERROR(SEARCH(search!$B$6,samples!#REF!,1),0)</f>
        <v>0</v>
      </c>
      <c r="E23" t="e">
        <f>IF(samples!#REF!=0,"",samples!#REF!)</f>
        <v>#REF!</v>
      </c>
      <c r="F23">
        <f>IFERROR(SEARCH(search!$B$6,samples!#REF!,1),0)</f>
        <v>0</v>
      </c>
      <c r="G23" t="e">
        <f>IF(samples!#REF!=0,"",samples!#REF!)</f>
        <v>#REF!</v>
      </c>
      <c r="H23">
        <f>IFERROR(SEARCH(search!$B$6,samples!#REF!,1),0)</f>
        <v>0</v>
      </c>
      <c r="I23" t="e">
        <f>IF(samples!#REF!=0,"",samples!#REF!)</f>
        <v>#REF!</v>
      </c>
      <c r="J23">
        <f>IFERROR(SEARCH(search!$B$6,samples!#REF!,1),0)</f>
        <v>0</v>
      </c>
      <c r="K23" t="e">
        <f>IF(samples!#REF!=0,"",samples!#REF!)</f>
        <v>#REF!</v>
      </c>
      <c r="L23">
        <f>IFERROR(SEARCH(search!$B$6,samples!#REF!,1),0)</f>
        <v>0</v>
      </c>
      <c r="M23" t="e">
        <f>IF(samples!#REF!=0,"",samples!#REF!)</f>
        <v>#REF!</v>
      </c>
      <c r="N23">
        <f>IFERROR(SEARCH(search!$B$6,samples!#REF!,1),0)</f>
        <v>0</v>
      </c>
      <c r="O23" t="e">
        <f>IF(samples!#REF!=0,"",samples!#REF!)</f>
        <v>#REF!</v>
      </c>
      <c r="P23">
        <f>IFERROR(SEARCH(search!$B$6,samples!#REF!,1),0)</f>
        <v>0</v>
      </c>
      <c r="Q23" t="e">
        <f>IF(samples!#REF!=0,"",samples!#REF!)</f>
        <v>#REF!</v>
      </c>
      <c r="R23">
        <f>IFERROR(SEARCH(search!$B$6,samples!#REF!,1),0)</f>
        <v>0</v>
      </c>
      <c r="S23" t="e">
        <f>IF(samples!#REF!=0,"",samples!#REF!)</f>
        <v>#REF!</v>
      </c>
      <c r="T23">
        <f>IFERROR(SEARCH(search!$B$6,samples!#REF!,1),0)</f>
        <v>0</v>
      </c>
      <c r="U23" t="e">
        <f>IF(samples!#REF!=0,"",samples!#REF!)</f>
        <v>#REF!</v>
      </c>
      <c r="V23">
        <f>IFERROR(SEARCH(search!$B$6,samples!#REF!,1),0)</f>
        <v>0</v>
      </c>
      <c r="W23" t="e">
        <f>IF(samples!#REF!=0,"",samples!#REF!)</f>
        <v>#REF!</v>
      </c>
      <c r="X23">
        <f>IFERROR(SEARCH(search!$B$6,samples!#REF!,1),0)</f>
        <v>0</v>
      </c>
      <c r="Y23" t="e">
        <f>IF(samples!#REF!=0,"",samples!#REF!)</f>
        <v>#REF!</v>
      </c>
      <c r="Z23">
        <f>IFERROR(SEARCH(search!$B$6,samples!#REF!,1),0)</f>
        <v>0</v>
      </c>
      <c r="AA23" t="e">
        <f>IF(samples!#REF!=0,"",samples!#REF!)</f>
        <v>#REF!</v>
      </c>
      <c r="AB23">
        <f>IFERROR(SEARCH(search!$B$6,samples!#REF!,1),0)</f>
        <v>0</v>
      </c>
      <c r="AC23" t="e">
        <f>IF(samples!#REF!=0,"",samples!#REF!)</f>
        <v>#REF!</v>
      </c>
      <c r="AD23">
        <f>IFERROR(SEARCH(search!$B$6,samples!#REF!,1),0)</f>
        <v>0</v>
      </c>
    </row>
    <row r="24" spans="1:30">
      <c r="A24">
        <f t="shared" si="0"/>
        <v>0</v>
      </c>
      <c r="B24">
        <f>IF(SUM(D24,F24,H24,J24,L24,N24,P24,R24,T24,V24,X24,Z24,AB24,AD24)&gt;0,SUM($A$2:A24),0)</f>
        <v>0</v>
      </c>
      <c r="C24" t="e">
        <f>samples!#REF!</f>
        <v>#REF!</v>
      </c>
      <c r="D24">
        <f>IFERROR(SEARCH(search!$B$6,samples!#REF!,1),0)</f>
        <v>0</v>
      </c>
      <c r="E24" t="e">
        <f>IF(samples!#REF!=0,"",samples!#REF!)</f>
        <v>#REF!</v>
      </c>
      <c r="F24">
        <f>IFERROR(SEARCH(search!$B$6,samples!#REF!,1),0)</f>
        <v>0</v>
      </c>
      <c r="G24" t="e">
        <f>IF(samples!#REF!=0,"",samples!#REF!)</f>
        <v>#REF!</v>
      </c>
      <c r="H24">
        <f>IFERROR(SEARCH(search!$B$6,samples!#REF!,1),0)</f>
        <v>0</v>
      </c>
      <c r="I24" t="e">
        <f>IF(samples!#REF!=0,"",samples!#REF!)</f>
        <v>#REF!</v>
      </c>
      <c r="J24">
        <f>IFERROR(SEARCH(search!$B$6,samples!#REF!,1),0)</f>
        <v>0</v>
      </c>
      <c r="K24" t="e">
        <f>IF(samples!#REF!=0,"",samples!#REF!)</f>
        <v>#REF!</v>
      </c>
      <c r="L24">
        <f>IFERROR(SEARCH(search!$B$6,samples!#REF!,1),0)</f>
        <v>0</v>
      </c>
      <c r="M24" t="e">
        <f>IF(samples!#REF!=0,"",samples!#REF!)</f>
        <v>#REF!</v>
      </c>
      <c r="N24">
        <f>IFERROR(SEARCH(search!$B$6,samples!#REF!,1),0)</f>
        <v>0</v>
      </c>
      <c r="O24" t="e">
        <f>IF(samples!#REF!=0,"",samples!#REF!)</f>
        <v>#REF!</v>
      </c>
      <c r="P24">
        <f>IFERROR(SEARCH(search!$B$6,samples!#REF!,1),0)</f>
        <v>0</v>
      </c>
      <c r="Q24" t="e">
        <f>IF(samples!#REF!=0,"",samples!#REF!)</f>
        <v>#REF!</v>
      </c>
      <c r="R24">
        <f>IFERROR(SEARCH(search!$B$6,samples!#REF!,1),0)</f>
        <v>0</v>
      </c>
      <c r="S24" t="e">
        <f>IF(samples!#REF!=0,"",samples!#REF!)</f>
        <v>#REF!</v>
      </c>
      <c r="T24">
        <f>IFERROR(SEARCH(search!$B$6,samples!#REF!,1),0)</f>
        <v>0</v>
      </c>
      <c r="U24" t="e">
        <f>IF(samples!#REF!=0,"",samples!#REF!)</f>
        <v>#REF!</v>
      </c>
      <c r="V24">
        <f>IFERROR(SEARCH(search!$B$6,samples!#REF!,1),0)</f>
        <v>0</v>
      </c>
      <c r="W24" t="e">
        <f>IF(samples!#REF!=0,"",samples!#REF!)</f>
        <v>#REF!</v>
      </c>
      <c r="X24">
        <f>IFERROR(SEARCH(search!$B$6,samples!#REF!,1),0)</f>
        <v>0</v>
      </c>
      <c r="Y24" t="e">
        <f>IF(samples!#REF!=0,"",samples!#REF!)</f>
        <v>#REF!</v>
      </c>
      <c r="Z24">
        <f>IFERROR(SEARCH(search!$B$6,samples!#REF!,1),0)</f>
        <v>0</v>
      </c>
      <c r="AA24" t="e">
        <f>IF(samples!#REF!=0,"",samples!#REF!)</f>
        <v>#REF!</v>
      </c>
      <c r="AB24">
        <f>IFERROR(SEARCH(search!$B$6,samples!#REF!,1),0)</f>
        <v>0</v>
      </c>
      <c r="AC24" t="e">
        <f>IF(samples!#REF!=0,"",samples!#REF!)</f>
        <v>#REF!</v>
      </c>
      <c r="AD24">
        <f>IFERROR(SEARCH(search!$B$6,samples!#REF!,1),0)</f>
        <v>0</v>
      </c>
    </row>
    <row r="25" spans="1:30">
      <c r="A25">
        <f t="shared" si="0"/>
        <v>0</v>
      </c>
      <c r="B25">
        <f>IF(SUM(D25,F25,H25,J25,L25,N25,P25,R25,T25,V25,X25,Z25,AB25,AD25)&gt;0,SUM($A$2:A25),0)</f>
        <v>0</v>
      </c>
      <c r="C25" t="e">
        <f>samples!#REF!</f>
        <v>#REF!</v>
      </c>
      <c r="D25">
        <f>IFERROR(SEARCH(search!$B$6,samples!#REF!,1),0)</f>
        <v>0</v>
      </c>
      <c r="E25" t="e">
        <f>IF(samples!#REF!=0,"",samples!#REF!)</f>
        <v>#REF!</v>
      </c>
      <c r="F25">
        <f>IFERROR(SEARCH(search!$B$6,samples!#REF!,1),0)</f>
        <v>0</v>
      </c>
      <c r="G25" t="e">
        <f>IF(samples!#REF!=0,"",samples!#REF!)</f>
        <v>#REF!</v>
      </c>
      <c r="H25">
        <f>IFERROR(SEARCH(search!$B$6,samples!#REF!,1),0)</f>
        <v>0</v>
      </c>
      <c r="I25" t="e">
        <f>IF(samples!#REF!=0,"",samples!#REF!)</f>
        <v>#REF!</v>
      </c>
      <c r="J25">
        <f>IFERROR(SEARCH(search!$B$6,samples!#REF!,1),0)</f>
        <v>0</v>
      </c>
      <c r="K25" t="e">
        <f>IF(samples!#REF!=0,"",samples!#REF!)</f>
        <v>#REF!</v>
      </c>
      <c r="L25">
        <f>IFERROR(SEARCH(search!$B$6,samples!#REF!,1),0)</f>
        <v>0</v>
      </c>
      <c r="M25" t="e">
        <f>IF(samples!#REF!=0,"",samples!#REF!)</f>
        <v>#REF!</v>
      </c>
      <c r="N25">
        <f>IFERROR(SEARCH(search!$B$6,samples!#REF!,1),0)</f>
        <v>0</v>
      </c>
      <c r="O25" t="e">
        <f>IF(samples!#REF!=0,"",samples!#REF!)</f>
        <v>#REF!</v>
      </c>
      <c r="P25">
        <f>IFERROR(SEARCH(search!$B$6,samples!#REF!,1),0)</f>
        <v>0</v>
      </c>
      <c r="Q25" t="e">
        <f>IF(samples!#REF!=0,"",samples!#REF!)</f>
        <v>#REF!</v>
      </c>
      <c r="R25">
        <f>IFERROR(SEARCH(search!$B$6,samples!#REF!,1),0)</f>
        <v>0</v>
      </c>
      <c r="S25" t="e">
        <f>IF(samples!#REF!=0,"",samples!#REF!)</f>
        <v>#REF!</v>
      </c>
      <c r="T25">
        <f>IFERROR(SEARCH(search!$B$6,samples!#REF!,1),0)</f>
        <v>0</v>
      </c>
      <c r="U25" t="e">
        <f>IF(samples!#REF!=0,"",samples!#REF!)</f>
        <v>#REF!</v>
      </c>
      <c r="V25">
        <f>IFERROR(SEARCH(search!$B$6,samples!#REF!,1),0)</f>
        <v>0</v>
      </c>
      <c r="W25" t="e">
        <f>IF(samples!#REF!=0,"",samples!#REF!)</f>
        <v>#REF!</v>
      </c>
      <c r="X25">
        <f>IFERROR(SEARCH(search!$B$6,samples!#REF!,1),0)</f>
        <v>0</v>
      </c>
      <c r="Y25" t="e">
        <f>IF(samples!#REF!=0,"",samples!#REF!)</f>
        <v>#REF!</v>
      </c>
      <c r="Z25">
        <f>IFERROR(SEARCH(search!$B$6,samples!#REF!,1),0)</f>
        <v>0</v>
      </c>
      <c r="AA25" t="e">
        <f>IF(samples!#REF!=0,"",samples!#REF!)</f>
        <v>#REF!</v>
      </c>
      <c r="AB25">
        <f>IFERROR(SEARCH(search!$B$6,samples!#REF!,1),0)</f>
        <v>0</v>
      </c>
      <c r="AC25" t="e">
        <f>IF(samples!#REF!=0,"",samples!#REF!)</f>
        <v>#REF!</v>
      </c>
      <c r="AD25">
        <f>IFERROR(SEARCH(search!$B$6,samples!#REF!,1),0)</f>
        <v>0</v>
      </c>
    </row>
    <row r="26" spans="1:30">
      <c r="A26">
        <f t="shared" si="0"/>
        <v>0</v>
      </c>
      <c r="B26">
        <f>IF(SUM(D26,F26,H26,J26,L26,N26,P26,R26,T26,V26,X26,Z26,AB26,AD26)&gt;0,SUM($A$2:A26),0)</f>
        <v>0</v>
      </c>
      <c r="C26" t="e">
        <f>samples!#REF!</f>
        <v>#REF!</v>
      </c>
      <c r="D26">
        <f>IFERROR(SEARCH(search!$B$6,samples!#REF!,1),0)</f>
        <v>0</v>
      </c>
      <c r="E26" t="e">
        <f>IF(samples!#REF!=0,"",samples!#REF!)</f>
        <v>#REF!</v>
      </c>
      <c r="F26">
        <f>IFERROR(SEARCH(search!$B$6,samples!#REF!,1),0)</f>
        <v>0</v>
      </c>
      <c r="G26" t="e">
        <f>IF(samples!#REF!=0,"",samples!#REF!)</f>
        <v>#REF!</v>
      </c>
      <c r="H26">
        <f>IFERROR(SEARCH(search!$B$6,samples!#REF!,1),0)</f>
        <v>0</v>
      </c>
      <c r="I26" t="e">
        <f>IF(samples!#REF!=0,"",samples!#REF!)</f>
        <v>#REF!</v>
      </c>
      <c r="J26">
        <f>IFERROR(SEARCH(search!$B$6,samples!#REF!,1),0)</f>
        <v>0</v>
      </c>
      <c r="K26" t="e">
        <f>IF(samples!#REF!=0,"",samples!#REF!)</f>
        <v>#REF!</v>
      </c>
      <c r="L26">
        <f>IFERROR(SEARCH(search!$B$6,samples!#REF!,1),0)</f>
        <v>0</v>
      </c>
      <c r="M26" t="e">
        <f>IF(samples!#REF!=0,"",samples!#REF!)</f>
        <v>#REF!</v>
      </c>
      <c r="N26">
        <f>IFERROR(SEARCH(search!$B$6,samples!#REF!,1),0)</f>
        <v>0</v>
      </c>
      <c r="O26" t="e">
        <f>IF(samples!#REF!=0,"",samples!#REF!)</f>
        <v>#REF!</v>
      </c>
      <c r="P26">
        <f>IFERROR(SEARCH(search!$B$6,samples!#REF!,1),0)</f>
        <v>0</v>
      </c>
      <c r="Q26" t="e">
        <f>IF(samples!#REF!=0,"",samples!#REF!)</f>
        <v>#REF!</v>
      </c>
      <c r="R26">
        <f>IFERROR(SEARCH(search!$B$6,samples!#REF!,1),0)</f>
        <v>0</v>
      </c>
      <c r="S26" t="e">
        <f>IF(samples!#REF!=0,"",samples!#REF!)</f>
        <v>#REF!</v>
      </c>
      <c r="T26">
        <f>IFERROR(SEARCH(search!$B$6,samples!#REF!,1),0)</f>
        <v>0</v>
      </c>
      <c r="U26" t="e">
        <f>IF(samples!#REF!=0,"",samples!#REF!)</f>
        <v>#REF!</v>
      </c>
      <c r="V26">
        <f>IFERROR(SEARCH(search!$B$6,samples!#REF!,1),0)</f>
        <v>0</v>
      </c>
      <c r="W26" t="e">
        <f>IF(samples!#REF!=0,"",samples!#REF!)</f>
        <v>#REF!</v>
      </c>
      <c r="X26">
        <f>IFERROR(SEARCH(search!$B$6,samples!#REF!,1),0)</f>
        <v>0</v>
      </c>
      <c r="Y26" t="e">
        <f>IF(samples!#REF!=0,"",samples!#REF!)</f>
        <v>#REF!</v>
      </c>
      <c r="Z26">
        <f>IFERROR(SEARCH(search!$B$6,samples!#REF!,1),0)</f>
        <v>0</v>
      </c>
      <c r="AA26" t="e">
        <f>IF(samples!#REF!=0,"",samples!#REF!)</f>
        <v>#REF!</v>
      </c>
      <c r="AB26">
        <f>IFERROR(SEARCH(search!$B$6,samples!#REF!,1),0)</f>
        <v>0</v>
      </c>
      <c r="AC26" t="e">
        <f>IF(samples!#REF!=0,"",samples!#REF!)</f>
        <v>#REF!</v>
      </c>
      <c r="AD26">
        <f>IFERROR(SEARCH(search!$B$6,samples!#REF!,1),0)</f>
        <v>0</v>
      </c>
    </row>
    <row r="27" spans="1:30">
      <c r="A27">
        <f t="shared" si="0"/>
        <v>0</v>
      </c>
      <c r="B27">
        <f>IF(SUM(D27,F27,H27,J27,L27,N27,P27,R27,T27,V27,X27,Z27,AB27,AD27)&gt;0,SUM($A$2:A27),0)</f>
        <v>0</v>
      </c>
      <c r="C27" t="e">
        <f>samples!#REF!</f>
        <v>#REF!</v>
      </c>
      <c r="D27">
        <f>IFERROR(SEARCH(search!$B$6,samples!#REF!,1),0)</f>
        <v>0</v>
      </c>
      <c r="E27" t="e">
        <f>IF(samples!#REF!=0,"",samples!#REF!)</f>
        <v>#REF!</v>
      </c>
      <c r="F27">
        <f>IFERROR(SEARCH(search!$B$6,samples!#REF!,1),0)</f>
        <v>0</v>
      </c>
      <c r="G27" t="e">
        <f>IF(samples!#REF!=0,"",samples!#REF!)</f>
        <v>#REF!</v>
      </c>
      <c r="H27">
        <f>IFERROR(SEARCH(search!$B$6,samples!#REF!,1),0)</f>
        <v>0</v>
      </c>
      <c r="I27" t="e">
        <f>IF(samples!#REF!=0,"",samples!#REF!)</f>
        <v>#REF!</v>
      </c>
      <c r="J27">
        <f>IFERROR(SEARCH(search!$B$6,samples!#REF!,1),0)</f>
        <v>0</v>
      </c>
      <c r="K27" t="e">
        <f>IF(samples!#REF!=0,"",samples!#REF!)</f>
        <v>#REF!</v>
      </c>
      <c r="L27">
        <f>IFERROR(SEARCH(search!$B$6,samples!#REF!,1),0)</f>
        <v>0</v>
      </c>
      <c r="M27" t="e">
        <f>IF(samples!#REF!=0,"",samples!#REF!)</f>
        <v>#REF!</v>
      </c>
      <c r="N27">
        <f>IFERROR(SEARCH(search!$B$6,samples!#REF!,1),0)</f>
        <v>0</v>
      </c>
      <c r="O27" t="e">
        <f>IF(samples!#REF!=0,"",samples!#REF!)</f>
        <v>#REF!</v>
      </c>
      <c r="P27">
        <f>IFERROR(SEARCH(search!$B$6,samples!#REF!,1),0)</f>
        <v>0</v>
      </c>
      <c r="Q27" t="e">
        <f>IF(samples!#REF!=0,"",samples!#REF!)</f>
        <v>#REF!</v>
      </c>
      <c r="R27">
        <f>IFERROR(SEARCH(search!$B$6,samples!#REF!,1),0)</f>
        <v>0</v>
      </c>
      <c r="S27" t="e">
        <f>IF(samples!#REF!=0,"",samples!#REF!)</f>
        <v>#REF!</v>
      </c>
      <c r="T27">
        <f>IFERROR(SEARCH(search!$B$6,samples!#REF!,1),0)</f>
        <v>0</v>
      </c>
      <c r="U27" t="e">
        <f>IF(samples!#REF!=0,"",samples!#REF!)</f>
        <v>#REF!</v>
      </c>
      <c r="V27">
        <f>IFERROR(SEARCH(search!$B$6,samples!#REF!,1),0)</f>
        <v>0</v>
      </c>
      <c r="W27" t="e">
        <f>IF(samples!#REF!=0,"",samples!#REF!)</f>
        <v>#REF!</v>
      </c>
      <c r="X27">
        <f>IFERROR(SEARCH(search!$B$6,samples!#REF!,1),0)</f>
        <v>0</v>
      </c>
      <c r="Y27" t="e">
        <f>IF(samples!#REF!=0,"",samples!#REF!)</f>
        <v>#REF!</v>
      </c>
      <c r="Z27">
        <f>IFERROR(SEARCH(search!$B$6,samples!#REF!,1),0)</f>
        <v>0</v>
      </c>
      <c r="AA27" t="e">
        <f>IF(samples!#REF!=0,"",samples!#REF!)</f>
        <v>#REF!</v>
      </c>
      <c r="AB27">
        <f>IFERROR(SEARCH(search!$B$6,samples!#REF!,1),0)</f>
        <v>0</v>
      </c>
      <c r="AC27" t="e">
        <f>IF(samples!#REF!=0,"",samples!#REF!)</f>
        <v>#REF!</v>
      </c>
      <c r="AD27">
        <f>IFERROR(SEARCH(search!$B$6,samples!#REF!,1),0)</f>
        <v>0</v>
      </c>
    </row>
    <row r="28" spans="1:30">
      <c r="A28">
        <f t="shared" si="0"/>
        <v>0</v>
      </c>
      <c r="B28">
        <f>IF(SUM(D28,F28,H28,J28,L28,N28,P28,R28,T28,V28,X28,Z28,AB28,AD28)&gt;0,SUM($A$2:A28),0)</f>
        <v>0</v>
      </c>
      <c r="C28" t="e">
        <f>samples!#REF!</f>
        <v>#REF!</v>
      </c>
      <c r="D28">
        <f>IFERROR(SEARCH(search!$B$6,samples!#REF!,1),0)</f>
        <v>0</v>
      </c>
      <c r="E28" t="e">
        <f>IF(samples!#REF!=0,"",samples!#REF!)</f>
        <v>#REF!</v>
      </c>
      <c r="F28">
        <f>IFERROR(SEARCH(search!$B$6,samples!#REF!,1),0)</f>
        <v>0</v>
      </c>
      <c r="G28" t="e">
        <f>IF(samples!#REF!=0,"",samples!#REF!)</f>
        <v>#REF!</v>
      </c>
      <c r="H28">
        <f>IFERROR(SEARCH(search!$B$6,samples!#REF!,1),0)</f>
        <v>0</v>
      </c>
      <c r="I28" t="e">
        <f>IF(samples!#REF!=0,"",samples!#REF!)</f>
        <v>#REF!</v>
      </c>
      <c r="J28">
        <f>IFERROR(SEARCH(search!$B$6,samples!#REF!,1),0)</f>
        <v>0</v>
      </c>
      <c r="K28" t="e">
        <f>IF(samples!#REF!=0,"",samples!#REF!)</f>
        <v>#REF!</v>
      </c>
      <c r="L28">
        <f>IFERROR(SEARCH(search!$B$6,samples!#REF!,1),0)</f>
        <v>0</v>
      </c>
      <c r="M28" t="e">
        <f>IF(samples!#REF!=0,"",samples!#REF!)</f>
        <v>#REF!</v>
      </c>
      <c r="N28">
        <f>IFERROR(SEARCH(search!$B$6,samples!#REF!,1),0)</f>
        <v>0</v>
      </c>
      <c r="O28" t="e">
        <f>IF(samples!#REF!=0,"",samples!#REF!)</f>
        <v>#REF!</v>
      </c>
      <c r="P28">
        <f>IFERROR(SEARCH(search!$B$6,samples!#REF!,1),0)</f>
        <v>0</v>
      </c>
      <c r="Q28" t="e">
        <f>IF(samples!#REF!=0,"",samples!#REF!)</f>
        <v>#REF!</v>
      </c>
      <c r="R28">
        <f>IFERROR(SEARCH(search!$B$6,samples!#REF!,1),0)</f>
        <v>0</v>
      </c>
      <c r="S28" t="e">
        <f>IF(samples!#REF!=0,"",samples!#REF!)</f>
        <v>#REF!</v>
      </c>
      <c r="T28">
        <f>IFERROR(SEARCH(search!$B$6,samples!#REF!,1),0)</f>
        <v>0</v>
      </c>
      <c r="U28" t="e">
        <f>IF(samples!#REF!=0,"",samples!#REF!)</f>
        <v>#REF!</v>
      </c>
      <c r="V28">
        <f>IFERROR(SEARCH(search!$B$6,samples!#REF!,1),0)</f>
        <v>0</v>
      </c>
      <c r="W28" t="e">
        <f>IF(samples!#REF!=0,"",samples!#REF!)</f>
        <v>#REF!</v>
      </c>
      <c r="X28">
        <f>IFERROR(SEARCH(search!$B$6,samples!#REF!,1),0)</f>
        <v>0</v>
      </c>
      <c r="Y28" t="e">
        <f>IF(samples!#REF!=0,"",samples!#REF!)</f>
        <v>#REF!</v>
      </c>
      <c r="Z28">
        <f>IFERROR(SEARCH(search!$B$6,samples!#REF!,1),0)</f>
        <v>0</v>
      </c>
      <c r="AA28" t="e">
        <f>IF(samples!#REF!=0,"",samples!#REF!)</f>
        <v>#REF!</v>
      </c>
      <c r="AB28">
        <f>IFERROR(SEARCH(search!$B$6,samples!#REF!,1),0)</f>
        <v>0</v>
      </c>
      <c r="AC28" t="e">
        <f>IF(samples!#REF!=0,"",samples!#REF!)</f>
        <v>#REF!</v>
      </c>
      <c r="AD28">
        <f>IFERROR(SEARCH(search!$B$6,samples!#REF!,1),0)</f>
        <v>0</v>
      </c>
    </row>
    <row r="29" spans="1:30">
      <c r="A29">
        <f t="shared" si="0"/>
        <v>0</v>
      </c>
      <c r="B29">
        <f>IF(SUM(D29,F29,H29,J29,L29,N29,P29,R29,T29,V29,X29,Z29,AB29,AD29)&gt;0,SUM($A$2:A29),0)</f>
        <v>0</v>
      </c>
      <c r="C29" t="e">
        <f>samples!#REF!</f>
        <v>#REF!</v>
      </c>
      <c r="D29">
        <f>IFERROR(SEARCH(search!$B$6,samples!#REF!,1),0)</f>
        <v>0</v>
      </c>
      <c r="E29" t="e">
        <f>IF(samples!#REF!=0,"",samples!#REF!)</f>
        <v>#REF!</v>
      </c>
      <c r="F29">
        <f>IFERROR(SEARCH(search!$B$6,samples!#REF!,1),0)</f>
        <v>0</v>
      </c>
      <c r="G29" t="e">
        <f>IF(samples!#REF!=0,"",samples!#REF!)</f>
        <v>#REF!</v>
      </c>
      <c r="H29">
        <f>IFERROR(SEARCH(search!$B$6,samples!#REF!,1),0)</f>
        <v>0</v>
      </c>
      <c r="I29" t="e">
        <f>IF(samples!#REF!=0,"",samples!#REF!)</f>
        <v>#REF!</v>
      </c>
      <c r="J29">
        <f>IFERROR(SEARCH(search!$B$6,samples!#REF!,1),0)</f>
        <v>0</v>
      </c>
      <c r="K29" t="e">
        <f>IF(samples!#REF!=0,"",samples!#REF!)</f>
        <v>#REF!</v>
      </c>
      <c r="L29">
        <f>IFERROR(SEARCH(search!$B$6,samples!#REF!,1),0)</f>
        <v>0</v>
      </c>
      <c r="M29" t="e">
        <f>IF(samples!#REF!=0,"",samples!#REF!)</f>
        <v>#REF!</v>
      </c>
      <c r="N29">
        <f>IFERROR(SEARCH(search!$B$6,samples!#REF!,1),0)</f>
        <v>0</v>
      </c>
      <c r="O29" t="e">
        <f>IF(samples!#REF!=0,"",samples!#REF!)</f>
        <v>#REF!</v>
      </c>
      <c r="P29">
        <f>IFERROR(SEARCH(search!$B$6,samples!#REF!,1),0)</f>
        <v>0</v>
      </c>
      <c r="Q29" t="e">
        <f>IF(samples!#REF!=0,"",samples!#REF!)</f>
        <v>#REF!</v>
      </c>
      <c r="R29">
        <f>IFERROR(SEARCH(search!$B$6,samples!#REF!,1),0)</f>
        <v>0</v>
      </c>
      <c r="S29" t="e">
        <f>IF(samples!#REF!=0,"",samples!#REF!)</f>
        <v>#REF!</v>
      </c>
      <c r="T29">
        <f>IFERROR(SEARCH(search!$B$6,samples!#REF!,1),0)</f>
        <v>0</v>
      </c>
      <c r="U29" t="e">
        <f>IF(samples!#REF!=0,"",samples!#REF!)</f>
        <v>#REF!</v>
      </c>
      <c r="V29">
        <f>IFERROR(SEARCH(search!$B$6,samples!#REF!,1),0)</f>
        <v>0</v>
      </c>
      <c r="W29" t="e">
        <f>IF(samples!#REF!=0,"",samples!#REF!)</f>
        <v>#REF!</v>
      </c>
      <c r="X29">
        <f>IFERROR(SEARCH(search!$B$6,samples!#REF!,1),0)</f>
        <v>0</v>
      </c>
      <c r="Y29" t="e">
        <f>IF(samples!#REF!=0,"",samples!#REF!)</f>
        <v>#REF!</v>
      </c>
      <c r="Z29">
        <f>IFERROR(SEARCH(search!$B$6,samples!#REF!,1),0)</f>
        <v>0</v>
      </c>
      <c r="AA29" t="e">
        <f>IF(samples!#REF!=0,"",samples!#REF!)</f>
        <v>#REF!</v>
      </c>
      <c r="AB29">
        <f>IFERROR(SEARCH(search!$B$6,samples!#REF!,1),0)</f>
        <v>0</v>
      </c>
      <c r="AC29" t="e">
        <f>IF(samples!#REF!=0,"",samples!#REF!)</f>
        <v>#REF!</v>
      </c>
      <c r="AD29">
        <f>IFERROR(SEARCH(search!$B$6,samples!#REF!,1),0)</f>
        <v>0</v>
      </c>
    </row>
    <row r="30" spans="1:30">
      <c r="A30">
        <f t="shared" si="0"/>
        <v>0</v>
      </c>
      <c r="B30">
        <f>IF(SUM(D30,F30,H30,J30,L30,N30,P30,R30,T30,V30,X30,Z30,AB30,AD30)&gt;0,SUM($A$2:A30),0)</f>
        <v>0</v>
      </c>
      <c r="C30" t="e">
        <f>samples!#REF!</f>
        <v>#REF!</v>
      </c>
      <c r="D30">
        <f>IFERROR(SEARCH(search!$B$6,samples!#REF!,1),0)</f>
        <v>0</v>
      </c>
      <c r="E30" t="e">
        <f>IF(samples!#REF!=0,"",samples!#REF!)</f>
        <v>#REF!</v>
      </c>
      <c r="F30">
        <f>IFERROR(SEARCH(search!$B$6,samples!#REF!,1),0)</f>
        <v>0</v>
      </c>
      <c r="G30" t="e">
        <f>IF(samples!#REF!=0,"",samples!#REF!)</f>
        <v>#REF!</v>
      </c>
      <c r="H30">
        <f>IFERROR(SEARCH(search!$B$6,samples!#REF!,1),0)</f>
        <v>0</v>
      </c>
      <c r="I30" t="e">
        <f>IF(samples!#REF!=0,"",samples!#REF!)</f>
        <v>#REF!</v>
      </c>
      <c r="J30">
        <f>IFERROR(SEARCH(search!$B$6,samples!#REF!,1),0)</f>
        <v>0</v>
      </c>
      <c r="K30" t="e">
        <f>IF(samples!#REF!=0,"",samples!#REF!)</f>
        <v>#REF!</v>
      </c>
      <c r="L30">
        <f>IFERROR(SEARCH(search!$B$6,samples!#REF!,1),0)</f>
        <v>0</v>
      </c>
      <c r="M30" t="e">
        <f>IF(samples!#REF!=0,"",samples!#REF!)</f>
        <v>#REF!</v>
      </c>
      <c r="N30">
        <f>IFERROR(SEARCH(search!$B$6,samples!#REF!,1),0)</f>
        <v>0</v>
      </c>
      <c r="O30" t="e">
        <f>IF(samples!#REF!=0,"",samples!#REF!)</f>
        <v>#REF!</v>
      </c>
      <c r="P30">
        <f>IFERROR(SEARCH(search!$B$6,samples!#REF!,1),0)</f>
        <v>0</v>
      </c>
      <c r="Q30" t="e">
        <f>IF(samples!#REF!=0,"",samples!#REF!)</f>
        <v>#REF!</v>
      </c>
      <c r="R30">
        <f>IFERROR(SEARCH(search!$B$6,samples!#REF!,1),0)</f>
        <v>0</v>
      </c>
      <c r="S30" t="e">
        <f>IF(samples!#REF!=0,"",samples!#REF!)</f>
        <v>#REF!</v>
      </c>
      <c r="T30">
        <f>IFERROR(SEARCH(search!$B$6,samples!#REF!,1),0)</f>
        <v>0</v>
      </c>
      <c r="U30" t="e">
        <f>IF(samples!#REF!=0,"",samples!#REF!)</f>
        <v>#REF!</v>
      </c>
      <c r="V30">
        <f>IFERROR(SEARCH(search!$B$6,samples!#REF!,1),0)</f>
        <v>0</v>
      </c>
      <c r="W30" t="e">
        <f>IF(samples!#REF!=0,"",samples!#REF!)</f>
        <v>#REF!</v>
      </c>
      <c r="X30">
        <f>IFERROR(SEARCH(search!$B$6,samples!#REF!,1),0)</f>
        <v>0</v>
      </c>
      <c r="Y30" t="e">
        <f>IF(samples!#REF!=0,"",samples!#REF!)</f>
        <v>#REF!</v>
      </c>
      <c r="Z30">
        <f>IFERROR(SEARCH(search!$B$6,samples!#REF!,1),0)</f>
        <v>0</v>
      </c>
      <c r="AA30" t="e">
        <f>IF(samples!#REF!=0,"",samples!#REF!)</f>
        <v>#REF!</v>
      </c>
      <c r="AB30">
        <f>IFERROR(SEARCH(search!$B$6,samples!#REF!,1),0)</f>
        <v>0</v>
      </c>
      <c r="AC30" t="e">
        <f>IF(samples!#REF!=0,"",samples!#REF!)</f>
        <v>#REF!</v>
      </c>
      <c r="AD30">
        <f>IFERROR(SEARCH(search!$B$6,samples!#REF!,1),0)</f>
        <v>0</v>
      </c>
    </row>
    <row r="31" spans="1:30">
      <c r="A31">
        <f t="shared" si="0"/>
        <v>0</v>
      </c>
      <c r="B31">
        <f>IF(SUM(D31,F31,H31,J31,L31,N31,P31,R31,T31,V31,X31,Z31,AB31,AD31)&gt;0,SUM($A$2:A31),0)</f>
        <v>0</v>
      </c>
      <c r="C31" t="e">
        <f>samples!#REF!</f>
        <v>#REF!</v>
      </c>
      <c r="D31">
        <f>IFERROR(SEARCH(search!$B$6,samples!#REF!,1),0)</f>
        <v>0</v>
      </c>
      <c r="E31" t="e">
        <f>IF(samples!#REF!=0,"",samples!#REF!)</f>
        <v>#REF!</v>
      </c>
      <c r="F31">
        <f>IFERROR(SEARCH(search!$B$6,samples!#REF!,1),0)</f>
        <v>0</v>
      </c>
      <c r="G31" t="e">
        <f>IF(samples!#REF!=0,"",samples!#REF!)</f>
        <v>#REF!</v>
      </c>
      <c r="H31">
        <f>IFERROR(SEARCH(search!$B$6,samples!#REF!,1),0)</f>
        <v>0</v>
      </c>
      <c r="I31" t="e">
        <f>IF(samples!#REF!=0,"",samples!#REF!)</f>
        <v>#REF!</v>
      </c>
      <c r="J31">
        <f>IFERROR(SEARCH(search!$B$6,samples!#REF!,1),0)</f>
        <v>0</v>
      </c>
      <c r="K31" t="e">
        <f>IF(samples!#REF!=0,"",samples!#REF!)</f>
        <v>#REF!</v>
      </c>
      <c r="L31">
        <f>IFERROR(SEARCH(search!$B$6,samples!#REF!,1),0)</f>
        <v>0</v>
      </c>
      <c r="M31" t="e">
        <f>IF(samples!#REF!=0,"",samples!#REF!)</f>
        <v>#REF!</v>
      </c>
      <c r="N31">
        <f>IFERROR(SEARCH(search!$B$6,samples!#REF!,1),0)</f>
        <v>0</v>
      </c>
      <c r="O31" t="e">
        <f>IF(samples!#REF!=0,"",samples!#REF!)</f>
        <v>#REF!</v>
      </c>
      <c r="P31">
        <f>IFERROR(SEARCH(search!$B$6,samples!#REF!,1),0)</f>
        <v>0</v>
      </c>
      <c r="Q31" t="e">
        <f>IF(samples!#REF!=0,"",samples!#REF!)</f>
        <v>#REF!</v>
      </c>
      <c r="R31">
        <f>IFERROR(SEARCH(search!$B$6,samples!#REF!,1),0)</f>
        <v>0</v>
      </c>
      <c r="S31" t="e">
        <f>IF(samples!#REF!=0,"",samples!#REF!)</f>
        <v>#REF!</v>
      </c>
      <c r="T31">
        <f>IFERROR(SEARCH(search!$B$6,samples!#REF!,1),0)</f>
        <v>0</v>
      </c>
      <c r="U31" t="e">
        <f>IF(samples!#REF!=0,"",samples!#REF!)</f>
        <v>#REF!</v>
      </c>
      <c r="V31">
        <f>IFERROR(SEARCH(search!$B$6,samples!#REF!,1),0)</f>
        <v>0</v>
      </c>
      <c r="W31" t="e">
        <f>IF(samples!#REF!=0,"",samples!#REF!)</f>
        <v>#REF!</v>
      </c>
      <c r="X31">
        <f>IFERROR(SEARCH(search!$B$6,samples!#REF!,1),0)</f>
        <v>0</v>
      </c>
      <c r="Y31" t="e">
        <f>IF(samples!#REF!=0,"",samples!#REF!)</f>
        <v>#REF!</v>
      </c>
      <c r="Z31">
        <f>IFERROR(SEARCH(search!$B$6,samples!#REF!,1),0)</f>
        <v>0</v>
      </c>
      <c r="AA31" t="e">
        <f>IF(samples!#REF!=0,"",samples!#REF!)</f>
        <v>#REF!</v>
      </c>
      <c r="AB31">
        <f>IFERROR(SEARCH(search!$B$6,samples!#REF!,1),0)</f>
        <v>0</v>
      </c>
      <c r="AC31" t="e">
        <f>IF(samples!#REF!=0,"",samples!#REF!)</f>
        <v>#REF!</v>
      </c>
      <c r="AD31">
        <f>IFERROR(SEARCH(search!$B$6,samples!#REF!,1),0)</f>
        <v>0</v>
      </c>
    </row>
    <row r="32" spans="1:30">
      <c r="A32">
        <f t="shared" si="0"/>
        <v>0</v>
      </c>
      <c r="B32">
        <f>IF(SUM(D32,F32,H32,J32,L32,N32,P32,R32,T32,V32,X32,Z32,AB32,AD32)&gt;0,SUM($A$2:A32),0)</f>
        <v>0</v>
      </c>
      <c r="C32" t="e">
        <f>samples!#REF!</f>
        <v>#REF!</v>
      </c>
      <c r="D32">
        <f>IFERROR(SEARCH(search!$B$6,samples!#REF!,1),0)</f>
        <v>0</v>
      </c>
      <c r="E32" t="e">
        <f>IF(samples!#REF!=0,"",samples!#REF!)</f>
        <v>#REF!</v>
      </c>
      <c r="F32">
        <f>IFERROR(SEARCH(search!$B$6,samples!#REF!,1),0)</f>
        <v>0</v>
      </c>
      <c r="G32" t="e">
        <f>IF(samples!#REF!=0,"",samples!#REF!)</f>
        <v>#REF!</v>
      </c>
      <c r="H32">
        <f>IFERROR(SEARCH(search!$B$6,samples!#REF!,1),0)</f>
        <v>0</v>
      </c>
      <c r="I32" t="e">
        <f>IF(samples!#REF!=0,"",samples!#REF!)</f>
        <v>#REF!</v>
      </c>
      <c r="J32">
        <f>IFERROR(SEARCH(search!$B$6,samples!#REF!,1),0)</f>
        <v>0</v>
      </c>
      <c r="K32" t="e">
        <f>IF(samples!#REF!=0,"",samples!#REF!)</f>
        <v>#REF!</v>
      </c>
      <c r="L32">
        <f>IFERROR(SEARCH(search!$B$6,samples!#REF!,1),0)</f>
        <v>0</v>
      </c>
      <c r="M32" t="e">
        <f>IF(samples!#REF!=0,"",samples!#REF!)</f>
        <v>#REF!</v>
      </c>
      <c r="N32">
        <f>IFERROR(SEARCH(search!$B$6,samples!#REF!,1),0)</f>
        <v>0</v>
      </c>
      <c r="O32" t="e">
        <f>IF(samples!#REF!=0,"",samples!#REF!)</f>
        <v>#REF!</v>
      </c>
      <c r="P32">
        <f>IFERROR(SEARCH(search!$B$6,samples!#REF!,1),0)</f>
        <v>0</v>
      </c>
      <c r="Q32" t="e">
        <f>IF(samples!#REF!=0,"",samples!#REF!)</f>
        <v>#REF!</v>
      </c>
      <c r="R32">
        <f>IFERROR(SEARCH(search!$B$6,samples!#REF!,1),0)</f>
        <v>0</v>
      </c>
      <c r="S32" t="e">
        <f>IF(samples!#REF!=0,"",samples!#REF!)</f>
        <v>#REF!</v>
      </c>
      <c r="T32">
        <f>IFERROR(SEARCH(search!$B$6,samples!#REF!,1),0)</f>
        <v>0</v>
      </c>
      <c r="U32" t="e">
        <f>IF(samples!#REF!=0,"",samples!#REF!)</f>
        <v>#REF!</v>
      </c>
      <c r="V32">
        <f>IFERROR(SEARCH(search!$B$6,samples!#REF!,1),0)</f>
        <v>0</v>
      </c>
      <c r="W32" t="e">
        <f>IF(samples!#REF!=0,"",samples!#REF!)</f>
        <v>#REF!</v>
      </c>
      <c r="X32">
        <f>IFERROR(SEARCH(search!$B$6,samples!#REF!,1),0)</f>
        <v>0</v>
      </c>
      <c r="Y32" t="e">
        <f>IF(samples!#REF!=0,"",samples!#REF!)</f>
        <v>#REF!</v>
      </c>
      <c r="Z32">
        <f>IFERROR(SEARCH(search!$B$6,samples!#REF!,1),0)</f>
        <v>0</v>
      </c>
      <c r="AA32" t="e">
        <f>IF(samples!#REF!=0,"",samples!#REF!)</f>
        <v>#REF!</v>
      </c>
      <c r="AB32">
        <f>IFERROR(SEARCH(search!$B$6,samples!#REF!,1),0)</f>
        <v>0</v>
      </c>
      <c r="AC32" t="e">
        <f>IF(samples!#REF!=0,"",samples!#REF!)</f>
        <v>#REF!</v>
      </c>
      <c r="AD32">
        <f>IFERROR(SEARCH(search!$B$6,samples!#REF!,1),0)</f>
        <v>0</v>
      </c>
    </row>
    <row r="33" spans="1:30">
      <c r="A33">
        <f t="shared" si="0"/>
        <v>0</v>
      </c>
      <c r="B33">
        <f>IF(SUM(D33,F33,H33,J33,L33,N33,P33,R33,T33,V33,X33,Z33,AB33,AD33)&gt;0,SUM($A$2:A33),0)</f>
        <v>0</v>
      </c>
      <c r="C33" t="e">
        <f>samples!#REF!</f>
        <v>#REF!</v>
      </c>
      <c r="D33">
        <f>IFERROR(SEARCH(search!$B$6,samples!#REF!,1),0)</f>
        <v>0</v>
      </c>
      <c r="E33" t="e">
        <f>IF(samples!#REF!=0,"",samples!#REF!)</f>
        <v>#REF!</v>
      </c>
      <c r="F33">
        <f>IFERROR(SEARCH(search!$B$6,samples!#REF!,1),0)</f>
        <v>0</v>
      </c>
      <c r="G33" t="e">
        <f>IF(samples!#REF!=0,"",samples!#REF!)</f>
        <v>#REF!</v>
      </c>
      <c r="H33">
        <f>IFERROR(SEARCH(search!$B$6,samples!#REF!,1),0)</f>
        <v>0</v>
      </c>
      <c r="I33" t="e">
        <f>IF(samples!#REF!=0,"",samples!#REF!)</f>
        <v>#REF!</v>
      </c>
      <c r="J33">
        <f>IFERROR(SEARCH(search!$B$6,samples!#REF!,1),0)</f>
        <v>0</v>
      </c>
      <c r="K33" t="e">
        <f>IF(samples!#REF!=0,"",samples!#REF!)</f>
        <v>#REF!</v>
      </c>
      <c r="L33">
        <f>IFERROR(SEARCH(search!$B$6,samples!#REF!,1),0)</f>
        <v>0</v>
      </c>
      <c r="M33" t="e">
        <f>IF(samples!#REF!=0,"",samples!#REF!)</f>
        <v>#REF!</v>
      </c>
      <c r="N33">
        <f>IFERROR(SEARCH(search!$B$6,samples!#REF!,1),0)</f>
        <v>0</v>
      </c>
      <c r="O33" t="e">
        <f>IF(samples!#REF!=0,"",samples!#REF!)</f>
        <v>#REF!</v>
      </c>
      <c r="P33">
        <f>IFERROR(SEARCH(search!$B$6,samples!#REF!,1),0)</f>
        <v>0</v>
      </c>
      <c r="Q33" t="e">
        <f>IF(samples!#REF!=0,"",samples!#REF!)</f>
        <v>#REF!</v>
      </c>
      <c r="R33">
        <f>IFERROR(SEARCH(search!$B$6,samples!#REF!,1),0)</f>
        <v>0</v>
      </c>
      <c r="S33" t="e">
        <f>IF(samples!#REF!=0,"",samples!#REF!)</f>
        <v>#REF!</v>
      </c>
      <c r="T33">
        <f>IFERROR(SEARCH(search!$B$6,samples!#REF!,1),0)</f>
        <v>0</v>
      </c>
      <c r="U33" t="e">
        <f>IF(samples!#REF!=0,"",samples!#REF!)</f>
        <v>#REF!</v>
      </c>
      <c r="V33">
        <f>IFERROR(SEARCH(search!$B$6,samples!#REF!,1),0)</f>
        <v>0</v>
      </c>
      <c r="W33" t="e">
        <f>IF(samples!#REF!=0,"",samples!#REF!)</f>
        <v>#REF!</v>
      </c>
      <c r="X33">
        <f>IFERROR(SEARCH(search!$B$6,samples!#REF!,1),0)</f>
        <v>0</v>
      </c>
      <c r="Y33" t="e">
        <f>IF(samples!#REF!=0,"",samples!#REF!)</f>
        <v>#REF!</v>
      </c>
      <c r="Z33">
        <f>IFERROR(SEARCH(search!$B$6,samples!#REF!,1),0)</f>
        <v>0</v>
      </c>
      <c r="AA33" t="e">
        <f>IF(samples!#REF!=0,"",samples!#REF!)</f>
        <v>#REF!</v>
      </c>
      <c r="AB33">
        <f>IFERROR(SEARCH(search!$B$6,samples!#REF!,1),0)</f>
        <v>0</v>
      </c>
      <c r="AC33" t="e">
        <f>IF(samples!#REF!=0,"",samples!#REF!)</f>
        <v>#REF!</v>
      </c>
      <c r="AD33">
        <f>IFERROR(SEARCH(search!$B$6,samples!#REF!,1),0)</f>
        <v>0</v>
      </c>
    </row>
    <row r="34" spans="1:30">
      <c r="A34">
        <f t="shared" si="0"/>
        <v>0</v>
      </c>
      <c r="B34">
        <f>IF(SUM(D34,F34,H34,J34,L34,N34,P34,R34,T34,V34,X34,Z34,AB34,AD34)&gt;0,SUM($A$2:A34),0)</f>
        <v>0</v>
      </c>
      <c r="C34" t="e">
        <f>samples!#REF!</f>
        <v>#REF!</v>
      </c>
      <c r="D34">
        <f>IFERROR(SEARCH(search!$B$6,samples!#REF!,1),0)</f>
        <v>0</v>
      </c>
      <c r="E34" t="e">
        <f>IF(samples!#REF!=0,"",samples!#REF!)</f>
        <v>#REF!</v>
      </c>
      <c r="F34">
        <f>IFERROR(SEARCH(search!$B$6,samples!#REF!,1),0)</f>
        <v>0</v>
      </c>
      <c r="G34" t="e">
        <f>IF(samples!#REF!=0,"",samples!#REF!)</f>
        <v>#REF!</v>
      </c>
      <c r="H34">
        <f>IFERROR(SEARCH(search!$B$6,samples!#REF!,1),0)</f>
        <v>0</v>
      </c>
      <c r="I34" t="e">
        <f>IF(samples!#REF!=0,"",samples!#REF!)</f>
        <v>#REF!</v>
      </c>
      <c r="J34">
        <f>IFERROR(SEARCH(search!$B$6,samples!#REF!,1),0)</f>
        <v>0</v>
      </c>
      <c r="K34" t="e">
        <f>IF(samples!#REF!=0,"",samples!#REF!)</f>
        <v>#REF!</v>
      </c>
      <c r="L34">
        <f>IFERROR(SEARCH(search!$B$6,samples!#REF!,1),0)</f>
        <v>0</v>
      </c>
      <c r="M34" t="e">
        <f>IF(samples!#REF!=0,"",samples!#REF!)</f>
        <v>#REF!</v>
      </c>
      <c r="N34">
        <f>IFERROR(SEARCH(search!$B$6,samples!#REF!,1),0)</f>
        <v>0</v>
      </c>
      <c r="O34" t="e">
        <f>IF(samples!#REF!=0,"",samples!#REF!)</f>
        <v>#REF!</v>
      </c>
      <c r="P34">
        <f>IFERROR(SEARCH(search!$B$6,samples!#REF!,1),0)</f>
        <v>0</v>
      </c>
      <c r="Q34" t="e">
        <f>IF(samples!#REF!=0,"",samples!#REF!)</f>
        <v>#REF!</v>
      </c>
      <c r="R34">
        <f>IFERROR(SEARCH(search!$B$6,samples!#REF!,1),0)</f>
        <v>0</v>
      </c>
      <c r="S34" t="e">
        <f>IF(samples!#REF!=0,"",samples!#REF!)</f>
        <v>#REF!</v>
      </c>
      <c r="T34">
        <f>IFERROR(SEARCH(search!$B$6,samples!#REF!,1),0)</f>
        <v>0</v>
      </c>
      <c r="U34" t="e">
        <f>IF(samples!#REF!=0,"",samples!#REF!)</f>
        <v>#REF!</v>
      </c>
      <c r="V34">
        <f>IFERROR(SEARCH(search!$B$6,samples!#REF!,1),0)</f>
        <v>0</v>
      </c>
      <c r="W34" t="e">
        <f>IF(samples!#REF!=0,"",samples!#REF!)</f>
        <v>#REF!</v>
      </c>
      <c r="X34">
        <f>IFERROR(SEARCH(search!$B$6,samples!#REF!,1),0)</f>
        <v>0</v>
      </c>
      <c r="Y34" t="e">
        <f>IF(samples!#REF!=0,"",samples!#REF!)</f>
        <v>#REF!</v>
      </c>
      <c r="Z34">
        <f>IFERROR(SEARCH(search!$B$6,samples!#REF!,1),0)</f>
        <v>0</v>
      </c>
      <c r="AA34" t="e">
        <f>IF(samples!#REF!=0,"",samples!#REF!)</f>
        <v>#REF!</v>
      </c>
      <c r="AB34">
        <f>IFERROR(SEARCH(search!$B$6,samples!#REF!,1),0)</f>
        <v>0</v>
      </c>
      <c r="AC34" t="e">
        <f>IF(samples!#REF!=0,"",samples!#REF!)</f>
        <v>#REF!</v>
      </c>
      <c r="AD34">
        <f>IFERROR(SEARCH(search!$B$6,samples!#REF!,1),0)</f>
        <v>0</v>
      </c>
    </row>
    <row r="35" spans="1:30">
      <c r="A35">
        <f t="shared" si="0"/>
        <v>0</v>
      </c>
      <c r="B35">
        <f>IF(SUM(D35,F35,H35,J35,L35,N35,P35,R35,T35,V35,X35,Z35,AB35,AD35)&gt;0,SUM($A$2:A35),0)</f>
        <v>0</v>
      </c>
      <c r="C35" t="e">
        <f>samples!#REF!</f>
        <v>#REF!</v>
      </c>
      <c r="D35">
        <f>IFERROR(SEARCH(search!$B$6,samples!#REF!,1),0)</f>
        <v>0</v>
      </c>
      <c r="E35" t="e">
        <f>IF(samples!#REF!=0,"",samples!#REF!)</f>
        <v>#REF!</v>
      </c>
      <c r="F35">
        <f>IFERROR(SEARCH(search!$B$6,samples!#REF!,1),0)</f>
        <v>0</v>
      </c>
      <c r="G35" t="e">
        <f>IF(samples!#REF!=0,"",samples!#REF!)</f>
        <v>#REF!</v>
      </c>
      <c r="H35">
        <f>IFERROR(SEARCH(search!$B$6,samples!#REF!,1),0)</f>
        <v>0</v>
      </c>
      <c r="I35" t="e">
        <f>IF(samples!#REF!=0,"",samples!#REF!)</f>
        <v>#REF!</v>
      </c>
      <c r="J35">
        <f>IFERROR(SEARCH(search!$B$6,samples!#REF!,1),0)</f>
        <v>0</v>
      </c>
      <c r="K35" t="e">
        <f>IF(samples!#REF!=0,"",samples!#REF!)</f>
        <v>#REF!</v>
      </c>
      <c r="L35">
        <f>IFERROR(SEARCH(search!$B$6,samples!#REF!,1),0)</f>
        <v>0</v>
      </c>
      <c r="M35" t="e">
        <f>IF(samples!#REF!=0,"",samples!#REF!)</f>
        <v>#REF!</v>
      </c>
      <c r="N35">
        <f>IFERROR(SEARCH(search!$B$6,samples!#REF!,1),0)</f>
        <v>0</v>
      </c>
      <c r="O35" t="e">
        <f>IF(samples!#REF!=0,"",samples!#REF!)</f>
        <v>#REF!</v>
      </c>
      <c r="P35">
        <f>IFERROR(SEARCH(search!$B$6,samples!#REF!,1),0)</f>
        <v>0</v>
      </c>
      <c r="Q35" t="e">
        <f>IF(samples!#REF!=0,"",samples!#REF!)</f>
        <v>#REF!</v>
      </c>
      <c r="R35">
        <f>IFERROR(SEARCH(search!$B$6,samples!#REF!,1),0)</f>
        <v>0</v>
      </c>
      <c r="S35" t="e">
        <f>IF(samples!#REF!=0,"",samples!#REF!)</f>
        <v>#REF!</v>
      </c>
      <c r="T35">
        <f>IFERROR(SEARCH(search!$B$6,samples!#REF!,1),0)</f>
        <v>0</v>
      </c>
      <c r="U35" t="e">
        <f>IF(samples!#REF!=0,"",samples!#REF!)</f>
        <v>#REF!</v>
      </c>
      <c r="V35">
        <f>IFERROR(SEARCH(search!$B$6,samples!#REF!,1),0)</f>
        <v>0</v>
      </c>
      <c r="W35" t="e">
        <f>IF(samples!#REF!=0,"",samples!#REF!)</f>
        <v>#REF!</v>
      </c>
      <c r="X35">
        <f>IFERROR(SEARCH(search!$B$6,samples!#REF!,1),0)</f>
        <v>0</v>
      </c>
      <c r="Y35" t="e">
        <f>IF(samples!#REF!=0,"",samples!#REF!)</f>
        <v>#REF!</v>
      </c>
      <c r="Z35">
        <f>IFERROR(SEARCH(search!$B$6,samples!#REF!,1),0)</f>
        <v>0</v>
      </c>
      <c r="AA35" t="e">
        <f>IF(samples!#REF!=0,"",samples!#REF!)</f>
        <v>#REF!</v>
      </c>
      <c r="AB35">
        <f>IFERROR(SEARCH(search!$B$6,samples!#REF!,1),0)</f>
        <v>0</v>
      </c>
      <c r="AC35" t="e">
        <f>IF(samples!#REF!=0,"",samples!#REF!)</f>
        <v>#REF!</v>
      </c>
      <c r="AD35">
        <f>IFERROR(SEARCH(search!$B$6,samples!#REF!,1),0)</f>
        <v>0</v>
      </c>
    </row>
    <row r="36" spans="1:30">
      <c r="A36">
        <f t="shared" si="0"/>
        <v>0</v>
      </c>
      <c r="B36">
        <f>IF(SUM(D36,F36,H36,J36,L36,N36,P36,R36,T36,V36,X36,Z36,AB36,AD36)&gt;0,SUM($A$2:A36),0)</f>
        <v>0</v>
      </c>
      <c r="C36" t="e">
        <f>samples!#REF!</f>
        <v>#REF!</v>
      </c>
      <c r="D36">
        <f>IFERROR(SEARCH(search!$B$6,samples!#REF!,1),0)</f>
        <v>0</v>
      </c>
      <c r="E36" t="e">
        <f>IF(samples!#REF!=0,"",samples!#REF!)</f>
        <v>#REF!</v>
      </c>
      <c r="F36">
        <f>IFERROR(SEARCH(search!$B$6,samples!#REF!,1),0)</f>
        <v>0</v>
      </c>
      <c r="G36" t="e">
        <f>IF(samples!#REF!=0,"",samples!#REF!)</f>
        <v>#REF!</v>
      </c>
      <c r="H36">
        <f>IFERROR(SEARCH(search!$B$6,samples!#REF!,1),0)</f>
        <v>0</v>
      </c>
      <c r="I36" t="e">
        <f>IF(samples!#REF!=0,"",samples!#REF!)</f>
        <v>#REF!</v>
      </c>
      <c r="J36">
        <f>IFERROR(SEARCH(search!$B$6,samples!#REF!,1),0)</f>
        <v>0</v>
      </c>
      <c r="K36" t="e">
        <f>IF(samples!#REF!=0,"",samples!#REF!)</f>
        <v>#REF!</v>
      </c>
      <c r="L36">
        <f>IFERROR(SEARCH(search!$B$6,samples!#REF!,1),0)</f>
        <v>0</v>
      </c>
      <c r="M36" t="e">
        <f>IF(samples!#REF!=0,"",samples!#REF!)</f>
        <v>#REF!</v>
      </c>
      <c r="N36">
        <f>IFERROR(SEARCH(search!$B$6,samples!#REF!,1),0)</f>
        <v>0</v>
      </c>
      <c r="O36" t="e">
        <f>IF(samples!#REF!=0,"",samples!#REF!)</f>
        <v>#REF!</v>
      </c>
      <c r="P36">
        <f>IFERROR(SEARCH(search!$B$6,samples!#REF!,1),0)</f>
        <v>0</v>
      </c>
      <c r="Q36" t="e">
        <f>IF(samples!#REF!=0,"",samples!#REF!)</f>
        <v>#REF!</v>
      </c>
      <c r="R36">
        <f>IFERROR(SEARCH(search!$B$6,samples!#REF!,1),0)</f>
        <v>0</v>
      </c>
      <c r="S36" t="e">
        <f>IF(samples!#REF!=0,"",samples!#REF!)</f>
        <v>#REF!</v>
      </c>
      <c r="T36">
        <f>IFERROR(SEARCH(search!$B$6,samples!#REF!,1),0)</f>
        <v>0</v>
      </c>
      <c r="U36" t="e">
        <f>IF(samples!#REF!=0,"",samples!#REF!)</f>
        <v>#REF!</v>
      </c>
      <c r="V36">
        <f>IFERROR(SEARCH(search!$B$6,samples!#REF!,1),0)</f>
        <v>0</v>
      </c>
      <c r="W36" t="e">
        <f>IF(samples!#REF!=0,"",samples!#REF!)</f>
        <v>#REF!</v>
      </c>
      <c r="X36">
        <f>IFERROR(SEARCH(search!$B$6,samples!#REF!,1),0)</f>
        <v>0</v>
      </c>
      <c r="Y36" t="e">
        <f>IF(samples!#REF!=0,"",samples!#REF!)</f>
        <v>#REF!</v>
      </c>
      <c r="Z36">
        <f>IFERROR(SEARCH(search!$B$6,samples!#REF!,1),0)</f>
        <v>0</v>
      </c>
      <c r="AA36" t="e">
        <f>IF(samples!#REF!=0,"",samples!#REF!)</f>
        <v>#REF!</v>
      </c>
      <c r="AB36">
        <f>IFERROR(SEARCH(search!$B$6,samples!#REF!,1),0)</f>
        <v>0</v>
      </c>
      <c r="AC36" t="e">
        <f>IF(samples!#REF!=0,"",samples!#REF!)</f>
        <v>#REF!</v>
      </c>
      <c r="AD36">
        <f>IFERROR(SEARCH(search!$B$6,samples!#REF!,1),0)</f>
        <v>0</v>
      </c>
    </row>
    <row r="37" spans="1:30">
      <c r="A37">
        <f t="shared" si="0"/>
        <v>0</v>
      </c>
      <c r="B37">
        <f>IF(SUM(D37,F37,H37,J37,L37,N37,P37,R37,T37,V37,X37,Z37,AB37,AD37)&gt;0,SUM($A$2:A37),0)</f>
        <v>0</v>
      </c>
      <c r="C37" t="e">
        <f>samples!#REF!</f>
        <v>#REF!</v>
      </c>
      <c r="D37">
        <f>IFERROR(SEARCH(search!$B$6,samples!#REF!,1),0)</f>
        <v>0</v>
      </c>
      <c r="E37" t="e">
        <f>IF(samples!#REF!=0,"",samples!#REF!)</f>
        <v>#REF!</v>
      </c>
      <c r="F37">
        <f>IFERROR(SEARCH(search!$B$6,samples!#REF!,1),0)</f>
        <v>0</v>
      </c>
      <c r="G37" t="e">
        <f>IF(samples!#REF!=0,"",samples!#REF!)</f>
        <v>#REF!</v>
      </c>
      <c r="H37">
        <f>IFERROR(SEARCH(search!$B$6,samples!#REF!,1),0)</f>
        <v>0</v>
      </c>
      <c r="I37" t="e">
        <f>IF(samples!#REF!=0,"",samples!#REF!)</f>
        <v>#REF!</v>
      </c>
      <c r="J37">
        <f>IFERROR(SEARCH(search!$B$6,samples!#REF!,1),0)</f>
        <v>0</v>
      </c>
      <c r="K37" t="e">
        <f>IF(samples!#REF!=0,"",samples!#REF!)</f>
        <v>#REF!</v>
      </c>
      <c r="L37">
        <f>IFERROR(SEARCH(search!$B$6,samples!#REF!,1),0)</f>
        <v>0</v>
      </c>
      <c r="M37" t="e">
        <f>IF(samples!#REF!=0,"",samples!#REF!)</f>
        <v>#REF!</v>
      </c>
      <c r="N37">
        <f>IFERROR(SEARCH(search!$B$6,samples!#REF!,1),0)</f>
        <v>0</v>
      </c>
      <c r="O37" t="e">
        <f>IF(samples!#REF!=0,"",samples!#REF!)</f>
        <v>#REF!</v>
      </c>
      <c r="P37">
        <f>IFERROR(SEARCH(search!$B$6,samples!#REF!,1),0)</f>
        <v>0</v>
      </c>
      <c r="Q37" t="e">
        <f>IF(samples!#REF!=0,"",samples!#REF!)</f>
        <v>#REF!</v>
      </c>
      <c r="R37">
        <f>IFERROR(SEARCH(search!$B$6,samples!#REF!,1),0)</f>
        <v>0</v>
      </c>
      <c r="S37" t="e">
        <f>IF(samples!#REF!=0,"",samples!#REF!)</f>
        <v>#REF!</v>
      </c>
      <c r="T37">
        <f>IFERROR(SEARCH(search!$B$6,samples!#REF!,1),0)</f>
        <v>0</v>
      </c>
      <c r="U37" t="e">
        <f>IF(samples!#REF!=0,"",samples!#REF!)</f>
        <v>#REF!</v>
      </c>
      <c r="V37">
        <f>IFERROR(SEARCH(search!$B$6,samples!#REF!,1),0)</f>
        <v>0</v>
      </c>
      <c r="W37" t="e">
        <f>IF(samples!#REF!=0,"",samples!#REF!)</f>
        <v>#REF!</v>
      </c>
      <c r="X37">
        <f>IFERROR(SEARCH(search!$B$6,samples!#REF!,1),0)</f>
        <v>0</v>
      </c>
      <c r="Y37" t="e">
        <f>IF(samples!#REF!=0,"",samples!#REF!)</f>
        <v>#REF!</v>
      </c>
      <c r="Z37">
        <f>IFERROR(SEARCH(search!$B$6,samples!#REF!,1),0)</f>
        <v>0</v>
      </c>
      <c r="AA37" t="e">
        <f>IF(samples!#REF!=0,"",samples!#REF!)</f>
        <v>#REF!</v>
      </c>
      <c r="AB37">
        <f>IFERROR(SEARCH(search!$B$6,samples!#REF!,1),0)</f>
        <v>0</v>
      </c>
      <c r="AC37" t="e">
        <f>IF(samples!#REF!=0,"",samples!#REF!)</f>
        <v>#REF!</v>
      </c>
      <c r="AD37">
        <f>IFERROR(SEARCH(search!$B$6,samples!#REF!,1),0)</f>
        <v>0</v>
      </c>
    </row>
    <row r="38" spans="1:30">
      <c r="A38">
        <f t="shared" si="0"/>
        <v>0</v>
      </c>
      <c r="B38">
        <f>IF(SUM(D38,F38,H38,J38,L38,N38,P38,R38,T38,V38,X38,Z38,AB38,AD38)&gt;0,SUM($A$2:A38),0)</f>
        <v>0</v>
      </c>
      <c r="C38" t="e">
        <f>samples!#REF!</f>
        <v>#REF!</v>
      </c>
      <c r="D38">
        <f>IFERROR(SEARCH(search!$B$6,samples!#REF!,1),0)</f>
        <v>0</v>
      </c>
      <c r="E38" t="e">
        <f>IF(samples!#REF!=0,"",samples!#REF!)</f>
        <v>#REF!</v>
      </c>
      <c r="F38">
        <f>IFERROR(SEARCH(search!$B$6,samples!#REF!,1),0)</f>
        <v>0</v>
      </c>
      <c r="G38" t="e">
        <f>IF(samples!#REF!=0,"",samples!#REF!)</f>
        <v>#REF!</v>
      </c>
      <c r="H38">
        <f>IFERROR(SEARCH(search!$B$6,samples!#REF!,1),0)</f>
        <v>0</v>
      </c>
      <c r="I38" t="e">
        <f>IF(samples!#REF!=0,"",samples!#REF!)</f>
        <v>#REF!</v>
      </c>
      <c r="J38">
        <f>IFERROR(SEARCH(search!$B$6,samples!#REF!,1),0)</f>
        <v>0</v>
      </c>
      <c r="K38" t="e">
        <f>IF(samples!#REF!=0,"",samples!#REF!)</f>
        <v>#REF!</v>
      </c>
      <c r="L38">
        <f>IFERROR(SEARCH(search!$B$6,samples!#REF!,1),0)</f>
        <v>0</v>
      </c>
      <c r="M38" t="e">
        <f>IF(samples!#REF!=0,"",samples!#REF!)</f>
        <v>#REF!</v>
      </c>
      <c r="N38">
        <f>IFERROR(SEARCH(search!$B$6,samples!#REF!,1),0)</f>
        <v>0</v>
      </c>
      <c r="O38" t="e">
        <f>IF(samples!#REF!=0,"",samples!#REF!)</f>
        <v>#REF!</v>
      </c>
      <c r="P38">
        <f>IFERROR(SEARCH(search!$B$6,samples!#REF!,1),0)</f>
        <v>0</v>
      </c>
      <c r="Q38" t="e">
        <f>IF(samples!#REF!=0,"",samples!#REF!)</f>
        <v>#REF!</v>
      </c>
      <c r="R38">
        <f>IFERROR(SEARCH(search!$B$6,samples!#REF!,1),0)</f>
        <v>0</v>
      </c>
      <c r="S38" t="e">
        <f>IF(samples!#REF!=0,"",samples!#REF!)</f>
        <v>#REF!</v>
      </c>
      <c r="T38">
        <f>IFERROR(SEARCH(search!$B$6,samples!#REF!,1),0)</f>
        <v>0</v>
      </c>
      <c r="U38" t="e">
        <f>IF(samples!#REF!=0,"",samples!#REF!)</f>
        <v>#REF!</v>
      </c>
      <c r="V38">
        <f>IFERROR(SEARCH(search!$B$6,samples!#REF!,1),0)</f>
        <v>0</v>
      </c>
      <c r="W38" t="e">
        <f>IF(samples!#REF!=0,"",samples!#REF!)</f>
        <v>#REF!</v>
      </c>
      <c r="X38">
        <f>IFERROR(SEARCH(search!$B$6,samples!#REF!,1),0)</f>
        <v>0</v>
      </c>
      <c r="Y38" t="e">
        <f>IF(samples!#REF!=0,"",samples!#REF!)</f>
        <v>#REF!</v>
      </c>
      <c r="Z38">
        <f>IFERROR(SEARCH(search!$B$6,samples!#REF!,1),0)</f>
        <v>0</v>
      </c>
      <c r="AA38" t="e">
        <f>IF(samples!#REF!=0,"",samples!#REF!)</f>
        <v>#REF!</v>
      </c>
      <c r="AB38">
        <f>IFERROR(SEARCH(search!$B$6,samples!#REF!,1),0)</f>
        <v>0</v>
      </c>
      <c r="AC38" t="e">
        <f>IF(samples!#REF!=0,"",samples!#REF!)</f>
        <v>#REF!</v>
      </c>
      <c r="AD38">
        <f>IFERROR(SEARCH(search!$B$6,samples!#REF!,1),0)</f>
        <v>0</v>
      </c>
    </row>
    <row r="39" spans="1:30">
      <c r="A39">
        <f t="shared" si="0"/>
        <v>0</v>
      </c>
      <c r="B39">
        <f>IF(SUM(D39,F39,H39,J39,L39,N39,P39,R39,T39,V39,X39,Z39,AB39,AD39)&gt;0,SUM($A$2:A39),0)</f>
        <v>0</v>
      </c>
      <c r="C39" t="e">
        <f>samples!#REF!</f>
        <v>#REF!</v>
      </c>
      <c r="D39">
        <f>IFERROR(SEARCH(search!$B$6,samples!#REF!,1),0)</f>
        <v>0</v>
      </c>
      <c r="E39" t="e">
        <f>IF(samples!#REF!=0,"",samples!#REF!)</f>
        <v>#REF!</v>
      </c>
      <c r="F39">
        <f>IFERROR(SEARCH(search!$B$6,samples!#REF!,1),0)</f>
        <v>0</v>
      </c>
      <c r="G39" t="e">
        <f>IF(samples!#REF!=0,"",samples!#REF!)</f>
        <v>#REF!</v>
      </c>
      <c r="H39">
        <f>IFERROR(SEARCH(search!$B$6,samples!#REF!,1),0)</f>
        <v>0</v>
      </c>
      <c r="I39" t="e">
        <f>IF(samples!#REF!=0,"",samples!#REF!)</f>
        <v>#REF!</v>
      </c>
      <c r="J39">
        <f>IFERROR(SEARCH(search!$B$6,samples!#REF!,1),0)</f>
        <v>0</v>
      </c>
      <c r="K39" t="e">
        <f>IF(samples!#REF!=0,"",samples!#REF!)</f>
        <v>#REF!</v>
      </c>
      <c r="L39">
        <f>IFERROR(SEARCH(search!$B$6,samples!#REF!,1),0)</f>
        <v>0</v>
      </c>
      <c r="M39" t="e">
        <f>IF(samples!#REF!=0,"",samples!#REF!)</f>
        <v>#REF!</v>
      </c>
      <c r="N39">
        <f>IFERROR(SEARCH(search!$B$6,samples!#REF!,1),0)</f>
        <v>0</v>
      </c>
      <c r="O39" t="e">
        <f>IF(samples!#REF!=0,"",samples!#REF!)</f>
        <v>#REF!</v>
      </c>
      <c r="P39">
        <f>IFERROR(SEARCH(search!$B$6,samples!#REF!,1),0)</f>
        <v>0</v>
      </c>
      <c r="Q39" t="e">
        <f>IF(samples!#REF!=0,"",samples!#REF!)</f>
        <v>#REF!</v>
      </c>
      <c r="R39">
        <f>IFERROR(SEARCH(search!$B$6,samples!#REF!,1),0)</f>
        <v>0</v>
      </c>
      <c r="S39" t="e">
        <f>IF(samples!#REF!=0,"",samples!#REF!)</f>
        <v>#REF!</v>
      </c>
      <c r="T39">
        <f>IFERROR(SEARCH(search!$B$6,samples!#REF!,1),0)</f>
        <v>0</v>
      </c>
      <c r="U39" t="e">
        <f>IF(samples!#REF!=0,"",samples!#REF!)</f>
        <v>#REF!</v>
      </c>
      <c r="V39">
        <f>IFERROR(SEARCH(search!$B$6,samples!#REF!,1),0)</f>
        <v>0</v>
      </c>
      <c r="W39" t="e">
        <f>IF(samples!#REF!=0,"",samples!#REF!)</f>
        <v>#REF!</v>
      </c>
      <c r="X39">
        <f>IFERROR(SEARCH(search!$B$6,samples!#REF!,1),0)</f>
        <v>0</v>
      </c>
      <c r="Y39" t="e">
        <f>IF(samples!#REF!=0,"",samples!#REF!)</f>
        <v>#REF!</v>
      </c>
      <c r="Z39">
        <f>IFERROR(SEARCH(search!$B$6,samples!#REF!,1),0)</f>
        <v>0</v>
      </c>
      <c r="AA39" t="e">
        <f>IF(samples!#REF!=0,"",samples!#REF!)</f>
        <v>#REF!</v>
      </c>
      <c r="AB39">
        <f>IFERROR(SEARCH(search!$B$6,samples!#REF!,1),0)</f>
        <v>0</v>
      </c>
      <c r="AC39" t="e">
        <f>IF(samples!#REF!=0,"",samples!#REF!)</f>
        <v>#REF!</v>
      </c>
      <c r="AD39">
        <f>IFERROR(SEARCH(search!$B$6,samples!#REF!,1),0)</f>
        <v>0</v>
      </c>
    </row>
    <row r="40" spans="1:30">
      <c r="A40">
        <f t="shared" si="0"/>
        <v>0</v>
      </c>
      <c r="B40">
        <f>IF(SUM(D40,F40,H40,J40,L40,N40,P40,R40,T40,V40,X40,Z40,AB40,AD40)&gt;0,SUM($A$2:A40),0)</f>
        <v>0</v>
      </c>
      <c r="C40" t="e">
        <f>samples!#REF!</f>
        <v>#REF!</v>
      </c>
      <c r="D40">
        <f>IFERROR(SEARCH(search!$B$6,samples!#REF!,1),0)</f>
        <v>0</v>
      </c>
      <c r="E40" t="e">
        <f>IF(samples!#REF!=0,"",samples!#REF!)</f>
        <v>#REF!</v>
      </c>
      <c r="F40">
        <f>IFERROR(SEARCH(search!$B$6,samples!#REF!,1),0)</f>
        <v>0</v>
      </c>
      <c r="G40" t="e">
        <f>IF(samples!#REF!=0,"",samples!#REF!)</f>
        <v>#REF!</v>
      </c>
      <c r="H40">
        <f>IFERROR(SEARCH(search!$B$6,samples!#REF!,1),0)</f>
        <v>0</v>
      </c>
      <c r="I40" t="e">
        <f>IF(samples!#REF!=0,"",samples!#REF!)</f>
        <v>#REF!</v>
      </c>
      <c r="J40">
        <f>IFERROR(SEARCH(search!$B$6,samples!#REF!,1),0)</f>
        <v>0</v>
      </c>
      <c r="K40" t="e">
        <f>IF(samples!#REF!=0,"",samples!#REF!)</f>
        <v>#REF!</v>
      </c>
      <c r="L40">
        <f>IFERROR(SEARCH(search!$B$6,samples!#REF!,1),0)</f>
        <v>0</v>
      </c>
      <c r="M40" t="e">
        <f>IF(samples!#REF!=0,"",samples!#REF!)</f>
        <v>#REF!</v>
      </c>
      <c r="N40">
        <f>IFERROR(SEARCH(search!$B$6,samples!#REF!,1),0)</f>
        <v>0</v>
      </c>
      <c r="O40" t="e">
        <f>IF(samples!#REF!=0,"",samples!#REF!)</f>
        <v>#REF!</v>
      </c>
      <c r="P40">
        <f>IFERROR(SEARCH(search!$B$6,samples!#REF!,1),0)</f>
        <v>0</v>
      </c>
      <c r="Q40" t="e">
        <f>IF(samples!#REF!=0,"",samples!#REF!)</f>
        <v>#REF!</v>
      </c>
      <c r="R40">
        <f>IFERROR(SEARCH(search!$B$6,samples!#REF!,1),0)</f>
        <v>0</v>
      </c>
      <c r="S40" t="e">
        <f>IF(samples!#REF!=0,"",samples!#REF!)</f>
        <v>#REF!</v>
      </c>
      <c r="T40">
        <f>IFERROR(SEARCH(search!$B$6,samples!#REF!,1),0)</f>
        <v>0</v>
      </c>
      <c r="U40" t="e">
        <f>IF(samples!#REF!=0,"",samples!#REF!)</f>
        <v>#REF!</v>
      </c>
      <c r="V40">
        <f>IFERROR(SEARCH(search!$B$6,samples!#REF!,1),0)</f>
        <v>0</v>
      </c>
      <c r="W40" t="e">
        <f>IF(samples!#REF!=0,"",samples!#REF!)</f>
        <v>#REF!</v>
      </c>
      <c r="X40">
        <f>IFERROR(SEARCH(search!$B$6,samples!#REF!,1),0)</f>
        <v>0</v>
      </c>
      <c r="Y40" t="e">
        <f>IF(samples!#REF!=0,"",samples!#REF!)</f>
        <v>#REF!</v>
      </c>
      <c r="Z40">
        <f>IFERROR(SEARCH(search!$B$6,samples!#REF!,1),0)</f>
        <v>0</v>
      </c>
      <c r="AA40" t="e">
        <f>IF(samples!#REF!=0,"",samples!#REF!)</f>
        <v>#REF!</v>
      </c>
      <c r="AB40">
        <f>IFERROR(SEARCH(search!$B$6,samples!#REF!,1),0)</f>
        <v>0</v>
      </c>
      <c r="AC40" t="e">
        <f>IF(samples!#REF!=0,"",samples!#REF!)</f>
        <v>#REF!</v>
      </c>
      <c r="AD40">
        <f>IFERROR(SEARCH(search!$B$6,samples!#REF!,1),0)</f>
        <v>0</v>
      </c>
    </row>
    <row r="41" spans="1:30">
      <c r="A41">
        <f t="shared" si="0"/>
        <v>0</v>
      </c>
      <c r="B41">
        <f>IF(SUM(D41,F41,H41,J41,L41,N41,P41,R41,T41,V41,X41,Z41,AB41,AD41)&gt;0,SUM($A$2:A41),0)</f>
        <v>0</v>
      </c>
      <c r="C41" t="e">
        <f>samples!#REF!</f>
        <v>#REF!</v>
      </c>
      <c r="D41">
        <f>IFERROR(SEARCH(search!$B$6,samples!#REF!,1),0)</f>
        <v>0</v>
      </c>
      <c r="E41" t="e">
        <f>IF(samples!#REF!=0,"",samples!#REF!)</f>
        <v>#REF!</v>
      </c>
      <c r="F41">
        <f>IFERROR(SEARCH(search!$B$6,samples!#REF!,1),0)</f>
        <v>0</v>
      </c>
      <c r="G41" t="e">
        <f>IF(samples!#REF!=0,"",samples!#REF!)</f>
        <v>#REF!</v>
      </c>
      <c r="H41">
        <f>IFERROR(SEARCH(search!$B$6,samples!#REF!,1),0)</f>
        <v>0</v>
      </c>
      <c r="I41" t="e">
        <f>IF(samples!#REF!=0,"",samples!#REF!)</f>
        <v>#REF!</v>
      </c>
      <c r="J41">
        <f>IFERROR(SEARCH(search!$B$6,samples!#REF!,1),0)</f>
        <v>0</v>
      </c>
      <c r="K41" t="e">
        <f>IF(samples!#REF!=0,"",samples!#REF!)</f>
        <v>#REF!</v>
      </c>
      <c r="L41">
        <f>IFERROR(SEARCH(search!$B$6,samples!#REF!,1),0)</f>
        <v>0</v>
      </c>
      <c r="M41" t="e">
        <f>IF(samples!#REF!=0,"",samples!#REF!)</f>
        <v>#REF!</v>
      </c>
      <c r="N41">
        <f>IFERROR(SEARCH(search!$B$6,samples!#REF!,1),0)</f>
        <v>0</v>
      </c>
      <c r="O41" t="e">
        <f>IF(samples!#REF!=0,"",samples!#REF!)</f>
        <v>#REF!</v>
      </c>
      <c r="P41">
        <f>IFERROR(SEARCH(search!$B$6,samples!#REF!,1),0)</f>
        <v>0</v>
      </c>
      <c r="Q41" t="e">
        <f>IF(samples!#REF!=0,"",samples!#REF!)</f>
        <v>#REF!</v>
      </c>
      <c r="R41">
        <f>IFERROR(SEARCH(search!$B$6,samples!#REF!,1),0)</f>
        <v>0</v>
      </c>
      <c r="S41" t="e">
        <f>IF(samples!#REF!=0,"",samples!#REF!)</f>
        <v>#REF!</v>
      </c>
      <c r="T41">
        <f>IFERROR(SEARCH(search!$B$6,samples!#REF!,1),0)</f>
        <v>0</v>
      </c>
      <c r="U41" t="e">
        <f>IF(samples!#REF!=0,"",samples!#REF!)</f>
        <v>#REF!</v>
      </c>
      <c r="V41">
        <f>IFERROR(SEARCH(search!$B$6,samples!#REF!,1),0)</f>
        <v>0</v>
      </c>
      <c r="W41" t="e">
        <f>IF(samples!#REF!=0,"",samples!#REF!)</f>
        <v>#REF!</v>
      </c>
      <c r="X41">
        <f>IFERROR(SEARCH(search!$B$6,samples!#REF!,1),0)</f>
        <v>0</v>
      </c>
      <c r="Y41" t="e">
        <f>IF(samples!#REF!=0,"",samples!#REF!)</f>
        <v>#REF!</v>
      </c>
      <c r="Z41">
        <f>IFERROR(SEARCH(search!$B$6,samples!#REF!,1),0)</f>
        <v>0</v>
      </c>
      <c r="AA41" t="e">
        <f>IF(samples!#REF!=0,"",samples!#REF!)</f>
        <v>#REF!</v>
      </c>
      <c r="AB41">
        <f>IFERROR(SEARCH(search!$B$6,samples!#REF!,1),0)</f>
        <v>0</v>
      </c>
      <c r="AC41" t="e">
        <f>IF(samples!#REF!=0,"",samples!#REF!)</f>
        <v>#REF!</v>
      </c>
      <c r="AD41">
        <f>IFERROR(SEARCH(search!$B$6,samples!#REF!,1),0)</f>
        <v>0</v>
      </c>
    </row>
    <row r="42" spans="1:30">
      <c r="A42">
        <f t="shared" si="0"/>
        <v>0</v>
      </c>
      <c r="B42">
        <f>IF(SUM(D42,F42,H42,J42,L42,N42,P42,R42,T42,V42,X42,Z42,AB42,AD42)&gt;0,SUM($A$2:A42),0)</f>
        <v>0</v>
      </c>
      <c r="C42" t="e">
        <f>samples!#REF!</f>
        <v>#REF!</v>
      </c>
      <c r="D42">
        <f>IFERROR(SEARCH(search!$B$6,samples!#REF!,1),0)</f>
        <v>0</v>
      </c>
      <c r="E42" t="e">
        <f>IF(samples!#REF!=0,"",samples!#REF!)</f>
        <v>#REF!</v>
      </c>
      <c r="F42">
        <f>IFERROR(SEARCH(search!$B$6,samples!#REF!,1),0)</f>
        <v>0</v>
      </c>
      <c r="G42" t="e">
        <f>IF(samples!#REF!=0,"",samples!#REF!)</f>
        <v>#REF!</v>
      </c>
      <c r="H42">
        <f>IFERROR(SEARCH(search!$B$6,samples!#REF!,1),0)</f>
        <v>0</v>
      </c>
      <c r="I42" t="e">
        <f>IF(samples!#REF!=0,"",samples!#REF!)</f>
        <v>#REF!</v>
      </c>
      <c r="J42">
        <f>IFERROR(SEARCH(search!$B$6,samples!#REF!,1),0)</f>
        <v>0</v>
      </c>
      <c r="K42" t="e">
        <f>IF(samples!#REF!=0,"",samples!#REF!)</f>
        <v>#REF!</v>
      </c>
      <c r="L42">
        <f>IFERROR(SEARCH(search!$B$6,samples!#REF!,1),0)</f>
        <v>0</v>
      </c>
      <c r="M42" t="e">
        <f>IF(samples!#REF!=0,"",samples!#REF!)</f>
        <v>#REF!</v>
      </c>
      <c r="N42">
        <f>IFERROR(SEARCH(search!$B$6,samples!#REF!,1),0)</f>
        <v>0</v>
      </c>
      <c r="O42" t="e">
        <f>IF(samples!#REF!=0,"",samples!#REF!)</f>
        <v>#REF!</v>
      </c>
      <c r="P42">
        <f>IFERROR(SEARCH(search!$B$6,samples!#REF!,1),0)</f>
        <v>0</v>
      </c>
      <c r="Q42" t="e">
        <f>IF(samples!#REF!=0,"",samples!#REF!)</f>
        <v>#REF!</v>
      </c>
      <c r="R42">
        <f>IFERROR(SEARCH(search!$B$6,samples!#REF!,1),0)</f>
        <v>0</v>
      </c>
      <c r="S42" t="e">
        <f>IF(samples!#REF!=0,"",samples!#REF!)</f>
        <v>#REF!</v>
      </c>
      <c r="T42">
        <f>IFERROR(SEARCH(search!$B$6,samples!#REF!,1),0)</f>
        <v>0</v>
      </c>
      <c r="U42" t="e">
        <f>IF(samples!#REF!=0,"",samples!#REF!)</f>
        <v>#REF!</v>
      </c>
      <c r="V42">
        <f>IFERROR(SEARCH(search!$B$6,samples!#REF!,1),0)</f>
        <v>0</v>
      </c>
      <c r="W42" t="e">
        <f>IF(samples!#REF!=0,"",samples!#REF!)</f>
        <v>#REF!</v>
      </c>
      <c r="X42">
        <f>IFERROR(SEARCH(search!$B$6,samples!#REF!,1),0)</f>
        <v>0</v>
      </c>
      <c r="Y42" t="e">
        <f>IF(samples!#REF!=0,"",samples!#REF!)</f>
        <v>#REF!</v>
      </c>
      <c r="Z42">
        <f>IFERROR(SEARCH(search!$B$6,samples!#REF!,1),0)</f>
        <v>0</v>
      </c>
      <c r="AA42" t="e">
        <f>IF(samples!#REF!=0,"",samples!#REF!)</f>
        <v>#REF!</v>
      </c>
      <c r="AB42">
        <f>IFERROR(SEARCH(search!$B$6,samples!#REF!,1),0)</f>
        <v>0</v>
      </c>
      <c r="AC42" t="e">
        <f>IF(samples!#REF!=0,"",samples!#REF!)</f>
        <v>#REF!</v>
      </c>
      <c r="AD42">
        <f>IFERROR(SEARCH(search!$B$6,samples!#REF!,1),0)</f>
        <v>0</v>
      </c>
    </row>
    <row r="43" spans="1:30">
      <c r="A43">
        <f t="shared" si="0"/>
        <v>0</v>
      </c>
      <c r="B43">
        <f>IF(SUM(D43,F43,H43,J43,L43,N43,P43,R43,T43,V43,X43,Z43,AB43,AD43)&gt;0,SUM($A$2:A43),0)</f>
        <v>0</v>
      </c>
      <c r="C43" t="e">
        <f>samples!#REF!</f>
        <v>#REF!</v>
      </c>
      <c r="D43">
        <f>IFERROR(SEARCH(search!$B$6,samples!#REF!,1),0)</f>
        <v>0</v>
      </c>
      <c r="E43" t="e">
        <f>IF(samples!#REF!=0,"",samples!#REF!)</f>
        <v>#REF!</v>
      </c>
      <c r="F43">
        <f>IFERROR(SEARCH(search!$B$6,samples!#REF!,1),0)</f>
        <v>0</v>
      </c>
      <c r="G43" t="e">
        <f>IF(samples!#REF!=0,"",samples!#REF!)</f>
        <v>#REF!</v>
      </c>
      <c r="H43">
        <f>IFERROR(SEARCH(search!$B$6,samples!#REF!,1),0)</f>
        <v>0</v>
      </c>
      <c r="I43" t="e">
        <f>IF(samples!#REF!=0,"",samples!#REF!)</f>
        <v>#REF!</v>
      </c>
      <c r="J43">
        <f>IFERROR(SEARCH(search!$B$6,samples!#REF!,1),0)</f>
        <v>0</v>
      </c>
      <c r="K43" t="e">
        <f>IF(samples!#REF!=0,"",samples!#REF!)</f>
        <v>#REF!</v>
      </c>
      <c r="L43">
        <f>IFERROR(SEARCH(search!$B$6,samples!#REF!,1),0)</f>
        <v>0</v>
      </c>
      <c r="M43" t="e">
        <f>IF(samples!#REF!=0,"",samples!#REF!)</f>
        <v>#REF!</v>
      </c>
      <c r="N43">
        <f>IFERROR(SEARCH(search!$B$6,samples!#REF!,1),0)</f>
        <v>0</v>
      </c>
      <c r="O43" t="e">
        <f>IF(samples!#REF!=0,"",samples!#REF!)</f>
        <v>#REF!</v>
      </c>
      <c r="P43">
        <f>IFERROR(SEARCH(search!$B$6,samples!#REF!,1),0)</f>
        <v>0</v>
      </c>
      <c r="Q43" t="e">
        <f>IF(samples!#REF!=0,"",samples!#REF!)</f>
        <v>#REF!</v>
      </c>
      <c r="R43">
        <f>IFERROR(SEARCH(search!$B$6,samples!#REF!,1),0)</f>
        <v>0</v>
      </c>
      <c r="S43" t="e">
        <f>IF(samples!#REF!=0,"",samples!#REF!)</f>
        <v>#REF!</v>
      </c>
      <c r="T43">
        <f>IFERROR(SEARCH(search!$B$6,samples!#REF!,1),0)</f>
        <v>0</v>
      </c>
      <c r="U43" t="e">
        <f>IF(samples!#REF!=0,"",samples!#REF!)</f>
        <v>#REF!</v>
      </c>
      <c r="V43">
        <f>IFERROR(SEARCH(search!$B$6,samples!#REF!,1),0)</f>
        <v>0</v>
      </c>
      <c r="W43" t="e">
        <f>IF(samples!#REF!=0,"",samples!#REF!)</f>
        <v>#REF!</v>
      </c>
      <c r="X43">
        <f>IFERROR(SEARCH(search!$B$6,samples!#REF!,1),0)</f>
        <v>0</v>
      </c>
      <c r="Y43" t="e">
        <f>IF(samples!#REF!=0,"",samples!#REF!)</f>
        <v>#REF!</v>
      </c>
      <c r="Z43">
        <f>IFERROR(SEARCH(search!$B$6,samples!#REF!,1),0)</f>
        <v>0</v>
      </c>
      <c r="AA43" t="e">
        <f>IF(samples!#REF!=0,"",samples!#REF!)</f>
        <v>#REF!</v>
      </c>
      <c r="AB43">
        <f>IFERROR(SEARCH(search!$B$6,samples!#REF!,1),0)</f>
        <v>0</v>
      </c>
      <c r="AC43" t="e">
        <f>IF(samples!#REF!=0,"",samples!#REF!)</f>
        <v>#REF!</v>
      </c>
      <c r="AD43">
        <f>IFERROR(SEARCH(search!$B$6,samples!#REF!,1),0)</f>
        <v>0</v>
      </c>
    </row>
    <row r="44" spans="1:30">
      <c r="A44">
        <f t="shared" si="0"/>
        <v>0</v>
      </c>
      <c r="B44">
        <f>IF(SUM(D44,F44,H44,J44,L44,N44,P44,R44,T44,V44,X44,Z44,AB44,AD44)&gt;0,SUM($A$2:A44),0)</f>
        <v>0</v>
      </c>
      <c r="C44" t="e">
        <f>samples!#REF!</f>
        <v>#REF!</v>
      </c>
      <c r="D44">
        <f>IFERROR(SEARCH(search!$B$6,samples!#REF!,1),0)</f>
        <v>0</v>
      </c>
      <c r="E44" t="e">
        <f>IF(samples!#REF!=0,"",samples!#REF!)</f>
        <v>#REF!</v>
      </c>
      <c r="F44">
        <f>IFERROR(SEARCH(search!$B$6,samples!#REF!,1),0)</f>
        <v>0</v>
      </c>
      <c r="G44" t="e">
        <f>IF(samples!#REF!=0,"",samples!#REF!)</f>
        <v>#REF!</v>
      </c>
      <c r="H44">
        <f>IFERROR(SEARCH(search!$B$6,samples!#REF!,1),0)</f>
        <v>0</v>
      </c>
      <c r="I44" t="e">
        <f>IF(samples!#REF!=0,"",samples!#REF!)</f>
        <v>#REF!</v>
      </c>
      <c r="J44">
        <f>IFERROR(SEARCH(search!$B$6,samples!#REF!,1),0)</f>
        <v>0</v>
      </c>
      <c r="K44" t="e">
        <f>IF(samples!#REF!=0,"",samples!#REF!)</f>
        <v>#REF!</v>
      </c>
      <c r="L44">
        <f>IFERROR(SEARCH(search!$B$6,samples!#REF!,1),0)</f>
        <v>0</v>
      </c>
      <c r="M44" t="e">
        <f>IF(samples!#REF!=0,"",samples!#REF!)</f>
        <v>#REF!</v>
      </c>
      <c r="N44">
        <f>IFERROR(SEARCH(search!$B$6,samples!#REF!,1),0)</f>
        <v>0</v>
      </c>
      <c r="O44" t="e">
        <f>IF(samples!#REF!=0,"",samples!#REF!)</f>
        <v>#REF!</v>
      </c>
      <c r="P44">
        <f>IFERROR(SEARCH(search!$B$6,samples!#REF!,1),0)</f>
        <v>0</v>
      </c>
      <c r="Q44" t="e">
        <f>IF(samples!#REF!=0,"",samples!#REF!)</f>
        <v>#REF!</v>
      </c>
      <c r="R44">
        <f>IFERROR(SEARCH(search!$B$6,samples!#REF!,1),0)</f>
        <v>0</v>
      </c>
      <c r="S44" t="e">
        <f>IF(samples!#REF!=0,"",samples!#REF!)</f>
        <v>#REF!</v>
      </c>
      <c r="T44">
        <f>IFERROR(SEARCH(search!$B$6,samples!#REF!,1),0)</f>
        <v>0</v>
      </c>
      <c r="U44" t="e">
        <f>IF(samples!#REF!=0,"",samples!#REF!)</f>
        <v>#REF!</v>
      </c>
      <c r="V44">
        <f>IFERROR(SEARCH(search!$B$6,samples!#REF!,1),0)</f>
        <v>0</v>
      </c>
      <c r="W44" t="e">
        <f>IF(samples!#REF!=0,"",samples!#REF!)</f>
        <v>#REF!</v>
      </c>
      <c r="X44">
        <f>IFERROR(SEARCH(search!$B$6,samples!#REF!,1),0)</f>
        <v>0</v>
      </c>
      <c r="Y44" t="e">
        <f>IF(samples!#REF!=0,"",samples!#REF!)</f>
        <v>#REF!</v>
      </c>
      <c r="Z44">
        <f>IFERROR(SEARCH(search!$B$6,samples!#REF!,1),0)</f>
        <v>0</v>
      </c>
      <c r="AA44" t="e">
        <f>IF(samples!#REF!=0,"",samples!#REF!)</f>
        <v>#REF!</v>
      </c>
      <c r="AB44">
        <f>IFERROR(SEARCH(search!$B$6,samples!#REF!,1),0)</f>
        <v>0</v>
      </c>
      <c r="AC44" t="e">
        <f>IF(samples!#REF!=0,"",samples!#REF!)</f>
        <v>#REF!</v>
      </c>
      <c r="AD44">
        <f>IFERROR(SEARCH(search!$B$6,samples!#REF!,1),0)</f>
        <v>0</v>
      </c>
    </row>
    <row r="45" spans="1:30">
      <c r="A45">
        <f t="shared" si="0"/>
        <v>0</v>
      </c>
      <c r="B45">
        <f>IF(SUM(D45,F45,H45,J45,L45,N45,P45,R45,T45,V45,X45,Z45,AB45,AD45)&gt;0,SUM($A$2:A45),0)</f>
        <v>0</v>
      </c>
      <c r="C45" t="e">
        <f>samples!#REF!</f>
        <v>#REF!</v>
      </c>
      <c r="D45">
        <f>IFERROR(SEARCH(search!$B$6,samples!#REF!,1),0)</f>
        <v>0</v>
      </c>
      <c r="E45" t="e">
        <f>IF(samples!#REF!=0,"",samples!#REF!)</f>
        <v>#REF!</v>
      </c>
      <c r="F45">
        <f>IFERROR(SEARCH(search!$B$6,samples!#REF!,1),0)</f>
        <v>0</v>
      </c>
      <c r="G45" t="e">
        <f>IF(samples!#REF!=0,"",samples!#REF!)</f>
        <v>#REF!</v>
      </c>
      <c r="H45">
        <f>IFERROR(SEARCH(search!$B$6,samples!#REF!,1),0)</f>
        <v>0</v>
      </c>
      <c r="I45" t="e">
        <f>IF(samples!#REF!=0,"",samples!#REF!)</f>
        <v>#REF!</v>
      </c>
      <c r="J45">
        <f>IFERROR(SEARCH(search!$B$6,samples!#REF!,1),0)</f>
        <v>0</v>
      </c>
      <c r="K45" t="e">
        <f>IF(samples!#REF!=0,"",samples!#REF!)</f>
        <v>#REF!</v>
      </c>
      <c r="L45">
        <f>IFERROR(SEARCH(search!$B$6,samples!#REF!,1),0)</f>
        <v>0</v>
      </c>
      <c r="M45" t="e">
        <f>IF(samples!#REF!=0,"",samples!#REF!)</f>
        <v>#REF!</v>
      </c>
      <c r="N45">
        <f>IFERROR(SEARCH(search!$B$6,samples!#REF!,1),0)</f>
        <v>0</v>
      </c>
      <c r="O45" t="e">
        <f>IF(samples!#REF!=0,"",samples!#REF!)</f>
        <v>#REF!</v>
      </c>
      <c r="P45">
        <f>IFERROR(SEARCH(search!$B$6,samples!#REF!,1),0)</f>
        <v>0</v>
      </c>
      <c r="Q45" t="e">
        <f>IF(samples!#REF!=0,"",samples!#REF!)</f>
        <v>#REF!</v>
      </c>
      <c r="R45">
        <f>IFERROR(SEARCH(search!$B$6,samples!#REF!,1),0)</f>
        <v>0</v>
      </c>
      <c r="S45" t="e">
        <f>IF(samples!#REF!=0,"",samples!#REF!)</f>
        <v>#REF!</v>
      </c>
      <c r="T45">
        <f>IFERROR(SEARCH(search!$B$6,samples!#REF!,1),0)</f>
        <v>0</v>
      </c>
      <c r="U45" t="e">
        <f>IF(samples!#REF!=0,"",samples!#REF!)</f>
        <v>#REF!</v>
      </c>
      <c r="V45">
        <f>IFERROR(SEARCH(search!$B$6,samples!#REF!,1),0)</f>
        <v>0</v>
      </c>
      <c r="W45" t="e">
        <f>IF(samples!#REF!=0,"",samples!#REF!)</f>
        <v>#REF!</v>
      </c>
      <c r="X45">
        <f>IFERROR(SEARCH(search!$B$6,samples!#REF!,1),0)</f>
        <v>0</v>
      </c>
      <c r="Y45" t="e">
        <f>IF(samples!#REF!=0,"",samples!#REF!)</f>
        <v>#REF!</v>
      </c>
      <c r="Z45">
        <f>IFERROR(SEARCH(search!$B$6,samples!#REF!,1),0)</f>
        <v>0</v>
      </c>
      <c r="AA45" t="e">
        <f>IF(samples!#REF!=0,"",samples!#REF!)</f>
        <v>#REF!</v>
      </c>
      <c r="AB45">
        <f>IFERROR(SEARCH(search!$B$6,samples!#REF!,1),0)</f>
        <v>0</v>
      </c>
      <c r="AC45" t="e">
        <f>IF(samples!#REF!=0,"",samples!#REF!)</f>
        <v>#REF!</v>
      </c>
      <c r="AD45">
        <f>IFERROR(SEARCH(search!$B$6,samples!#REF!,1),0)</f>
        <v>0</v>
      </c>
    </row>
    <row r="46" spans="1:30">
      <c r="A46">
        <f t="shared" si="0"/>
        <v>0</v>
      </c>
      <c r="B46">
        <f>IF(SUM(D46,F46,H46,J46,L46,N46,P46,R46,T46,V46,X46,Z46,AB46,AD46)&gt;0,SUM($A$2:A46),0)</f>
        <v>0</v>
      </c>
      <c r="C46" t="e">
        <f>samples!#REF!</f>
        <v>#REF!</v>
      </c>
      <c r="D46">
        <f>IFERROR(SEARCH(search!$B$6,samples!#REF!,1),0)</f>
        <v>0</v>
      </c>
      <c r="E46" t="e">
        <f>IF(samples!#REF!=0,"",samples!#REF!)</f>
        <v>#REF!</v>
      </c>
      <c r="F46">
        <f>IFERROR(SEARCH(search!$B$6,samples!#REF!,1),0)</f>
        <v>0</v>
      </c>
      <c r="G46" t="e">
        <f>IF(samples!#REF!=0,"",samples!#REF!)</f>
        <v>#REF!</v>
      </c>
      <c r="H46">
        <f>IFERROR(SEARCH(search!$B$6,samples!#REF!,1),0)</f>
        <v>0</v>
      </c>
      <c r="I46" t="e">
        <f>IF(samples!#REF!=0,"",samples!#REF!)</f>
        <v>#REF!</v>
      </c>
      <c r="J46">
        <f>IFERROR(SEARCH(search!$B$6,samples!#REF!,1),0)</f>
        <v>0</v>
      </c>
      <c r="K46" t="e">
        <f>IF(samples!#REF!=0,"",samples!#REF!)</f>
        <v>#REF!</v>
      </c>
      <c r="L46">
        <f>IFERROR(SEARCH(search!$B$6,samples!#REF!,1),0)</f>
        <v>0</v>
      </c>
      <c r="M46" t="e">
        <f>IF(samples!#REF!=0,"",samples!#REF!)</f>
        <v>#REF!</v>
      </c>
      <c r="N46">
        <f>IFERROR(SEARCH(search!$B$6,samples!#REF!,1),0)</f>
        <v>0</v>
      </c>
      <c r="O46" t="e">
        <f>IF(samples!#REF!=0,"",samples!#REF!)</f>
        <v>#REF!</v>
      </c>
      <c r="P46">
        <f>IFERROR(SEARCH(search!$B$6,samples!#REF!,1),0)</f>
        <v>0</v>
      </c>
      <c r="Q46" t="e">
        <f>IF(samples!#REF!=0,"",samples!#REF!)</f>
        <v>#REF!</v>
      </c>
      <c r="R46">
        <f>IFERROR(SEARCH(search!$B$6,samples!#REF!,1),0)</f>
        <v>0</v>
      </c>
      <c r="S46" t="e">
        <f>IF(samples!#REF!=0,"",samples!#REF!)</f>
        <v>#REF!</v>
      </c>
      <c r="T46">
        <f>IFERROR(SEARCH(search!$B$6,samples!#REF!,1),0)</f>
        <v>0</v>
      </c>
      <c r="U46" t="e">
        <f>IF(samples!#REF!=0,"",samples!#REF!)</f>
        <v>#REF!</v>
      </c>
      <c r="V46">
        <f>IFERROR(SEARCH(search!$B$6,samples!#REF!,1),0)</f>
        <v>0</v>
      </c>
      <c r="W46" t="e">
        <f>IF(samples!#REF!=0,"",samples!#REF!)</f>
        <v>#REF!</v>
      </c>
      <c r="X46">
        <f>IFERROR(SEARCH(search!$B$6,samples!#REF!,1),0)</f>
        <v>0</v>
      </c>
      <c r="Y46" t="e">
        <f>IF(samples!#REF!=0,"",samples!#REF!)</f>
        <v>#REF!</v>
      </c>
      <c r="Z46">
        <f>IFERROR(SEARCH(search!$B$6,samples!#REF!,1),0)</f>
        <v>0</v>
      </c>
      <c r="AA46" t="e">
        <f>IF(samples!#REF!=0,"",samples!#REF!)</f>
        <v>#REF!</v>
      </c>
      <c r="AB46">
        <f>IFERROR(SEARCH(search!$B$6,samples!#REF!,1),0)</f>
        <v>0</v>
      </c>
      <c r="AC46" t="e">
        <f>IF(samples!#REF!=0,"",samples!#REF!)</f>
        <v>#REF!</v>
      </c>
      <c r="AD46">
        <f>IFERROR(SEARCH(search!$B$6,samples!#REF!,1),0)</f>
        <v>0</v>
      </c>
    </row>
    <row r="47" spans="1:30">
      <c r="A47">
        <f t="shared" si="0"/>
        <v>0</v>
      </c>
      <c r="B47">
        <f>IF(SUM(D47,F47,H47,J47,L47,N47,P47,R47,T47,V47,X47,Z47,AB47,AD47)&gt;0,SUM($A$2:A47),0)</f>
        <v>0</v>
      </c>
      <c r="C47" t="e">
        <f>samples!#REF!</f>
        <v>#REF!</v>
      </c>
      <c r="D47">
        <f>IFERROR(SEARCH(search!$B$6,samples!#REF!,1),0)</f>
        <v>0</v>
      </c>
      <c r="E47" t="e">
        <f>IF(samples!#REF!=0,"",samples!#REF!)</f>
        <v>#REF!</v>
      </c>
      <c r="F47">
        <f>IFERROR(SEARCH(search!$B$6,samples!#REF!,1),0)</f>
        <v>0</v>
      </c>
      <c r="G47" t="e">
        <f>IF(samples!#REF!=0,"",samples!#REF!)</f>
        <v>#REF!</v>
      </c>
      <c r="H47">
        <f>IFERROR(SEARCH(search!$B$6,samples!#REF!,1),0)</f>
        <v>0</v>
      </c>
      <c r="I47" t="e">
        <f>IF(samples!#REF!=0,"",samples!#REF!)</f>
        <v>#REF!</v>
      </c>
      <c r="J47">
        <f>IFERROR(SEARCH(search!$B$6,samples!#REF!,1),0)</f>
        <v>0</v>
      </c>
      <c r="K47" t="e">
        <f>IF(samples!#REF!=0,"",samples!#REF!)</f>
        <v>#REF!</v>
      </c>
      <c r="L47">
        <f>IFERROR(SEARCH(search!$B$6,samples!#REF!,1),0)</f>
        <v>0</v>
      </c>
      <c r="M47" t="e">
        <f>IF(samples!#REF!=0,"",samples!#REF!)</f>
        <v>#REF!</v>
      </c>
      <c r="N47">
        <f>IFERROR(SEARCH(search!$B$6,samples!#REF!,1),0)</f>
        <v>0</v>
      </c>
      <c r="O47" t="e">
        <f>IF(samples!#REF!=0,"",samples!#REF!)</f>
        <v>#REF!</v>
      </c>
      <c r="P47">
        <f>IFERROR(SEARCH(search!$B$6,samples!#REF!,1),0)</f>
        <v>0</v>
      </c>
      <c r="Q47" t="e">
        <f>IF(samples!#REF!=0,"",samples!#REF!)</f>
        <v>#REF!</v>
      </c>
      <c r="R47">
        <f>IFERROR(SEARCH(search!$B$6,samples!#REF!,1),0)</f>
        <v>0</v>
      </c>
      <c r="S47" t="e">
        <f>IF(samples!#REF!=0,"",samples!#REF!)</f>
        <v>#REF!</v>
      </c>
      <c r="T47">
        <f>IFERROR(SEARCH(search!$B$6,samples!#REF!,1),0)</f>
        <v>0</v>
      </c>
      <c r="U47" t="e">
        <f>IF(samples!#REF!=0,"",samples!#REF!)</f>
        <v>#REF!</v>
      </c>
      <c r="V47">
        <f>IFERROR(SEARCH(search!$B$6,samples!#REF!,1),0)</f>
        <v>0</v>
      </c>
      <c r="W47" t="e">
        <f>IF(samples!#REF!=0,"",samples!#REF!)</f>
        <v>#REF!</v>
      </c>
      <c r="X47">
        <f>IFERROR(SEARCH(search!$B$6,samples!#REF!,1),0)</f>
        <v>0</v>
      </c>
      <c r="Y47" t="e">
        <f>IF(samples!#REF!=0,"",samples!#REF!)</f>
        <v>#REF!</v>
      </c>
      <c r="Z47">
        <f>IFERROR(SEARCH(search!$B$6,samples!#REF!,1),0)</f>
        <v>0</v>
      </c>
      <c r="AA47" t="e">
        <f>IF(samples!#REF!=0,"",samples!#REF!)</f>
        <v>#REF!</v>
      </c>
      <c r="AB47">
        <f>IFERROR(SEARCH(search!$B$6,samples!#REF!,1),0)</f>
        <v>0</v>
      </c>
      <c r="AC47" t="e">
        <f>IF(samples!#REF!=0,"",samples!#REF!)</f>
        <v>#REF!</v>
      </c>
      <c r="AD47">
        <f>IFERROR(SEARCH(search!$B$6,samples!#REF!,1),0)</f>
        <v>0</v>
      </c>
    </row>
    <row r="48" spans="1:30">
      <c r="A48">
        <f t="shared" si="0"/>
        <v>0</v>
      </c>
      <c r="B48">
        <f>IF(SUM(D48,F48,H48,J48,L48,N48,P48,R48,T48,V48,X48,Z48,AB48,AD48)&gt;0,SUM($A$2:A48),0)</f>
        <v>0</v>
      </c>
      <c r="C48" t="e">
        <f>samples!#REF!</f>
        <v>#REF!</v>
      </c>
      <c r="D48">
        <f>IFERROR(SEARCH(search!$B$6,samples!#REF!,1),0)</f>
        <v>0</v>
      </c>
      <c r="E48" t="e">
        <f>IF(samples!#REF!=0,"",samples!#REF!)</f>
        <v>#REF!</v>
      </c>
      <c r="F48">
        <f>IFERROR(SEARCH(search!$B$6,samples!#REF!,1),0)</f>
        <v>0</v>
      </c>
      <c r="G48" t="e">
        <f>IF(samples!#REF!=0,"",samples!#REF!)</f>
        <v>#REF!</v>
      </c>
      <c r="H48">
        <f>IFERROR(SEARCH(search!$B$6,samples!#REF!,1),0)</f>
        <v>0</v>
      </c>
      <c r="I48" t="e">
        <f>IF(samples!#REF!=0,"",samples!#REF!)</f>
        <v>#REF!</v>
      </c>
      <c r="J48">
        <f>IFERROR(SEARCH(search!$B$6,samples!#REF!,1),0)</f>
        <v>0</v>
      </c>
      <c r="K48" t="e">
        <f>IF(samples!#REF!=0,"",samples!#REF!)</f>
        <v>#REF!</v>
      </c>
      <c r="L48">
        <f>IFERROR(SEARCH(search!$B$6,samples!#REF!,1),0)</f>
        <v>0</v>
      </c>
      <c r="M48" t="e">
        <f>IF(samples!#REF!=0,"",samples!#REF!)</f>
        <v>#REF!</v>
      </c>
      <c r="N48">
        <f>IFERROR(SEARCH(search!$B$6,samples!#REF!,1),0)</f>
        <v>0</v>
      </c>
      <c r="O48" t="e">
        <f>IF(samples!#REF!=0,"",samples!#REF!)</f>
        <v>#REF!</v>
      </c>
      <c r="P48">
        <f>IFERROR(SEARCH(search!$B$6,samples!#REF!,1),0)</f>
        <v>0</v>
      </c>
      <c r="Q48" t="e">
        <f>IF(samples!#REF!=0,"",samples!#REF!)</f>
        <v>#REF!</v>
      </c>
      <c r="R48">
        <f>IFERROR(SEARCH(search!$B$6,samples!#REF!,1),0)</f>
        <v>0</v>
      </c>
      <c r="S48" t="e">
        <f>IF(samples!#REF!=0,"",samples!#REF!)</f>
        <v>#REF!</v>
      </c>
      <c r="T48">
        <f>IFERROR(SEARCH(search!$B$6,samples!#REF!,1),0)</f>
        <v>0</v>
      </c>
      <c r="U48" t="e">
        <f>IF(samples!#REF!=0,"",samples!#REF!)</f>
        <v>#REF!</v>
      </c>
      <c r="V48">
        <f>IFERROR(SEARCH(search!$B$6,samples!#REF!,1),0)</f>
        <v>0</v>
      </c>
      <c r="W48" t="e">
        <f>IF(samples!#REF!=0,"",samples!#REF!)</f>
        <v>#REF!</v>
      </c>
      <c r="X48">
        <f>IFERROR(SEARCH(search!$B$6,samples!#REF!,1),0)</f>
        <v>0</v>
      </c>
      <c r="Y48" t="e">
        <f>IF(samples!#REF!=0,"",samples!#REF!)</f>
        <v>#REF!</v>
      </c>
      <c r="Z48">
        <f>IFERROR(SEARCH(search!$B$6,samples!#REF!,1),0)</f>
        <v>0</v>
      </c>
      <c r="AA48" t="e">
        <f>IF(samples!#REF!=0,"",samples!#REF!)</f>
        <v>#REF!</v>
      </c>
      <c r="AB48">
        <f>IFERROR(SEARCH(search!$B$6,samples!#REF!,1),0)</f>
        <v>0</v>
      </c>
      <c r="AC48" t="e">
        <f>IF(samples!#REF!=0,"",samples!#REF!)</f>
        <v>#REF!</v>
      </c>
      <c r="AD48">
        <f>IFERROR(SEARCH(search!$B$6,samples!#REF!,1),0)</f>
        <v>0</v>
      </c>
    </row>
    <row r="49" spans="1:30">
      <c r="A49">
        <f t="shared" si="0"/>
        <v>0</v>
      </c>
      <c r="B49">
        <f>IF(SUM(D49,F49,H49,J49,L49,N49,P49,R49,T49,V49,X49,Z49,AB49,AD49)&gt;0,SUM($A$2:A49),0)</f>
        <v>0</v>
      </c>
      <c r="C49" t="e">
        <f>samples!#REF!</f>
        <v>#REF!</v>
      </c>
      <c r="D49">
        <f>IFERROR(SEARCH(search!$B$6,samples!#REF!,1),0)</f>
        <v>0</v>
      </c>
      <c r="E49" t="e">
        <f>IF(samples!#REF!=0,"",samples!#REF!)</f>
        <v>#REF!</v>
      </c>
      <c r="F49">
        <f>IFERROR(SEARCH(search!$B$6,samples!#REF!,1),0)</f>
        <v>0</v>
      </c>
      <c r="G49" t="e">
        <f>IF(samples!#REF!=0,"",samples!#REF!)</f>
        <v>#REF!</v>
      </c>
      <c r="H49">
        <f>IFERROR(SEARCH(search!$B$6,samples!#REF!,1),0)</f>
        <v>0</v>
      </c>
      <c r="I49" t="e">
        <f>IF(samples!#REF!=0,"",samples!#REF!)</f>
        <v>#REF!</v>
      </c>
      <c r="J49">
        <f>IFERROR(SEARCH(search!$B$6,samples!#REF!,1),0)</f>
        <v>0</v>
      </c>
      <c r="K49" t="e">
        <f>IF(samples!#REF!=0,"",samples!#REF!)</f>
        <v>#REF!</v>
      </c>
      <c r="L49">
        <f>IFERROR(SEARCH(search!$B$6,samples!#REF!,1),0)</f>
        <v>0</v>
      </c>
      <c r="M49" t="e">
        <f>IF(samples!#REF!=0,"",samples!#REF!)</f>
        <v>#REF!</v>
      </c>
      <c r="N49">
        <f>IFERROR(SEARCH(search!$B$6,samples!#REF!,1),0)</f>
        <v>0</v>
      </c>
      <c r="O49" t="e">
        <f>IF(samples!#REF!=0,"",samples!#REF!)</f>
        <v>#REF!</v>
      </c>
      <c r="P49">
        <f>IFERROR(SEARCH(search!$B$6,samples!#REF!,1),0)</f>
        <v>0</v>
      </c>
      <c r="Q49" t="e">
        <f>IF(samples!#REF!=0,"",samples!#REF!)</f>
        <v>#REF!</v>
      </c>
      <c r="R49">
        <f>IFERROR(SEARCH(search!$B$6,samples!#REF!,1),0)</f>
        <v>0</v>
      </c>
      <c r="S49" t="e">
        <f>IF(samples!#REF!=0,"",samples!#REF!)</f>
        <v>#REF!</v>
      </c>
      <c r="T49">
        <f>IFERROR(SEARCH(search!$B$6,samples!#REF!,1),0)</f>
        <v>0</v>
      </c>
      <c r="U49" t="e">
        <f>IF(samples!#REF!=0,"",samples!#REF!)</f>
        <v>#REF!</v>
      </c>
      <c r="V49">
        <f>IFERROR(SEARCH(search!$B$6,samples!#REF!,1),0)</f>
        <v>0</v>
      </c>
      <c r="W49" t="e">
        <f>IF(samples!#REF!=0,"",samples!#REF!)</f>
        <v>#REF!</v>
      </c>
      <c r="X49">
        <f>IFERROR(SEARCH(search!$B$6,samples!#REF!,1),0)</f>
        <v>0</v>
      </c>
      <c r="Y49" t="e">
        <f>IF(samples!#REF!=0,"",samples!#REF!)</f>
        <v>#REF!</v>
      </c>
      <c r="Z49">
        <f>IFERROR(SEARCH(search!$B$6,samples!#REF!,1),0)</f>
        <v>0</v>
      </c>
      <c r="AA49" t="e">
        <f>IF(samples!#REF!=0,"",samples!#REF!)</f>
        <v>#REF!</v>
      </c>
      <c r="AB49">
        <f>IFERROR(SEARCH(search!$B$6,samples!#REF!,1),0)</f>
        <v>0</v>
      </c>
      <c r="AC49" t="e">
        <f>IF(samples!#REF!=0,"",samples!#REF!)</f>
        <v>#REF!</v>
      </c>
      <c r="AD49">
        <f>IFERROR(SEARCH(search!$B$6,samples!#REF!,1),0)</f>
        <v>0</v>
      </c>
    </row>
    <row r="50" spans="1:30">
      <c r="A50">
        <f t="shared" si="0"/>
        <v>0</v>
      </c>
      <c r="B50">
        <f>IF(SUM(D50,F50,H50,J50,L50,N50,P50,R50,T50,V50,X50,Z50,AB50,AD50)&gt;0,SUM($A$2:A50),0)</f>
        <v>0</v>
      </c>
      <c r="C50" t="e">
        <f>samples!#REF!</f>
        <v>#REF!</v>
      </c>
      <c r="D50">
        <f>IFERROR(SEARCH(search!$B$6,samples!#REF!,1),0)</f>
        <v>0</v>
      </c>
      <c r="E50" t="e">
        <f>IF(samples!#REF!=0,"",samples!#REF!)</f>
        <v>#REF!</v>
      </c>
      <c r="F50">
        <f>IFERROR(SEARCH(search!$B$6,samples!#REF!,1),0)</f>
        <v>0</v>
      </c>
      <c r="G50" t="e">
        <f>IF(samples!#REF!=0,"",samples!#REF!)</f>
        <v>#REF!</v>
      </c>
      <c r="H50">
        <f>IFERROR(SEARCH(search!$B$6,samples!#REF!,1),0)</f>
        <v>0</v>
      </c>
      <c r="I50" t="e">
        <f>IF(samples!#REF!=0,"",samples!#REF!)</f>
        <v>#REF!</v>
      </c>
      <c r="J50">
        <f>IFERROR(SEARCH(search!$B$6,samples!#REF!,1),0)</f>
        <v>0</v>
      </c>
      <c r="K50" t="e">
        <f>IF(samples!#REF!=0,"",samples!#REF!)</f>
        <v>#REF!</v>
      </c>
      <c r="L50">
        <f>IFERROR(SEARCH(search!$B$6,samples!#REF!,1),0)</f>
        <v>0</v>
      </c>
      <c r="M50" t="e">
        <f>IF(samples!#REF!=0,"",samples!#REF!)</f>
        <v>#REF!</v>
      </c>
      <c r="N50">
        <f>IFERROR(SEARCH(search!$B$6,samples!#REF!,1),0)</f>
        <v>0</v>
      </c>
      <c r="O50" t="e">
        <f>IF(samples!#REF!=0,"",samples!#REF!)</f>
        <v>#REF!</v>
      </c>
      <c r="P50">
        <f>IFERROR(SEARCH(search!$B$6,samples!#REF!,1),0)</f>
        <v>0</v>
      </c>
      <c r="Q50" t="e">
        <f>IF(samples!#REF!=0,"",samples!#REF!)</f>
        <v>#REF!</v>
      </c>
      <c r="R50">
        <f>IFERROR(SEARCH(search!$B$6,samples!#REF!,1),0)</f>
        <v>0</v>
      </c>
      <c r="S50" t="e">
        <f>IF(samples!#REF!=0,"",samples!#REF!)</f>
        <v>#REF!</v>
      </c>
      <c r="T50">
        <f>IFERROR(SEARCH(search!$B$6,samples!#REF!,1),0)</f>
        <v>0</v>
      </c>
      <c r="U50" t="e">
        <f>IF(samples!#REF!=0,"",samples!#REF!)</f>
        <v>#REF!</v>
      </c>
      <c r="V50">
        <f>IFERROR(SEARCH(search!$B$6,samples!#REF!,1),0)</f>
        <v>0</v>
      </c>
      <c r="W50" t="e">
        <f>IF(samples!#REF!=0,"",samples!#REF!)</f>
        <v>#REF!</v>
      </c>
      <c r="X50">
        <f>IFERROR(SEARCH(search!$B$6,samples!#REF!,1),0)</f>
        <v>0</v>
      </c>
      <c r="Y50" t="e">
        <f>IF(samples!#REF!=0,"",samples!#REF!)</f>
        <v>#REF!</v>
      </c>
      <c r="Z50">
        <f>IFERROR(SEARCH(search!$B$6,samples!#REF!,1),0)</f>
        <v>0</v>
      </c>
      <c r="AA50" t="e">
        <f>IF(samples!#REF!=0,"",samples!#REF!)</f>
        <v>#REF!</v>
      </c>
      <c r="AB50">
        <f>IFERROR(SEARCH(search!$B$6,samples!#REF!,1),0)</f>
        <v>0</v>
      </c>
      <c r="AC50" t="e">
        <f>IF(samples!#REF!=0,"",samples!#REF!)</f>
        <v>#REF!</v>
      </c>
      <c r="AD50">
        <f>IFERROR(SEARCH(search!$B$6,samples!#REF!,1),0)</f>
        <v>0</v>
      </c>
    </row>
    <row r="51" spans="1:30">
      <c r="A51">
        <f t="shared" si="0"/>
        <v>0</v>
      </c>
      <c r="B51">
        <f>IF(SUM(D51,F51,H51,J51,L51,N51,P51,R51,T51,V51,X51,Z51,AB51,AD51)&gt;0,SUM($A$2:A51),0)</f>
        <v>0</v>
      </c>
      <c r="C51" t="e">
        <f>samples!#REF!</f>
        <v>#REF!</v>
      </c>
      <c r="D51">
        <f>IFERROR(SEARCH(search!$B$6,samples!#REF!,1),0)</f>
        <v>0</v>
      </c>
      <c r="E51" t="e">
        <f>IF(samples!#REF!=0,"",samples!#REF!)</f>
        <v>#REF!</v>
      </c>
      <c r="F51">
        <f>IFERROR(SEARCH(search!$B$6,samples!#REF!,1),0)</f>
        <v>0</v>
      </c>
      <c r="G51" t="e">
        <f>IF(samples!#REF!=0,"",samples!#REF!)</f>
        <v>#REF!</v>
      </c>
      <c r="H51">
        <f>IFERROR(SEARCH(search!$B$6,samples!#REF!,1),0)</f>
        <v>0</v>
      </c>
      <c r="I51" t="e">
        <f>IF(samples!#REF!=0,"",samples!#REF!)</f>
        <v>#REF!</v>
      </c>
      <c r="J51">
        <f>IFERROR(SEARCH(search!$B$6,samples!#REF!,1),0)</f>
        <v>0</v>
      </c>
      <c r="K51" t="e">
        <f>IF(samples!#REF!=0,"",samples!#REF!)</f>
        <v>#REF!</v>
      </c>
      <c r="L51">
        <f>IFERROR(SEARCH(search!$B$6,samples!#REF!,1),0)</f>
        <v>0</v>
      </c>
      <c r="M51" t="e">
        <f>IF(samples!#REF!=0,"",samples!#REF!)</f>
        <v>#REF!</v>
      </c>
      <c r="N51">
        <f>IFERROR(SEARCH(search!$B$6,samples!#REF!,1),0)</f>
        <v>0</v>
      </c>
      <c r="O51" t="e">
        <f>IF(samples!#REF!=0,"",samples!#REF!)</f>
        <v>#REF!</v>
      </c>
      <c r="P51">
        <f>IFERROR(SEARCH(search!$B$6,samples!#REF!,1),0)</f>
        <v>0</v>
      </c>
      <c r="Q51" t="e">
        <f>IF(samples!#REF!=0,"",samples!#REF!)</f>
        <v>#REF!</v>
      </c>
      <c r="R51">
        <f>IFERROR(SEARCH(search!$B$6,samples!#REF!,1),0)</f>
        <v>0</v>
      </c>
      <c r="S51" t="e">
        <f>IF(samples!#REF!=0,"",samples!#REF!)</f>
        <v>#REF!</v>
      </c>
      <c r="T51">
        <f>IFERROR(SEARCH(search!$B$6,samples!#REF!,1),0)</f>
        <v>0</v>
      </c>
      <c r="U51" t="e">
        <f>IF(samples!#REF!=0,"",samples!#REF!)</f>
        <v>#REF!</v>
      </c>
      <c r="V51">
        <f>IFERROR(SEARCH(search!$B$6,samples!#REF!,1),0)</f>
        <v>0</v>
      </c>
      <c r="W51" t="e">
        <f>IF(samples!#REF!=0,"",samples!#REF!)</f>
        <v>#REF!</v>
      </c>
      <c r="X51">
        <f>IFERROR(SEARCH(search!$B$6,samples!#REF!,1),0)</f>
        <v>0</v>
      </c>
      <c r="Y51" t="e">
        <f>IF(samples!#REF!=0,"",samples!#REF!)</f>
        <v>#REF!</v>
      </c>
      <c r="Z51">
        <f>IFERROR(SEARCH(search!$B$6,samples!#REF!,1),0)</f>
        <v>0</v>
      </c>
      <c r="AA51" t="e">
        <f>IF(samples!#REF!=0,"",samples!#REF!)</f>
        <v>#REF!</v>
      </c>
      <c r="AB51">
        <f>IFERROR(SEARCH(search!$B$6,samples!#REF!,1),0)</f>
        <v>0</v>
      </c>
      <c r="AC51" t="e">
        <f>IF(samples!#REF!=0,"",samples!#REF!)</f>
        <v>#REF!</v>
      </c>
      <c r="AD51">
        <f>IFERROR(SEARCH(search!$B$6,samples!#REF!,1),0)</f>
        <v>0</v>
      </c>
    </row>
    <row r="52" spans="1:30">
      <c r="A52">
        <f t="shared" si="0"/>
        <v>0</v>
      </c>
      <c r="B52">
        <f>IF(SUM(D52,F52,H52,J52,L52,N52,P52,R52,T52,V52,X52,Z52,AB52,AD52)&gt;0,SUM($A$2:A52),0)</f>
        <v>0</v>
      </c>
      <c r="C52" t="e">
        <f>samples!#REF!</f>
        <v>#REF!</v>
      </c>
      <c r="D52">
        <f>IFERROR(SEARCH(search!$B$6,samples!#REF!,1),0)</f>
        <v>0</v>
      </c>
      <c r="E52" t="e">
        <f>IF(samples!#REF!=0,"",samples!#REF!)</f>
        <v>#REF!</v>
      </c>
      <c r="F52">
        <f>IFERROR(SEARCH(search!$B$6,samples!#REF!,1),0)</f>
        <v>0</v>
      </c>
      <c r="G52" t="e">
        <f>IF(samples!#REF!=0,"",samples!#REF!)</f>
        <v>#REF!</v>
      </c>
      <c r="H52">
        <f>IFERROR(SEARCH(search!$B$6,samples!#REF!,1),0)</f>
        <v>0</v>
      </c>
      <c r="I52" t="e">
        <f>IF(samples!#REF!=0,"",samples!#REF!)</f>
        <v>#REF!</v>
      </c>
      <c r="J52">
        <f>IFERROR(SEARCH(search!$B$6,samples!#REF!,1),0)</f>
        <v>0</v>
      </c>
      <c r="K52" t="e">
        <f>IF(samples!#REF!=0,"",samples!#REF!)</f>
        <v>#REF!</v>
      </c>
      <c r="L52">
        <f>IFERROR(SEARCH(search!$B$6,samples!#REF!,1),0)</f>
        <v>0</v>
      </c>
      <c r="M52" t="e">
        <f>IF(samples!#REF!=0,"",samples!#REF!)</f>
        <v>#REF!</v>
      </c>
      <c r="N52">
        <f>IFERROR(SEARCH(search!$B$6,samples!#REF!,1),0)</f>
        <v>0</v>
      </c>
      <c r="O52" t="e">
        <f>IF(samples!#REF!=0,"",samples!#REF!)</f>
        <v>#REF!</v>
      </c>
      <c r="P52">
        <f>IFERROR(SEARCH(search!$B$6,samples!#REF!,1),0)</f>
        <v>0</v>
      </c>
      <c r="Q52" t="e">
        <f>IF(samples!#REF!=0,"",samples!#REF!)</f>
        <v>#REF!</v>
      </c>
      <c r="R52">
        <f>IFERROR(SEARCH(search!$B$6,samples!#REF!,1),0)</f>
        <v>0</v>
      </c>
      <c r="S52" t="e">
        <f>IF(samples!#REF!=0,"",samples!#REF!)</f>
        <v>#REF!</v>
      </c>
      <c r="T52">
        <f>IFERROR(SEARCH(search!$B$6,samples!#REF!,1),0)</f>
        <v>0</v>
      </c>
      <c r="U52" t="e">
        <f>IF(samples!#REF!=0,"",samples!#REF!)</f>
        <v>#REF!</v>
      </c>
      <c r="V52">
        <f>IFERROR(SEARCH(search!$B$6,samples!#REF!,1),0)</f>
        <v>0</v>
      </c>
      <c r="W52" t="e">
        <f>IF(samples!#REF!=0,"",samples!#REF!)</f>
        <v>#REF!</v>
      </c>
      <c r="X52">
        <f>IFERROR(SEARCH(search!$B$6,samples!#REF!,1),0)</f>
        <v>0</v>
      </c>
      <c r="Y52" t="e">
        <f>IF(samples!#REF!=0,"",samples!#REF!)</f>
        <v>#REF!</v>
      </c>
      <c r="Z52">
        <f>IFERROR(SEARCH(search!$B$6,samples!#REF!,1),0)</f>
        <v>0</v>
      </c>
      <c r="AA52" t="e">
        <f>IF(samples!#REF!=0,"",samples!#REF!)</f>
        <v>#REF!</v>
      </c>
      <c r="AB52">
        <f>IFERROR(SEARCH(search!$B$6,samples!#REF!,1),0)</f>
        <v>0</v>
      </c>
      <c r="AC52" t="e">
        <f>IF(samples!#REF!=0,"",samples!#REF!)</f>
        <v>#REF!</v>
      </c>
      <c r="AD52">
        <f>IFERROR(SEARCH(search!$B$6,samples!#REF!,1),0)</f>
        <v>0</v>
      </c>
    </row>
    <row r="53" spans="1:30">
      <c r="A53">
        <f t="shared" si="0"/>
        <v>0</v>
      </c>
      <c r="B53">
        <f>IF(SUM(D53,F53,H53,J53,L53,N53,P53,R53,T53,V53,X53,Z53,AB53,AD53)&gt;0,SUM($A$2:A53),0)</f>
        <v>0</v>
      </c>
      <c r="C53" t="e">
        <f>samples!#REF!</f>
        <v>#REF!</v>
      </c>
      <c r="D53">
        <f>IFERROR(SEARCH(search!$B$6,samples!#REF!,1),0)</f>
        <v>0</v>
      </c>
      <c r="E53" t="e">
        <f>IF(samples!#REF!=0,"",samples!#REF!)</f>
        <v>#REF!</v>
      </c>
      <c r="F53">
        <f>IFERROR(SEARCH(search!$B$6,samples!#REF!,1),0)</f>
        <v>0</v>
      </c>
      <c r="G53" t="e">
        <f>IF(samples!#REF!=0,"",samples!#REF!)</f>
        <v>#REF!</v>
      </c>
      <c r="H53">
        <f>IFERROR(SEARCH(search!$B$6,samples!#REF!,1),0)</f>
        <v>0</v>
      </c>
      <c r="I53" t="e">
        <f>IF(samples!#REF!=0,"",samples!#REF!)</f>
        <v>#REF!</v>
      </c>
      <c r="J53">
        <f>IFERROR(SEARCH(search!$B$6,samples!#REF!,1),0)</f>
        <v>0</v>
      </c>
      <c r="K53" t="e">
        <f>IF(samples!#REF!=0,"",samples!#REF!)</f>
        <v>#REF!</v>
      </c>
      <c r="L53">
        <f>IFERROR(SEARCH(search!$B$6,samples!#REF!,1),0)</f>
        <v>0</v>
      </c>
      <c r="M53" t="e">
        <f>IF(samples!#REF!=0,"",samples!#REF!)</f>
        <v>#REF!</v>
      </c>
      <c r="N53">
        <f>IFERROR(SEARCH(search!$B$6,samples!#REF!,1),0)</f>
        <v>0</v>
      </c>
      <c r="O53" t="e">
        <f>IF(samples!#REF!=0,"",samples!#REF!)</f>
        <v>#REF!</v>
      </c>
      <c r="P53">
        <f>IFERROR(SEARCH(search!$B$6,samples!#REF!,1),0)</f>
        <v>0</v>
      </c>
      <c r="Q53" t="e">
        <f>IF(samples!#REF!=0,"",samples!#REF!)</f>
        <v>#REF!</v>
      </c>
      <c r="R53">
        <f>IFERROR(SEARCH(search!$B$6,samples!#REF!,1),0)</f>
        <v>0</v>
      </c>
      <c r="S53" t="e">
        <f>IF(samples!#REF!=0,"",samples!#REF!)</f>
        <v>#REF!</v>
      </c>
      <c r="T53">
        <f>IFERROR(SEARCH(search!$B$6,samples!#REF!,1),0)</f>
        <v>0</v>
      </c>
      <c r="U53" t="e">
        <f>IF(samples!#REF!=0,"",samples!#REF!)</f>
        <v>#REF!</v>
      </c>
      <c r="V53">
        <f>IFERROR(SEARCH(search!$B$6,samples!#REF!,1),0)</f>
        <v>0</v>
      </c>
      <c r="W53" t="e">
        <f>IF(samples!#REF!=0,"",samples!#REF!)</f>
        <v>#REF!</v>
      </c>
      <c r="X53">
        <f>IFERROR(SEARCH(search!$B$6,samples!#REF!,1),0)</f>
        <v>0</v>
      </c>
      <c r="Y53" t="e">
        <f>IF(samples!#REF!=0,"",samples!#REF!)</f>
        <v>#REF!</v>
      </c>
      <c r="Z53">
        <f>IFERROR(SEARCH(search!$B$6,samples!#REF!,1),0)</f>
        <v>0</v>
      </c>
      <c r="AA53" t="e">
        <f>IF(samples!#REF!=0,"",samples!#REF!)</f>
        <v>#REF!</v>
      </c>
      <c r="AB53">
        <f>IFERROR(SEARCH(search!$B$6,samples!#REF!,1),0)</f>
        <v>0</v>
      </c>
      <c r="AC53" t="e">
        <f>IF(samples!#REF!=0,"",samples!#REF!)</f>
        <v>#REF!</v>
      </c>
      <c r="AD53">
        <f>IFERROR(SEARCH(search!$B$6,samples!#REF!,1),0)</f>
        <v>0</v>
      </c>
    </row>
    <row r="54" spans="1:30">
      <c r="A54">
        <f t="shared" si="0"/>
        <v>0</v>
      </c>
      <c r="B54">
        <f>IF(SUM(D54,F54,H54,J54,L54,N54,P54,R54,T54,V54,X54,Z54,AB54,AD54)&gt;0,SUM($A$2:A54),0)</f>
        <v>0</v>
      </c>
      <c r="C54" t="e">
        <f>samples!#REF!</f>
        <v>#REF!</v>
      </c>
      <c r="D54">
        <f>IFERROR(SEARCH(search!$B$6,samples!#REF!,1),0)</f>
        <v>0</v>
      </c>
      <c r="E54" t="e">
        <f>IF(samples!#REF!=0,"",samples!#REF!)</f>
        <v>#REF!</v>
      </c>
      <c r="F54">
        <f>IFERROR(SEARCH(search!$B$6,samples!#REF!,1),0)</f>
        <v>0</v>
      </c>
      <c r="G54" t="e">
        <f>IF(samples!#REF!=0,"",samples!#REF!)</f>
        <v>#REF!</v>
      </c>
      <c r="H54">
        <f>IFERROR(SEARCH(search!$B$6,samples!#REF!,1),0)</f>
        <v>0</v>
      </c>
      <c r="I54" t="e">
        <f>IF(samples!#REF!=0,"",samples!#REF!)</f>
        <v>#REF!</v>
      </c>
      <c r="J54">
        <f>IFERROR(SEARCH(search!$B$6,samples!#REF!,1),0)</f>
        <v>0</v>
      </c>
      <c r="K54" t="e">
        <f>IF(samples!#REF!=0,"",samples!#REF!)</f>
        <v>#REF!</v>
      </c>
      <c r="L54">
        <f>IFERROR(SEARCH(search!$B$6,samples!#REF!,1),0)</f>
        <v>0</v>
      </c>
      <c r="M54" t="e">
        <f>IF(samples!#REF!=0,"",samples!#REF!)</f>
        <v>#REF!</v>
      </c>
      <c r="N54">
        <f>IFERROR(SEARCH(search!$B$6,samples!#REF!,1),0)</f>
        <v>0</v>
      </c>
      <c r="O54" t="e">
        <f>IF(samples!#REF!=0,"",samples!#REF!)</f>
        <v>#REF!</v>
      </c>
      <c r="P54">
        <f>IFERROR(SEARCH(search!$B$6,samples!#REF!,1),0)</f>
        <v>0</v>
      </c>
      <c r="Q54" t="e">
        <f>IF(samples!#REF!=0,"",samples!#REF!)</f>
        <v>#REF!</v>
      </c>
      <c r="R54">
        <f>IFERROR(SEARCH(search!$B$6,samples!#REF!,1),0)</f>
        <v>0</v>
      </c>
      <c r="S54" t="e">
        <f>IF(samples!#REF!=0,"",samples!#REF!)</f>
        <v>#REF!</v>
      </c>
      <c r="T54">
        <f>IFERROR(SEARCH(search!$B$6,samples!#REF!,1),0)</f>
        <v>0</v>
      </c>
      <c r="U54" t="e">
        <f>IF(samples!#REF!=0,"",samples!#REF!)</f>
        <v>#REF!</v>
      </c>
      <c r="V54">
        <f>IFERROR(SEARCH(search!$B$6,samples!#REF!,1),0)</f>
        <v>0</v>
      </c>
      <c r="W54" t="e">
        <f>IF(samples!#REF!=0,"",samples!#REF!)</f>
        <v>#REF!</v>
      </c>
      <c r="X54">
        <f>IFERROR(SEARCH(search!$B$6,samples!#REF!,1),0)</f>
        <v>0</v>
      </c>
      <c r="Y54" t="e">
        <f>IF(samples!#REF!=0,"",samples!#REF!)</f>
        <v>#REF!</v>
      </c>
      <c r="Z54">
        <f>IFERROR(SEARCH(search!$B$6,samples!#REF!,1),0)</f>
        <v>0</v>
      </c>
      <c r="AA54" t="e">
        <f>IF(samples!#REF!=0,"",samples!#REF!)</f>
        <v>#REF!</v>
      </c>
      <c r="AB54">
        <f>IFERROR(SEARCH(search!$B$6,samples!#REF!,1),0)</f>
        <v>0</v>
      </c>
      <c r="AC54" t="e">
        <f>IF(samples!#REF!=0,"",samples!#REF!)</f>
        <v>#REF!</v>
      </c>
      <c r="AD54">
        <f>IFERROR(SEARCH(search!$B$6,samples!#REF!,1),0)</f>
        <v>0</v>
      </c>
    </row>
    <row r="55" spans="1:30">
      <c r="A55">
        <f t="shared" si="0"/>
        <v>0</v>
      </c>
      <c r="B55">
        <f>IF(SUM(D55,F55,H55,J55,L55,N55,P55,R55,T55,V55,X55,Z55,AB55,AD55)&gt;0,SUM($A$2:A55),0)</f>
        <v>0</v>
      </c>
      <c r="C55" t="e">
        <f>samples!#REF!</f>
        <v>#REF!</v>
      </c>
      <c r="D55">
        <f>IFERROR(SEARCH(search!$B$6,samples!#REF!,1),0)</f>
        <v>0</v>
      </c>
      <c r="E55" t="e">
        <f>IF(samples!#REF!=0,"",samples!#REF!)</f>
        <v>#REF!</v>
      </c>
      <c r="F55">
        <f>IFERROR(SEARCH(search!$B$6,samples!#REF!,1),0)</f>
        <v>0</v>
      </c>
      <c r="G55" t="e">
        <f>IF(samples!#REF!=0,"",samples!#REF!)</f>
        <v>#REF!</v>
      </c>
      <c r="H55">
        <f>IFERROR(SEARCH(search!$B$6,samples!#REF!,1),0)</f>
        <v>0</v>
      </c>
      <c r="I55" t="e">
        <f>IF(samples!#REF!=0,"",samples!#REF!)</f>
        <v>#REF!</v>
      </c>
      <c r="J55">
        <f>IFERROR(SEARCH(search!$B$6,samples!#REF!,1),0)</f>
        <v>0</v>
      </c>
      <c r="K55" t="e">
        <f>IF(samples!#REF!=0,"",samples!#REF!)</f>
        <v>#REF!</v>
      </c>
      <c r="L55">
        <f>IFERROR(SEARCH(search!$B$6,samples!#REF!,1),0)</f>
        <v>0</v>
      </c>
      <c r="M55" t="e">
        <f>IF(samples!#REF!=0,"",samples!#REF!)</f>
        <v>#REF!</v>
      </c>
      <c r="N55">
        <f>IFERROR(SEARCH(search!$B$6,samples!#REF!,1),0)</f>
        <v>0</v>
      </c>
      <c r="O55" t="e">
        <f>IF(samples!#REF!=0,"",samples!#REF!)</f>
        <v>#REF!</v>
      </c>
      <c r="P55">
        <f>IFERROR(SEARCH(search!$B$6,samples!#REF!,1),0)</f>
        <v>0</v>
      </c>
      <c r="Q55" t="e">
        <f>IF(samples!#REF!=0,"",samples!#REF!)</f>
        <v>#REF!</v>
      </c>
      <c r="R55">
        <f>IFERROR(SEARCH(search!$B$6,samples!#REF!,1),0)</f>
        <v>0</v>
      </c>
      <c r="S55" t="e">
        <f>IF(samples!#REF!=0,"",samples!#REF!)</f>
        <v>#REF!</v>
      </c>
      <c r="T55">
        <f>IFERROR(SEARCH(search!$B$6,samples!#REF!,1),0)</f>
        <v>0</v>
      </c>
      <c r="U55" t="e">
        <f>IF(samples!#REF!=0,"",samples!#REF!)</f>
        <v>#REF!</v>
      </c>
      <c r="V55">
        <f>IFERROR(SEARCH(search!$B$6,samples!#REF!,1),0)</f>
        <v>0</v>
      </c>
      <c r="W55" t="e">
        <f>IF(samples!#REF!=0,"",samples!#REF!)</f>
        <v>#REF!</v>
      </c>
      <c r="X55">
        <f>IFERROR(SEARCH(search!$B$6,samples!#REF!,1),0)</f>
        <v>0</v>
      </c>
      <c r="Y55" t="e">
        <f>IF(samples!#REF!=0,"",samples!#REF!)</f>
        <v>#REF!</v>
      </c>
      <c r="Z55">
        <f>IFERROR(SEARCH(search!$B$6,samples!#REF!,1),0)</f>
        <v>0</v>
      </c>
      <c r="AA55" t="e">
        <f>IF(samples!#REF!=0,"",samples!#REF!)</f>
        <v>#REF!</v>
      </c>
      <c r="AB55">
        <f>IFERROR(SEARCH(search!$B$6,samples!#REF!,1),0)</f>
        <v>0</v>
      </c>
      <c r="AC55" t="e">
        <f>IF(samples!#REF!=0,"",samples!#REF!)</f>
        <v>#REF!</v>
      </c>
      <c r="AD55">
        <f>IFERROR(SEARCH(search!$B$6,samples!#REF!,1),0)</f>
        <v>0</v>
      </c>
    </row>
    <row r="56" spans="1:30">
      <c r="A56">
        <f t="shared" si="0"/>
        <v>0</v>
      </c>
      <c r="B56">
        <f>IF(SUM(D56,F56,H56,J56,L56,N56,P56,R56,T56,V56,X56,Z56,AB56,AD56)&gt;0,SUM($A$2:A56),0)</f>
        <v>0</v>
      </c>
      <c r="C56" t="e">
        <f>samples!#REF!</f>
        <v>#REF!</v>
      </c>
      <c r="D56">
        <f>IFERROR(SEARCH(search!$B$6,samples!#REF!,1),0)</f>
        <v>0</v>
      </c>
      <c r="E56" t="e">
        <f>IF(samples!#REF!=0,"",samples!#REF!)</f>
        <v>#REF!</v>
      </c>
      <c r="F56">
        <f>IFERROR(SEARCH(search!$B$6,samples!#REF!,1),0)</f>
        <v>0</v>
      </c>
      <c r="G56" t="e">
        <f>IF(samples!#REF!=0,"",samples!#REF!)</f>
        <v>#REF!</v>
      </c>
      <c r="H56">
        <f>IFERROR(SEARCH(search!$B$6,samples!#REF!,1),0)</f>
        <v>0</v>
      </c>
      <c r="I56" t="e">
        <f>IF(samples!#REF!=0,"",samples!#REF!)</f>
        <v>#REF!</v>
      </c>
      <c r="J56">
        <f>IFERROR(SEARCH(search!$B$6,samples!#REF!,1),0)</f>
        <v>0</v>
      </c>
      <c r="K56" t="e">
        <f>IF(samples!#REF!=0,"",samples!#REF!)</f>
        <v>#REF!</v>
      </c>
      <c r="L56">
        <f>IFERROR(SEARCH(search!$B$6,samples!#REF!,1),0)</f>
        <v>0</v>
      </c>
      <c r="M56" t="e">
        <f>IF(samples!#REF!=0,"",samples!#REF!)</f>
        <v>#REF!</v>
      </c>
      <c r="N56">
        <f>IFERROR(SEARCH(search!$B$6,samples!#REF!,1),0)</f>
        <v>0</v>
      </c>
      <c r="O56" t="e">
        <f>IF(samples!#REF!=0,"",samples!#REF!)</f>
        <v>#REF!</v>
      </c>
      <c r="P56">
        <f>IFERROR(SEARCH(search!$B$6,samples!#REF!,1),0)</f>
        <v>0</v>
      </c>
      <c r="Q56" t="e">
        <f>IF(samples!#REF!=0,"",samples!#REF!)</f>
        <v>#REF!</v>
      </c>
      <c r="R56">
        <f>IFERROR(SEARCH(search!$B$6,samples!#REF!,1),0)</f>
        <v>0</v>
      </c>
      <c r="S56" t="e">
        <f>IF(samples!#REF!=0,"",samples!#REF!)</f>
        <v>#REF!</v>
      </c>
      <c r="T56">
        <f>IFERROR(SEARCH(search!$B$6,samples!#REF!,1),0)</f>
        <v>0</v>
      </c>
      <c r="U56" t="e">
        <f>IF(samples!#REF!=0,"",samples!#REF!)</f>
        <v>#REF!</v>
      </c>
      <c r="V56">
        <f>IFERROR(SEARCH(search!$B$6,samples!#REF!,1),0)</f>
        <v>0</v>
      </c>
      <c r="W56" t="e">
        <f>IF(samples!#REF!=0,"",samples!#REF!)</f>
        <v>#REF!</v>
      </c>
      <c r="X56">
        <f>IFERROR(SEARCH(search!$B$6,samples!#REF!,1),0)</f>
        <v>0</v>
      </c>
      <c r="Y56" t="e">
        <f>IF(samples!#REF!=0,"",samples!#REF!)</f>
        <v>#REF!</v>
      </c>
      <c r="Z56">
        <f>IFERROR(SEARCH(search!$B$6,samples!#REF!,1),0)</f>
        <v>0</v>
      </c>
      <c r="AA56" t="e">
        <f>IF(samples!#REF!=0,"",samples!#REF!)</f>
        <v>#REF!</v>
      </c>
      <c r="AB56">
        <f>IFERROR(SEARCH(search!$B$6,samples!#REF!,1),0)</f>
        <v>0</v>
      </c>
      <c r="AC56" t="e">
        <f>IF(samples!#REF!=0,"",samples!#REF!)</f>
        <v>#REF!</v>
      </c>
      <c r="AD56">
        <f>IFERROR(SEARCH(search!$B$6,samples!#REF!,1),0)</f>
        <v>0</v>
      </c>
    </row>
    <row r="57" spans="1:30">
      <c r="A57">
        <f t="shared" si="0"/>
        <v>0</v>
      </c>
      <c r="B57">
        <f>IF(SUM(D57,F57,H57,J57,L57,N57,P57,R57,T57,V57,X57,Z57,AB57,AD57)&gt;0,SUM($A$2:A57),0)</f>
        <v>0</v>
      </c>
      <c r="C57" t="e">
        <f>samples!#REF!</f>
        <v>#REF!</v>
      </c>
      <c r="D57">
        <f>IFERROR(SEARCH(search!$B$6,samples!#REF!,1),0)</f>
        <v>0</v>
      </c>
      <c r="E57" t="e">
        <f>IF(samples!#REF!=0,"",samples!#REF!)</f>
        <v>#REF!</v>
      </c>
      <c r="F57">
        <f>IFERROR(SEARCH(search!$B$6,samples!#REF!,1),0)</f>
        <v>0</v>
      </c>
      <c r="G57" t="e">
        <f>IF(samples!#REF!=0,"",samples!#REF!)</f>
        <v>#REF!</v>
      </c>
      <c r="H57">
        <f>IFERROR(SEARCH(search!$B$6,samples!#REF!,1),0)</f>
        <v>0</v>
      </c>
      <c r="I57" t="e">
        <f>IF(samples!#REF!=0,"",samples!#REF!)</f>
        <v>#REF!</v>
      </c>
      <c r="J57">
        <f>IFERROR(SEARCH(search!$B$6,samples!#REF!,1),0)</f>
        <v>0</v>
      </c>
      <c r="K57" t="e">
        <f>IF(samples!#REF!=0,"",samples!#REF!)</f>
        <v>#REF!</v>
      </c>
      <c r="L57">
        <f>IFERROR(SEARCH(search!$B$6,samples!#REF!,1),0)</f>
        <v>0</v>
      </c>
      <c r="M57" t="e">
        <f>IF(samples!#REF!=0,"",samples!#REF!)</f>
        <v>#REF!</v>
      </c>
      <c r="N57">
        <f>IFERROR(SEARCH(search!$B$6,samples!#REF!,1),0)</f>
        <v>0</v>
      </c>
      <c r="O57" t="e">
        <f>IF(samples!#REF!=0,"",samples!#REF!)</f>
        <v>#REF!</v>
      </c>
      <c r="P57">
        <f>IFERROR(SEARCH(search!$B$6,samples!#REF!,1),0)</f>
        <v>0</v>
      </c>
      <c r="Q57" t="e">
        <f>IF(samples!#REF!=0,"",samples!#REF!)</f>
        <v>#REF!</v>
      </c>
      <c r="R57">
        <f>IFERROR(SEARCH(search!$B$6,samples!#REF!,1),0)</f>
        <v>0</v>
      </c>
      <c r="S57" t="e">
        <f>IF(samples!#REF!=0,"",samples!#REF!)</f>
        <v>#REF!</v>
      </c>
      <c r="T57">
        <f>IFERROR(SEARCH(search!$B$6,samples!#REF!,1),0)</f>
        <v>0</v>
      </c>
      <c r="U57" t="e">
        <f>IF(samples!#REF!=0,"",samples!#REF!)</f>
        <v>#REF!</v>
      </c>
      <c r="V57">
        <f>IFERROR(SEARCH(search!$B$6,samples!#REF!,1),0)</f>
        <v>0</v>
      </c>
      <c r="W57" t="e">
        <f>IF(samples!#REF!=0,"",samples!#REF!)</f>
        <v>#REF!</v>
      </c>
      <c r="X57">
        <f>IFERROR(SEARCH(search!$B$6,samples!#REF!,1),0)</f>
        <v>0</v>
      </c>
      <c r="Y57" t="e">
        <f>IF(samples!#REF!=0,"",samples!#REF!)</f>
        <v>#REF!</v>
      </c>
      <c r="Z57">
        <f>IFERROR(SEARCH(search!$B$6,samples!#REF!,1),0)</f>
        <v>0</v>
      </c>
      <c r="AA57" t="e">
        <f>IF(samples!#REF!=0,"",samples!#REF!)</f>
        <v>#REF!</v>
      </c>
      <c r="AB57">
        <f>IFERROR(SEARCH(search!$B$6,samples!#REF!,1),0)</f>
        <v>0</v>
      </c>
      <c r="AC57" t="e">
        <f>IF(samples!#REF!=0,"",samples!#REF!)</f>
        <v>#REF!</v>
      </c>
      <c r="AD57">
        <f>IFERROR(SEARCH(search!$B$6,samples!#REF!,1),0)</f>
        <v>0</v>
      </c>
    </row>
    <row r="58" spans="1:30">
      <c r="A58">
        <f t="shared" si="0"/>
        <v>0</v>
      </c>
      <c r="B58">
        <f>IF(SUM(D58,F58,H58,J58,L58,N58,P58,R58,T58,V58,X58,Z58,AB58,AD58)&gt;0,SUM($A$2:A58),0)</f>
        <v>0</v>
      </c>
      <c r="C58" t="e">
        <f>samples!#REF!</f>
        <v>#REF!</v>
      </c>
      <c r="D58">
        <f>IFERROR(SEARCH(search!$B$6,samples!#REF!,1),0)</f>
        <v>0</v>
      </c>
      <c r="E58" t="e">
        <f>IF(samples!#REF!=0,"",samples!#REF!)</f>
        <v>#REF!</v>
      </c>
      <c r="F58">
        <f>IFERROR(SEARCH(search!$B$6,samples!#REF!,1),0)</f>
        <v>0</v>
      </c>
      <c r="G58" t="e">
        <f>IF(samples!#REF!=0,"",samples!#REF!)</f>
        <v>#REF!</v>
      </c>
      <c r="H58">
        <f>IFERROR(SEARCH(search!$B$6,samples!#REF!,1),0)</f>
        <v>0</v>
      </c>
      <c r="I58" t="e">
        <f>IF(samples!#REF!=0,"",samples!#REF!)</f>
        <v>#REF!</v>
      </c>
      <c r="J58">
        <f>IFERROR(SEARCH(search!$B$6,samples!#REF!,1),0)</f>
        <v>0</v>
      </c>
      <c r="K58" t="e">
        <f>IF(samples!#REF!=0,"",samples!#REF!)</f>
        <v>#REF!</v>
      </c>
      <c r="L58">
        <f>IFERROR(SEARCH(search!$B$6,samples!#REF!,1),0)</f>
        <v>0</v>
      </c>
      <c r="M58" t="e">
        <f>IF(samples!#REF!=0,"",samples!#REF!)</f>
        <v>#REF!</v>
      </c>
      <c r="N58">
        <f>IFERROR(SEARCH(search!$B$6,samples!#REF!,1),0)</f>
        <v>0</v>
      </c>
      <c r="O58" t="e">
        <f>IF(samples!#REF!=0,"",samples!#REF!)</f>
        <v>#REF!</v>
      </c>
      <c r="P58">
        <f>IFERROR(SEARCH(search!$B$6,samples!#REF!,1),0)</f>
        <v>0</v>
      </c>
      <c r="Q58" t="e">
        <f>IF(samples!#REF!=0,"",samples!#REF!)</f>
        <v>#REF!</v>
      </c>
      <c r="R58">
        <f>IFERROR(SEARCH(search!$B$6,samples!#REF!,1),0)</f>
        <v>0</v>
      </c>
      <c r="S58" t="e">
        <f>IF(samples!#REF!=0,"",samples!#REF!)</f>
        <v>#REF!</v>
      </c>
      <c r="T58">
        <f>IFERROR(SEARCH(search!$B$6,samples!#REF!,1),0)</f>
        <v>0</v>
      </c>
      <c r="U58" t="e">
        <f>IF(samples!#REF!=0,"",samples!#REF!)</f>
        <v>#REF!</v>
      </c>
      <c r="V58">
        <f>IFERROR(SEARCH(search!$B$6,samples!#REF!,1),0)</f>
        <v>0</v>
      </c>
      <c r="W58" t="e">
        <f>IF(samples!#REF!=0,"",samples!#REF!)</f>
        <v>#REF!</v>
      </c>
      <c r="X58">
        <f>IFERROR(SEARCH(search!$B$6,samples!#REF!,1),0)</f>
        <v>0</v>
      </c>
      <c r="Y58" t="e">
        <f>IF(samples!#REF!=0,"",samples!#REF!)</f>
        <v>#REF!</v>
      </c>
      <c r="Z58">
        <f>IFERROR(SEARCH(search!$B$6,samples!#REF!,1),0)</f>
        <v>0</v>
      </c>
      <c r="AA58" t="e">
        <f>IF(samples!#REF!=0,"",samples!#REF!)</f>
        <v>#REF!</v>
      </c>
      <c r="AB58">
        <f>IFERROR(SEARCH(search!$B$6,samples!#REF!,1),0)</f>
        <v>0</v>
      </c>
      <c r="AC58" t="e">
        <f>IF(samples!#REF!=0,"",samples!#REF!)</f>
        <v>#REF!</v>
      </c>
      <c r="AD58">
        <f>IFERROR(SEARCH(search!$B$6,samples!#REF!,1),0)</f>
        <v>0</v>
      </c>
    </row>
    <row r="59" spans="1:30">
      <c r="A59">
        <f t="shared" si="0"/>
        <v>0</v>
      </c>
      <c r="B59">
        <f>IF(SUM(D59,F59,H59,J59,L59,N59,P59,R59,T59,V59,X59,Z59,AB59,AD59)&gt;0,SUM($A$2:A59),0)</f>
        <v>0</v>
      </c>
      <c r="C59" t="e">
        <f>samples!#REF!</f>
        <v>#REF!</v>
      </c>
      <c r="D59">
        <f>IFERROR(SEARCH(search!$B$6,samples!#REF!,1),0)</f>
        <v>0</v>
      </c>
      <c r="E59" t="e">
        <f>IF(samples!#REF!=0,"",samples!#REF!)</f>
        <v>#REF!</v>
      </c>
      <c r="F59">
        <f>IFERROR(SEARCH(search!$B$6,samples!#REF!,1),0)</f>
        <v>0</v>
      </c>
      <c r="G59" t="e">
        <f>IF(samples!#REF!=0,"",samples!#REF!)</f>
        <v>#REF!</v>
      </c>
      <c r="H59">
        <f>IFERROR(SEARCH(search!$B$6,samples!#REF!,1),0)</f>
        <v>0</v>
      </c>
      <c r="I59" t="e">
        <f>IF(samples!#REF!=0,"",samples!#REF!)</f>
        <v>#REF!</v>
      </c>
      <c r="J59">
        <f>IFERROR(SEARCH(search!$B$6,samples!#REF!,1),0)</f>
        <v>0</v>
      </c>
      <c r="K59" t="e">
        <f>IF(samples!#REF!=0,"",samples!#REF!)</f>
        <v>#REF!</v>
      </c>
      <c r="L59">
        <f>IFERROR(SEARCH(search!$B$6,samples!#REF!,1),0)</f>
        <v>0</v>
      </c>
      <c r="M59" t="e">
        <f>IF(samples!#REF!=0,"",samples!#REF!)</f>
        <v>#REF!</v>
      </c>
      <c r="N59">
        <f>IFERROR(SEARCH(search!$B$6,samples!#REF!,1),0)</f>
        <v>0</v>
      </c>
      <c r="O59" t="e">
        <f>IF(samples!#REF!=0,"",samples!#REF!)</f>
        <v>#REF!</v>
      </c>
      <c r="P59">
        <f>IFERROR(SEARCH(search!$B$6,samples!#REF!,1),0)</f>
        <v>0</v>
      </c>
      <c r="Q59" t="e">
        <f>IF(samples!#REF!=0,"",samples!#REF!)</f>
        <v>#REF!</v>
      </c>
      <c r="R59">
        <f>IFERROR(SEARCH(search!$B$6,samples!#REF!,1),0)</f>
        <v>0</v>
      </c>
      <c r="S59" t="e">
        <f>IF(samples!#REF!=0,"",samples!#REF!)</f>
        <v>#REF!</v>
      </c>
      <c r="T59">
        <f>IFERROR(SEARCH(search!$B$6,samples!#REF!,1),0)</f>
        <v>0</v>
      </c>
      <c r="U59" t="e">
        <f>IF(samples!#REF!=0,"",samples!#REF!)</f>
        <v>#REF!</v>
      </c>
      <c r="V59">
        <f>IFERROR(SEARCH(search!$B$6,samples!#REF!,1),0)</f>
        <v>0</v>
      </c>
      <c r="W59" t="e">
        <f>IF(samples!#REF!=0,"",samples!#REF!)</f>
        <v>#REF!</v>
      </c>
      <c r="X59">
        <f>IFERROR(SEARCH(search!$B$6,samples!#REF!,1),0)</f>
        <v>0</v>
      </c>
      <c r="Y59" t="e">
        <f>IF(samples!#REF!=0,"",samples!#REF!)</f>
        <v>#REF!</v>
      </c>
      <c r="Z59">
        <f>IFERROR(SEARCH(search!$B$6,samples!#REF!,1),0)</f>
        <v>0</v>
      </c>
      <c r="AA59" t="e">
        <f>IF(samples!#REF!=0,"",samples!#REF!)</f>
        <v>#REF!</v>
      </c>
      <c r="AB59">
        <f>IFERROR(SEARCH(search!$B$6,samples!#REF!,1),0)</f>
        <v>0</v>
      </c>
      <c r="AC59" t="e">
        <f>IF(samples!#REF!=0,"",samples!#REF!)</f>
        <v>#REF!</v>
      </c>
      <c r="AD59">
        <f>IFERROR(SEARCH(search!$B$6,samples!#REF!,1),0)</f>
        <v>0</v>
      </c>
    </row>
    <row r="60" spans="1:30">
      <c r="A60">
        <f t="shared" si="0"/>
        <v>0</v>
      </c>
      <c r="B60">
        <f>IF(SUM(D60,F60,H60,J60,L60,N60,P60,R60,T60,V60,X60,Z60,AB60,AD60)&gt;0,SUM($A$2:A60),0)</f>
        <v>0</v>
      </c>
      <c r="C60" t="e">
        <f>samples!#REF!</f>
        <v>#REF!</v>
      </c>
      <c r="D60">
        <f>IFERROR(SEARCH(search!$B$6,samples!#REF!,1),0)</f>
        <v>0</v>
      </c>
      <c r="E60" t="e">
        <f>IF(samples!#REF!=0,"",samples!#REF!)</f>
        <v>#REF!</v>
      </c>
      <c r="F60">
        <f>IFERROR(SEARCH(search!$B$6,samples!#REF!,1),0)</f>
        <v>0</v>
      </c>
      <c r="G60" t="e">
        <f>IF(samples!#REF!=0,"",samples!#REF!)</f>
        <v>#REF!</v>
      </c>
      <c r="H60">
        <f>IFERROR(SEARCH(search!$B$6,samples!#REF!,1),0)</f>
        <v>0</v>
      </c>
      <c r="I60" t="e">
        <f>IF(samples!#REF!=0,"",samples!#REF!)</f>
        <v>#REF!</v>
      </c>
      <c r="J60">
        <f>IFERROR(SEARCH(search!$B$6,samples!#REF!,1),0)</f>
        <v>0</v>
      </c>
      <c r="K60" t="e">
        <f>IF(samples!#REF!=0,"",samples!#REF!)</f>
        <v>#REF!</v>
      </c>
      <c r="L60">
        <f>IFERROR(SEARCH(search!$B$6,samples!#REF!,1),0)</f>
        <v>0</v>
      </c>
      <c r="M60" t="e">
        <f>IF(samples!#REF!=0,"",samples!#REF!)</f>
        <v>#REF!</v>
      </c>
      <c r="N60">
        <f>IFERROR(SEARCH(search!$B$6,samples!#REF!,1),0)</f>
        <v>0</v>
      </c>
      <c r="O60" t="e">
        <f>IF(samples!#REF!=0,"",samples!#REF!)</f>
        <v>#REF!</v>
      </c>
      <c r="P60">
        <f>IFERROR(SEARCH(search!$B$6,samples!#REF!,1),0)</f>
        <v>0</v>
      </c>
      <c r="Q60" t="e">
        <f>IF(samples!#REF!=0,"",samples!#REF!)</f>
        <v>#REF!</v>
      </c>
      <c r="R60">
        <f>IFERROR(SEARCH(search!$B$6,samples!#REF!,1),0)</f>
        <v>0</v>
      </c>
      <c r="S60" t="e">
        <f>IF(samples!#REF!=0,"",samples!#REF!)</f>
        <v>#REF!</v>
      </c>
      <c r="T60">
        <f>IFERROR(SEARCH(search!$B$6,samples!#REF!,1),0)</f>
        <v>0</v>
      </c>
      <c r="U60" t="e">
        <f>IF(samples!#REF!=0,"",samples!#REF!)</f>
        <v>#REF!</v>
      </c>
      <c r="V60">
        <f>IFERROR(SEARCH(search!$B$6,samples!#REF!,1),0)</f>
        <v>0</v>
      </c>
      <c r="W60" t="e">
        <f>IF(samples!#REF!=0,"",samples!#REF!)</f>
        <v>#REF!</v>
      </c>
      <c r="X60">
        <f>IFERROR(SEARCH(search!$B$6,samples!#REF!,1),0)</f>
        <v>0</v>
      </c>
      <c r="Y60" t="e">
        <f>IF(samples!#REF!=0,"",samples!#REF!)</f>
        <v>#REF!</v>
      </c>
      <c r="Z60">
        <f>IFERROR(SEARCH(search!$B$6,samples!#REF!,1),0)</f>
        <v>0</v>
      </c>
      <c r="AA60" t="e">
        <f>IF(samples!#REF!=0,"",samples!#REF!)</f>
        <v>#REF!</v>
      </c>
      <c r="AB60">
        <f>IFERROR(SEARCH(search!$B$6,samples!#REF!,1),0)</f>
        <v>0</v>
      </c>
      <c r="AC60" t="e">
        <f>IF(samples!#REF!=0,"",samples!#REF!)</f>
        <v>#REF!</v>
      </c>
      <c r="AD60">
        <f>IFERROR(SEARCH(search!$B$6,samples!#REF!,1),0)</f>
        <v>0</v>
      </c>
    </row>
    <row r="61" spans="1:30">
      <c r="A61">
        <f t="shared" si="0"/>
        <v>0</v>
      </c>
      <c r="B61">
        <f>IF(SUM(D61,F61,H61,J61,L61,N61,P61,R61,T61,V61,X61,Z61,AB61,AD61)&gt;0,SUM($A$2:A61),0)</f>
        <v>0</v>
      </c>
      <c r="C61" t="e">
        <f>samples!#REF!</f>
        <v>#REF!</v>
      </c>
      <c r="D61">
        <f>IFERROR(SEARCH(search!$B$6,samples!#REF!,1),0)</f>
        <v>0</v>
      </c>
      <c r="E61" t="e">
        <f>IF(samples!#REF!=0,"",samples!#REF!)</f>
        <v>#REF!</v>
      </c>
      <c r="F61">
        <f>IFERROR(SEARCH(search!$B$6,samples!#REF!,1),0)</f>
        <v>0</v>
      </c>
      <c r="G61" t="e">
        <f>IF(samples!#REF!=0,"",samples!#REF!)</f>
        <v>#REF!</v>
      </c>
      <c r="H61">
        <f>IFERROR(SEARCH(search!$B$6,samples!#REF!,1),0)</f>
        <v>0</v>
      </c>
      <c r="I61" t="e">
        <f>IF(samples!#REF!=0,"",samples!#REF!)</f>
        <v>#REF!</v>
      </c>
      <c r="J61">
        <f>IFERROR(SEARCH(search!$B$6,samples!#REF!,1),0)</f>
        <v>0</v>
      </c>
      <c r="K61" t="e">
        <f>IF(samples!#REF!=0,"",samples!#REF!)</f>
        <v>#REF!</v>
      </c>
      <c r="L61">
        <f>IFERROR(SEARCH(search!$B$6,samples!#REF!,1),0)</f>
        <v>0</v>
      </c>
      <c r="M61" t="e">
        <f>IF(samples!#REF!=0,"",samples!#REF!)</f>
        <v>#REF!</v>
      </c>
      <c r="N61">
        <f>IFERROR(SEARCH(search!$B$6,samples!#REF!,1),0)</f>
        <v>0</v>
      </c>
      <c r="O61" t="e">
        <f>IF(samples!#REF!=0,"",samples!#REF!)</f>
        <v>#REF!</v>
      </c>
      <c r="P61">
        <f>IFERROR(SEARCH(search!$B$6,samples!#REF!,1),0)</f>
        <v>0</v>
      </c>
      <c r="Q61" t="e">
        <f>IF(samples!#REF!=0,"",samples!#REF!)</f>
        <v>#REF!</v>
      </c>
      <c r="R61">
        <f>IFERROR(SEARCH(search!$B$6,samples!#REF!,1),0)</f>
        <v>0</v>
      </c>
      <c r="S61" t="e">
        <f>IF(samples!#REF!=0,"",samples!#REF!)</f>
        <v>#REF!</v>
      </c>
      <c r="T61">
        <f>IFERROR(SEARCH(search!$B$6,samples!#REF!,1),0)</f>
        <v>0</v>
      </c>
      <c r="U61" t="e">
        <f>IF(samples!#REF!=0,"",samples!#REF!)</f>
        <v>#REF!</v>
      </c>
      <c r="V61">
        <f>IFERROR(SEARCH(search!$B$6,samples!#REF!,1),0)</f>
        <v>0</v>
      </c>
      <c r="W61" t="e">
        <f>IF(samples!#REF!=0,"",samples!#REF!)</f>
        <v>#REF!</v>
      </c>
      <c r="X61">
        <f>IFERROR(SEARCH(search!$B$6,samples!#REF!,1),0)</f>
        <v>0</v>
      </c>
      <c r="Y61" t="e">
        <f>IF(samples!#REF!=0,"",samples!#REF!)</f>
        <v>#REF!</v>
      </c>
      <c r="Z61">
        <f>IFERROR(SEARCH(search!$B$6,samples!#REF!,1),0)</f>
        <v>0</v>
      </c>
      <c r="AA61" t="e">
        <f>IF(samples!#REF!=0,"",samples!#REF!)</f>
        <v>#REF!</v>
      </c>
      <c r="AB61">
        <f>IFERROR(SEARCH(search!$B$6,samples!#REF!,1),0)</f>
        <v>0</v>
      </c>
      <c r="AC61" t="e">
        <f>IF(samples!#REF!=0,"",samples!#REF!)</f>
        <v>#REF!</v>
      </c>
      <c r="AD61">
        <f>IFERROR(SEARCH(search!$B$6,samples!#REF!,1),0)</f>
        <v>0</v>
      </c>
    </row>
    <row r="62" spans="1:30">
      <c r="A62">
        <f t="shared" si="0"/>
        <v>0</v>
      </c>
      <c r="B62">
        <f>IF(SUM(D62,F62,H62,J62,L62,N62,P62,R62,T62,V62,X62,Z62,AB62,AD62)&gt;0,SUM($A$2:A62),0)</f>
        <v>0</v>
      </c>
      <c r="C62" t="e">
        <f>samples!#REF!</f>
        <v>#REF!</v>
      </c>
      <c r="D62">
        <f>IFERROR(SEARCH(search!$B$6,samples!#REF!,1),0)</f>
        <v>0</v>
      </c>
      <c r="E62" t="e">
        <f>IF(samples!#REF!=0,"",samples!#REF!)</f>
        <v>#REF!</v>
      </c>
      <c r="F62">
        <f>IFERROR(SEARCH(search!$B$6,samples!#REF!,1),0)</f>
        <v>0</v>
      </c>
      <c r="G62" t="e">
        <f>IF(samples!#REF!=0,"",samples!#REF!)</f>
        <v>#REF!</v>
      </c>
      <c r="H62">
        <f>IFERROR(SEARCH(search!$B$6,samples!#REF!,1),0)</f>
        <v>0</v>
      </c>
      <c r="I62" t="e">
        <f>IF(samples!#REF!=0,"",samples!#REF!)</f>
        <v>#REF!</v>
      </c>
      <c r="J62">
        <f>IFERROR(SEARCH(search!$B$6,samples!#REF!,1),0)</f>
        <v>0</v>
      </c>
      <c r="K62" t="e">
        <f>IF(samples!#REF!=0,"",samples!#REF!)</f>
        <v>#REF!</v>
      </c>
      <c r="L62">
        <f>IFERROR(SEARCH(search!$B$6,samples!#REF!,1),0)</f>
        <v>0</v>
      </c>
      <c r="M62" t="e">
        <f>IF(samples!#REF!=0,"",samples!#REF!)</f>
        <v>#REF!</v>
      </c>
      <c r="N62">
        <f>IFERROR(SEARCH(search!$B$6,samples!#REF!,1),0)</f>
        <v>0</v>
      </c>
      <c r="O62" t="e">
        <f>IF(samples!#REF!=0,"",samples!#REF!)</f>
        <v>#REF!</v>
      </c>
      <c r="P62">
        <f>IFERROR(SEARCH(search!$B$6,samples!#REF!,1),0)</f>
        <v>0</v>
      </c>
      <c r="Q62" t="e">
        <f>IF(samples!#REF!=0,"",samples!#REF!)</f>
        <v>#REF!</v>
      </c>
      <c r="R62">
        <f>IFERROR(SEARCH(search!$B$6,samples!#REF!,1),0)</f>
        <v>0</v>
      </c>
      <c r="S62" t="e">
        <f>IF(samples!#REF!=0,"",samples!#REF!)</f>
        <v>#REF!</v>
      </c>
      <c r="T62">
        <f>IFERROR(SEARCH(search!$B$6,samples!#REF!,1),0)</f>
        <v>0</v>
      </c>
      <c r="U62" t="e">
        <f>IF(samples!#REF!=0,"",samples!#REF!)</f>
        <v>#REF!</v>
      </c>
      <c r="V62">
        <f>IFERROR(SEARCH(search!$B$6,samples!#REF!,1),0)</f>
        <v>0</v>
      </c>
      <c r="W62" t="e">
        <f>IF(samples!#REF!=0,"",samples!#REF!)</f>
        <v>#REF!</v>
      </c>
      <c r="X62">
        <f>IFERROR(SEARCH(search!$B$6,samples!#REF!,1),0)</f>
        <v>0</v>
      </c>
      <c r="Y62" t="e">
        <f>IF(samples!#REF!=0,"",samples!#REF!)</f>
        <v>#REF!</v>
      </c>
      <c r="Z62">
        <f>IFERROR(SEARCH(search!$B$6,samples!#REF!,1),0)</f>
        <v>0</v>
      </c>
      <c r="AA62" t="e">
        <f>IF(samples!#REF!=0,"",samples!#REF!)</f>
        <v>#REF!</v>
      </c>
      <c r="AB62">
        <f>IFERROR(SEARCH(search!$B$6,samples!#REF!,1),0)</f>
        <v>0</v>
      </c>
      <c r="AC62" t="e">
        <f>IF(samples!#REF!=0,"",samples!#REF!)</f>
        <v>#REF!</v>
      </c>
      <c r="AD62">
        <f>IFERROR(SEARCH(search!$B$6,samples!#REF!,1),0)</f>
        <v>0</v>
      </c>
    </row>
    <row r="63" spans="1:30">
      <c r="A63">
        <f t="shared" si="0"/>
        <v>0</v>
      </c>
      <c r="B63">
        <f>IF(SUM(D63,F63,H63,J63,L63,N63,P63,R63,T63,V63,X63,Z63,AB63,AD63)&gt;0,SUM($A$2:A63),0)</f>
        <v>0</v>
      </c>
      <c r="C63" t="e">
        <f>samples!#REF!</f>
        <v>#REF!</v>
      </c>
      <c r="D63">
        <f>IFERROR(SEARCH(search!$B$6,samples!#REF!,1),0)</f>
        <v>0</v>
      </c>
      <c r="E63" t="e">
        <f>IF(samples!#REF!=0,"",samples!#REF!)</f>
        <v>#REF!</v>
      </c>
      <c r="F63">
        <f>IFERROR(SEARCH(search!$B$6,samples!#REF!,1),0)</f>
        <v>0</v>
      </c>
      <c r="G63" t="e">
        <f>IF(samples!#REF!=0,"",samples!#REF!)</f>
        <v>#REF!</v>
      </c>
      <c r="H63">
        <f>IFERROR(SEARCH(search!$B$6,samples!#REF!,1),0)</f>
        <v>0</v>
      </c>
      <c r="I63" t="e">
        <f>IF(samples!#REF!=0,"",samples!#REF!)</f>
        <v>#REF!</v>
      </c>
      <c r="J63">
        <f>IFERROR(SEARCH(search!$B$6,samples!#REF!,1),0)</f>
        <v>0</v>
      </c>
      <c r="K63" t="e">
        <f>IF(samples!#REF!=0,"",samples!#REF!)</f>
        <v>#REF!</v>
      </c>
      <c r="L63">
        <f>IFERROR(SEARCH(search!$B$6,samples!#REF!,1),0)</f>
        <v>0</v>
      </c>
      <c r="M63" t="e">
        <f>IF(samples!#REF!=0,"",samples!#REF!)</f>
        <v>#REF!</v>
      </c>
      <c r="N63">
        <f>IFERROR(SEARCH(search!$B$6,samples!#REF!,1),0)</f>
        <v>0</v>
      </c>
      <c r="O63" t="e">
        <f>IF(samples!#REF!=0,"",samples!#REF!)</f>
        <v>#REF!</v>
      </c>
      <c r="P63">
        <f>IFERROR(SEARCH(search!$B$6,samples!#REF!,1),0)</f>
        <v>0</v>
      </c>
      <c r="Q63" t="e">
        <f>IF(samples!#REF!=0,"",samples!#REF!)</f>
        <v>#REF!</v>
      </c>
      <c r="R63">
        <f>IFERROR(SEARCH(search!$B$6,samples!#REF!,1),0)</f>
        <v>0</v>
      </c>
      <c r="S63" t="e">
        <f>IF(samples!#REF!=0,"",samples!#REF!)</f>
        <v>#REF!</v>
      </c>
      <c r="T63">
        <f>IFERROR(SEARCH(search!$B$6,samples!#REF!,1),0)</f>
        <v>0</v>
      </c>
      <c r="U63" t="e">
        <f>IF(samples!#REF!=0,"",samples!#REF!)</f>
        <v>#REF!</v>
      </c>
      <c r="V63">
        <f>IFERROR(SEARCH(search!$B$6,samples!#REF!,1),0)</f>
        <v>0</v>
      </c>
      <c r="W63" t="e">
        <f>IF(samples!#REF!=0,"",samples!#REF!)</f>
        <v>#REF!</v>
      </c>
      <c r="X63">
        <f>IFERROR(SEARCH(search!$B$6,samples!#REF!,1),0)</f>
        <v>0</v>
      </c>
      <c r="Y63" t="e">
        <f>IF(samples!#REF!=0,"",samples!#REF!)</f>
        <v>#REF!</v>
      </c>
      <c r="Z63">
        <f>IFERROR(SEARCH(search!$B$6,samples!#REF!,1),0)</f>
        <v>0</v>
      </c>
      <c r="AA63" t="e">
        <f>IF(samples!#REF!=0,"",samples!#REF!)</f>
        <v>#REF!</v>
      </c>
      <c r="AB63">
        <f>IFERROR(SEARCH(search!$B$6,samples!#REF!,1),0)</f>
        <v>0</v>
      </c>
      <c r="AC63" t="e">
        <f>IF(samples!#REF!=0,"",samples!#REF!)</f>
        <v>#REF!</v>
      </c>
      <c r="AD63">
        <f>IFERROR(SEARCH(search!$B$6,samples!#REF!,1),0)</f>
        <v>0</v>
      </c>
    </row>
    <row r="64" spans="1:30">
      <c r="A64">
        <f t="shared" si="0"/>
        <v>0</v>
      </c>
      <c r="B64">
        <f>IF(SUM(D64,F64,H64,J64,L64,N64,P64,R64,T64,V64,X64,Z64,AB64,AD64)&gt;0,SUM($A$2:A64),0)</f>
        <v>0</v>
      </c>
      <c r="C64" t="e">
        <f>samples!#REF!</f>
        <v>#REF!</v>
      </c>
      <c r="D64">
        <f>IFERROR(SEARCH(search!$B$6,samples!#REF!,1),0)</f>
        <v>0</v>
      </c>
      <c r="E64" t="e">
        <f>IF(samples!#REF!=0,"",samples!#REF!)</f>
        <v>#REF!</v>
      </c>
      <c r="F64">
        <f>IFERROR(SEARCH(search!$B$6,samples!#REF!,1),0)</f>
        <v>0</v>
      </c>
      <c r="G64" t="e">
        <f>IF(samples!#REF!=0,"",samples!#REF!)</f>
        <v>#REF!</v>
      </c>
      <c r="H64">
        <f>IFERROR(SEARCH(search!$B$6,samples!#REF!,1),0)</f>
        <v>0</v>
      </c>
      <c r="I64" t="e">
        <f>IF(samples!#REF!=0,"",samples!#REF!)</f>
        <v>#REF!</v>
      </c>
      <c r="J64">
        <f>IFERROR(SEARCH(search!$B$6,samples!#REF!,1),0)</f>
        <v>0</v>
      </c>
      <c r="K64" t="e">
        <f>IF(samples!#REF!=0,"",samples!#REF!)</f>
        <v>#REF!</v>
      </c>
      <c r="L64">
        <f>IFERROR(SEARCH(search!$B$6,samples!#REF!,1),0)</f>
        <v>0</v>
      </c>
      <c r="M64" t="e">
        <f>IF(samples!#REF!=0,"",samples!#REF!)</f>
        <v>#REF!</v>
      </c>
      <c r="N64">
        <f>IFERROR(SEARCH(search!$B$6,samples!#REF!,1),0)</f>
        <v>0</v>
      </c>
      <c r="O64" t="e">
        <f>IF(samples!#REF!=0,"",samples!#REF!)</f>
        <v>#REF!</v>
      </c>
      <c r="P64">
        <f>IFERROR(SEARCH(search!$B$6,samples!#REF!,1),0)</f>
        <v>0</v>
      </c>
      <c r="Q64" t="e">
        <f>IF(samples!#REF!=0,"",samples!#REF!)</f>
        <v>#REF!</v>
      </c>
      <c r="R64">
        <f>IFERROR(SEARCH(search!$B$6,samples!#REF!,1),0)</f>
        <v>0</v>
      </c>
      <c r="S64" t="e">
        <f>IF(samples!#REF!=0,"",samples!#REF!)</f>
        <v>#REF!</v>
      </c>
      <c r="T64">
        <f>IFERROR(SEARCH(search!$B$6,samples!#REF!,1),0)</f>
        <v>0</v>
      </c>
      <c r="U64" t="e">
        <f>IF(samples!#REF!=0,"",samples!#REF!)</f>
        <v>#REF!</v>
      </c>
      <c r="V64">
        <f>IFERROR(SEARCH(search!$B$6,samples!#REF!,1),0)</f>
        <v>0</v>
      </c>
      <c r="W64" t="e">
        <f>IF(samples!#REF!=0,"",samples!#REF!)</f>
        <v>#REF!</v>
      </c>
      <c r="X64">
        <f>IFERROR(SEARCH(search!$B$6,samples!#REF!,1),0)</f>
        <v>0</v>
      </c>
      <c r="Y64" t="e">
        <f>IF(samples!#REF!=0,"",samples!#REF!)</f>
        <v>#REF!</v>
      </c>
      <c r="Z64">
        <f>IFERROR(SEARCH(search!$B$6,samples!#REF!,1),0)</f>
        <v>0</v>
      </c>
      <c r="AA64" t="e">
        <f>IF(samples!#REF!=0,"",samples!#REF!)</f>
        <v>#REF!</v>
      </c>
      <c r="AB64">
        <f>IFERROR(SEARCH(search!$B$6,samples!#REF!,1),0)</f>
        <v>0</v>
      </c>
      <c r="AC64" t="e">
        <f>IF(samples!#REF!=0,"",samples!#REF!)</f>
        <v>#REF!</v>
      </c>
      <c r="AD64">
        <f>IFERROR(SEARCH(search!$B$6,samples!#REF!,1),0)</f>
        <v>0</v>
      </c>
    </row>
    <row r="65" spans="1:30">
      <c r="A65">
        <f t="shared" si="0"/>
        <v>0</v>
      </c>
      <c r="B65">
        <f>IF(SUM(D65,F65,H65,J65,L65,N65,P65,R65,T65,V65,X65,Z65,AB65,AD65)&gt;0,SUM($A$2:A65),0)</f>
        <v>0</v>
      </c>
      <c r="C65" t="e">
        <f>samples!#REF!</f>
        <v>#REF!</v>
      </c>
      <c r="D65">
        <f>IFERROR(SEARCH(search!$B$6,samples!#REF!,1),0)</f>
        <v>0</v>
      </c>
      <c r="E65" t="e">
        <f>IF(samples!#REF!=0,"",samples!#REF!)</f>
        <v>#REF!</v>
      </c>
      <c r="F65">
        <f>IFERROR(SEARCH(search!$B$6,samples!#REF!,1),0)</f>
        <v>0</v>
      </c>
      <c r="G65" t="e">
        <f>IF(samples!#REF!=0,"",samples!#REF!)</f>
        <v>#REF!</v>
      </c>
      <c r="H65">
        <f>IFERROR(SEARCH(search!$B$6,samples!#REF!,1),0)</f>
        <v>0</v>
      </c>
      <c r="I65" t="e">
        <f>IF(samples!#REF!=0,"",samples!#REF!)</f>
        <v>#REF!</v>
      </c>
      <c r="J65">
        <f>IFERROR(SEARCH(search!$B$6,samples!#REF!,1),0)</f>
        <v>0</v>
      </c>
      <c r="K65" t="e">
        <f>IF(samples!#REF!=0,"",samples!#REF!)</f>
        <v>#REF!</v>
      </c>
      <c r="L65">
        <f>IFERROR(SEARCH(search!$B$6,samples!#REF!,1),0)</f>
        <v>0</v>
      </c>
      <c r="M65" t="e">
        <f>IF(samples!#REF!=0,"",samples!#REF!)</f>
        <v>#REF!</v>
      </c>
      <c r="N65">
        <f>IFERROR(SEARCH(search!$B$6,samples!#REF!,1),0)</f>
        <v>0</v>
      </c>
      <c r="O65" t="e">
        <f>IF(samples!#REF!=0,"",samples!#REF!)</f>
        <v>#REF!</v>
      </c>
      <c r="P65">
        <f>IFERROR(SEARCH(search!$B$6,samples!#REF!,1),0)</f>
        <v>0</v>
      </c>
      <c r="Q65" t="e">
        <f>IF(samples!#REF!=0,"",samples!#REF!)</f>
        <v>#REF!</v>
      </c>
      <c r="R65">
        <f>IFERROR(SEARCH(search!$B$6,samples!#REF!,1),0)</f>
        <v>0</v>
      </c>
      <c r="S65" t="e">
        <f>IF(samples!#REF!=0,"",samples!#REF!)</f>
        <v>#REF!</v>
      </c>
      <c r="T65">
        <f>IFERROR(SEARCH(search!$B$6,samples!#REF!,1),0)</f>
        <v>0</v>
      </c>
      <c r="U65" t="e">
        <f>IF(samples!#REF!=0,"",samples!#REF!)</f>
        <v>#REF!</v>
      </c>
      <c r="V65">
        <f>IFERROR(SEARCH(search!$B$6,samples!#REF!,1),0)</f>
        <v>0</v>
      </c>
      <c r="W65" t="e">
        <f>IF(samples!#REF!=0,"",samples!#REF!)</f>
        <v>#REF!</v>
      </c>
      <c r="X65">
        <f>IFERROR(SEARCH(search!$B$6,samples!#REF!,1),0)</f>
        <v>0</v>
      </c>
      <c r="Y65" t="e">
        <f>IF(samples!#REF!=0,"",samples!#REF!)</f>
        <v>#REF!</v>
      </c>
      <c r="Z65">
        <f>IFERROR(SEARCH(search!$B$6,samples!#REF!,1),0)</f>
        <v>0</v>
      </c>
      <c r="AA65" t="e">
        <f>IF(samples!#REF!=0,"",samples!#REF!)</f>
        <v>#REF!</v>
      </c>
      <c r="AB65">
        <f>IFERROR(SEARCH(search!$B$6,samples!#REF!,1),0)</f>
        <v>0</v>
      </c>
      <c r="AC65" t="e">
        <f>IF(samples!#REF!=0,"",samples!#REF!)</f>
        <v>#REF!</v>
      </c>
      <c r="AD65">
        <f>IFERROR(SEARCH(search!$B$6,samples!#REF!,1),0)</f>
        <v>0</v>
      </c>
    </row>
    <row r="66" spans="1:30">
      <c r="A66">
        <f t="shared" si="0"/>
        <v>0</v>
      </c>
      <c r="B66">
        <f>IF(SUM(D66,F66,H66,J66,L66,N66,P66,R66,T66,V66,X66,Z66,AB66,AD66)&gt;0,SUM($A$2:A66),0)</f>
        <v>0</v>
      </c>
      <c r="C66" t="e">
        <f>samples!#REF!</f>
        <v>#REF!</v>
      </c>
      <c r="D66">
        <f>IFERROR(SEARCH(search!$B$6,samples!#REF!,1),0)</f>
        <v>0</v>
      </c>
      <c r="E66" t="e">
        <f>IF(samples!#REF!=0,"",samples!#REF!)</f>
        <v>#REF!</v>
      </c>
      <c r="F66">
        <f>IFERROR(SEARCH(search!$B$6,samples!#REF!,1),0)</f>
        <v>0</v>
      </c>
      <c r="G66" t="e">
        <f>IF(samples!#REF!=0,"",samples!#REF!)</f>
        <v>#REF!</v>
      </c>
      <c r="H66">
        <f>IFERROR(SEARCH(search!$B$6,samples!#REF!,1),0)</f>
        <v>0</v>
      </c>
      <c r="I66" t="e">
        <f>IF(samples!#REF!=0,"",samples!#REF!)</f>
        <v>#REF!</v>
      </c>
      <c r="J66">
        <f>IFERROR(SEARCH(search!$B$6,samples!#REF!,1),0)</f>
        <v>0</v>
      </c>
      <c r="K66" t="e">
        <f>IF(samples!#REF!=0,"",samples!#REF!)</f>
        <v>#REF!</v>
      </c>
      <c r="L66">
        <f>IFERROR(SEARCH(search!$B$6,samples!#REF!,1),0)</f>
        <v>0</v>
      </c>
      <c r="M66" t="e">
        <f>IF(samples!#REF!=0,"",samples!#REF!)</f>
        <v>#REF!</v>
      </c>
      <c r="N66">
        <f>IFERROR(SEARCH(search!$B$6,samples!#REF!,1),0)</f>
        <v>0</v>
      </c>
      <c r="O66" t="e">
        <f>IF(samples!#REF!=0,"",samples!#REF!)</f>
        <v>#REF!</v>
      </c>
      <c r="P66">
        <f>IFERROR(SEARCH(search!$B$6,samples!#REF!,1),0)</f>
        <v>0</v>
      </c>
      <c r="Q66" t="e">
        <f>IF(samples!#REF!=0,"",samples!#REF!)</f>
        <v>#REF!</v>
      </c>
      <c r="R66">
        <f>IFERROR(SEARCH(search!$B$6,samples!#REF!,1),0)</f>
        <v>0</v>
      </c>
      <c r="S66" t="e">
        <f>IF(samples!#REF!=0,"",samples!#REF!)</f>
        <v>#REF!</v>
      </c>
      <c r="T66">
        <f>IFERROR(SEARCH(search!$B$6,samples!#REF!,1),0)</f>
        <v>0</v>
      </c>
      <c r="U66" t="e">
        <f>IF(samples!#REF!=0,"",samples!#REF!)</f>
        <v>#REF!</v>
      </c>
      <c r="V66">
        <f>IFERROR(SEARCH(search!$B$6,samples!#REF!,1),0)</f>
        <v>0</v>
      </c>
      <c r="W66" t="e">
        <f>IF(samples!#REF!=0,"",samples!#REF!)</f>
        <v>#REF!</v>
      </c>
      <c r="X66">
        <f>IFERROR(SEARCH(search!$B$6,samples!#REF!,1),0)</f>
        <v>0</v>
      </c>
      <c r="Y66" t="e">
        <f>IF(samples!#REF!=0,"",samples!#REF!)</f>
        <v>#REF!</v>
      </c>
      <c r="Z66">
        <f>IFERROR(SEARCH(search!$B$6,samples!#REF!,1),0)</f>
        <v>0</v>
      </c>
      <c r="AA66" t="e">
        <f>IF(samples!#REF!=0,"",samples!#REF!)</f>
        <v>#REF!</v>
      </c>
      <c r="AB66">
        <f>IFERROR(SEARCH(search!$B$6,samples!#REF!,1),0)</f>
        <v>0</v>
      </c>
      <c r="AC66" t="e">
        <f>IF(samples!#REF!=0,"",samples!#REF!)</f>
        <v>#REF!</v>
      </c>
      <c r="AD66">
        <f>IFERROR(SEARCH(search!$B$6,samples!#REF!,1),0)</f>
        <v>0</v>
      </c>
    </row>
    <row r="67" spans="1:30">
      <c r="A67">
        <f t="shared" ref="A67:A130" si="1">IF(SUM(D67,F67,H67,J67,L67,N67,P67,R67,T67,V67,X67,Z67,AB67,AD67)&gt;0,1,0)</f>
        <v>0</v>
      </c>
      <c r="B67">
        <f>IF(SUM(D67,F67,H67,J67,L67,N67,P67,R67,T67,V67,X67,Z67,AB67,AD67)&gt;0,SUM($A$2:A67),0)</f>
        <v>0</v>
      </c>
      <c r="C67" t="e">
        <f>samples!#REF!</f>
        <v>#REF!</v>
      </c>
      <c r="D67">
        <f>IFERROR(SEARCH(search!$B$6,samples!#REF!,1),0)</f>
        <v>0</v>
      </c>
      <c r="E67" t="e">
        <f>IF(samples!#REF!=0,"",samples!#REF!)</f>
        <v>#REF!</v>
      </c>
      <c r="F67">
        <f>IFERROR(SEARCH(search!$B$6,samples!#REF!,1),0)</f>
        <v>0</v>
      </c>
      <c r="G67" t="e">
        <f>IF(samples!#REF!=0,"",samples!#REF!)</f>
        <v>#REF!</v>
      </c>
      <c r="H67">
        <f>IFERROR(SEARCH(search!$B$6,samples!#REF!,1),0)</f>
        <v>0</v>
      </c>
      <c r="I67" t="e">
        <f>IF(samples!#REF!=0,"",samples!#REF!)</f>
        <v>#REF!</v>
      </c>
      <c r="J67">
        <f>IFERROR(SEARCH(search!$B$6,samples!#REF!,1),0)</f>
        <v>0</v>
      </c>
      <c r="K67" t="e">
        <f>IF(samples!#REF!=0,"",samples!#REF!)</f>
        <v>#REF!</v>
      </c>
      <c r="L67">
        <f>IFERROR(SEARCH(search!$B$6,samples!#REF!,1),0)</f>
        <v>0</v>
      </c>
      <c r="M67" t="e">
        <f>IF(samples!#REF!=0,"",samples!#REF!)</f>
        <v>#REF!</v>
      </c>
      <c r="N67">
        <f>IFERROR(SEARCH(search!$B$6,samples!#REF!,1),0)</f>
        <v>0</v>
      </c>
      <c r="O67" t="e">
        <f>IF(samples!#REF!=0,"",samples!#REF!)</f>
        <v>#REF!</v>
      </c>
      <c r="P67">
        <f>IFERROR(SEARCH(search!$B$6,samples!#REF!,1),0)</f>
        <v>0</v>
      </c>
      <c r="Q67" t="e">
        <f>IF(samples!#REF!=0,"",samples!#REF!)</f>
        <v>#REF!</v>
      </c>
      <c r="R67">
        <f>IFERROR(SEARCH(search!$B$6,samples!#REF!,1),0)</f>
        <v>0</v>
      </c>
      <c r="S67" t="e">
        <f>IF(samples!#REF!=0,"",samples!#REF!)</f>
        <v>#REF!</v>
      </c>
      <c r="T67">
        <f>IFERROR(SEARCH(search!$B$6,samples!#REF!,1),0)</f>
        <v>0</v>
      </c>
      <c r="U67" t="e">
        <f>IF(samples!#REF!=0,"",samples!#REF!)</f>
        <v>#REF!</v>
      </c>
      <c r="V67">
        <f>IFERROR(SEARCH(search!$B$6,samples!#REF!,1),0)</f>
        <v>0</v>
      </c>
      <c r="W67" t="e">
        <f>IF(samples!#REF!=0,"",samples!#REF!)</f>
        <v>#REF!</v>
      </c>
      <c r="X67">
        <f>IFERROR(SEARCH(search!$B$6,samples!#REF!,1),0)</f>
        <v>0</v>
      </c>
      <c r="Y67" t="e">
        <f>IF(samples!#REF!=0,"",samples!#REF!)</f>
        <v>#REF!</v>
      </c>
      <c r="Z67">
        <f>IFERROR(SEARCH(search!$B$6,samples!#REF!,1),0)</f>
        <v>0</v>
      </c>
      <c r="AA67" t="e">
        <f>IF(samples!#REF!=0,"",samples!#REF!)</f>
        <v>#REF!</v>
      </c>
      <c r="AB67">
        <f>IFERROR(SEARCH(search!$B$6,samples!#REF!,1),0)</f>
        <v>0</v>
      </c>
      <c r="AC67" t="e">
        <f>IF(samples!#REF!=0,"",samples!#REF!)</f>
        <v>#REF!</v>
      </c>
      <c r="AD67">
        <f>IFERROR(SEARCH(search!$B$6,samples!#REF!,1),0)</f>
        <v>0</v>
      </c>
    </row>
    <row r="68" spans="1:30">
      <c r="A68">
        <f t="shared" si="1"/>
        <v>0</v>
      </c>
      <c r="B68">
        <f>IF(SUM(D68,F68,H68,J68,L68,N68,P68,R68,T68,V68,X68,Z68,AB68,AD68)&gt;0,SUM($A$2:A68),0)</f>
        <v>0</v>
      </c>
      <c r="C68" t="e">
        <f>samples!#REF!</f>
        <v>#REF!</v>
      </c>
      <c r="D68">
        <f>IFERROR(SEARCH(search!$B$6,samples!#REF!,1),0)</f>
        <v>0</v>
      </c>
      <c r="E68" t="e">
        <f>IF(samples!#REF!=0,"",samples!#REF!)</f>
        <v>#REF!</v>
      </c>
      <c r="F68">
        <f>IFERROR(SEARCH(search!$B$6,samples!#REF!,1),0)</f>
        <v>0</v>
      </c>
      <c r="G68" t="e">
        <f>IF(samples!#REF!=0,"",samples!#REF!)</f>
        <v>#REF!</v>
      </c>
      <c r="H68">
        <f>IFERROR(SEARCH(search!$B$6,samples!#REF!,1),0)</f>
        <v>0</v>
      </c>
      <c r="I68" t="e">
        <f>IF(samples!#REF!=0,"",samples!#REF!)</f>
        <v>#REF!</v>
      </c>
      <c r="J68">
        <f>IFERROR(SEARCH(search!$B$6,samples!#REF!,1),0)</f>
        <v>0</v>
      </c>
      <c r="K68" t="e">
        <f>IF(samples!#REF!=0,"",samples!#REF!)</f>
        <v>#REF!</v>
      </c>
      <c r="L68">
        <f>IFERROR(SEARCH(search!$B$6,samples!#REF!,1),0)</f>
        <v>0</v>
      </c>
      <c r="M68" t="e">
        <f>IF(samples!#REF!=0,"",samples!#REF!)</f>
        <v>#REF!</v>
      </c>
      <c r="N68">
        <f>IFERROR(SEARCH(search!$B$6,samples!#REF!,1),0)</f>
        <v>0</v>
      </c>
      <c r="O68" t="e">
        <f>IF(samples!#REF!=0,"",samples!#REF!)</f>
        <v>#REF!</v>
      </c>
      <c r="P68">
        <f>IFERROR(SEARCH(search!$B$6,samples!#REF!,1),0)</f>
        <v>0</v>
      </c>
      <c r="Q68" t="e">
        <f>IF(samples!#REF!=0,"",samples!#REF!)</f>
        <v>#REF!</v>
      </c>
      <c r="R68">
        <f>IFERROR(SEARCH(search!$B$6,samples!#REF!,1),0)</f>
        <v>0</v>
      </c>
      <c r="S68" t="e">
        <f>IF(samples!#REF!=0,"",samples!#REF!)</f>
        <v>#REF!</v>
      </c>
      <c r="T68">
        <f>IFERROR(SEARCH(search!$B$6,samples!#REF!,1),0)</f>
        <v>0</v>
      </c>
      <c r="U68" t="e">
        <f>IF(samples!#REF!=0,"",samples!#REF!)</f>
        <v>#REF!</v>
      </c>
      <c r="V68">
        <f>IFERROR(SEARCH(search!$B$6,samples!#REF!,1),0)</f>
        <v>0</v>
      </c>
      <c r="W68" t="e">
        <f>IF(samples!#REF!=0,"",samples!#REF!)</f>
        <v>#REF!</v>
      </c>
      <c r="X68">
        <f>IFERROR(SEARCH(search!$B$6,samples!#REF!,1),0)</f>
        <v>0</v>
      </c>
      <c r="Y68" t="e">
        <f>IF(samples!#REF!=0,"",samples!#REF!)</f>
        <v>#REF!</v>
      </c>
      <c r="Z68">
        <f>IFERROR(SEARCH(search!$B$6,samples!#REF!,1),0)</f>
        <v>0</v>
      </c>
      <c r="AA68" t="e">
        <f>IF(samples!#REF!=0,"",samples!#REF!)</f>
        <v>#REF!</v>
      </c>
      <c r="AB68">
        <f>IFERROR(SEARCH(search!$B$6,samples!#REF!,1),0)</f>
        <v>0</v>
      </c>
      <c r="AC68" t="e">
        <f>IF(samples!#REF!=0,"",samples!#REF!)</f>
        <v>#REF!</v>
      </c>
      <c r="AD68">
        <f>IFERROR(SEARCH(search!$B$6,samples!#REF!,1),0)</f>
        <v>0</v>
      </c>
    </row>
    <row r="69" spans="1:30">
      <c r="A69">
        <f t="shared" si="1"/>
        <v>0</v>
      </c>
      <c r="B69">
        <f>IF(SUM(D69,F69,H69,J69,L69,N69,P69,R69,T69,V69,X69,Z69,AB69,AD69)&gt;0,SUM($A$2:A69),0)</f>
        <v>0</v>
      </c>
      <c r="C69" t="e">
        <f>samples!#REF!</f>
        <v>#REF!</v>
      </c>
      <c r="D69">
        <f>IFERROR(SEARCH(search!$B$6,samples!#REF!,1),0)</f>
        <v>0</v>
      </c>
      <c r="E69" t="e">
        <f>IF(samples!#REF!=0,"",samples!#REF!)</f>
        <v>#REF!</v>
      </c>
      <c r="F69">
        <f>IFERROR(SEARCH(search!$B$6,samples!#REF!,1),0)</f>
        <v>0</v>
      </c>
      <c r="G69" t="e">
        <f>IF(samples!#REF!=0,"",samples!#REF!)</f>
        <v>#REF!</v>
      </c>
      <c r="H69">
        <f>IFERROR(SEARCH(search!$B$6,samples!#REF!,1),0)</f>
        <v>0</v>
      </c>
      <c r="I69" t="e">
        <f>IF(samples!#REF!=0,"",samples!#REF!)</f>
        <v>#REF!</v>
      </c>
      <c r="J69">
        <f>IFERROR(SEARCH(search!$B$6,samples!#REF!,1),0)</f>
        <v>0</v>
      </c>
      <c r="K69" t="e">
        <f>IF(samples!#REF!=0,"",samples!#REF!)</f>
        <v>#REF!</v>
      </c>
      <c r="L69">
        <f>IFERROR(SEARCH(search!$B$6,samples!#REF!,1),0)</f>
        <v>0</v>
      </c>
      <c r="M69" t="e">
        <f>IF(samples!#REF!=0,"",samples!#REF!)</f>
        <v>#REF!</v>
      </c>
      <c r="N69">
        <f>IFERROR(SEARCH(search!$B$6,samples!#REF!,1),0)</f>
        <v>0</v>
      </c>
      <c r="O69" t="e">
        <f>IF(samples!#REF!=0,"",samples!#REF!)</f>
        <v>#REF!</v>
      </c>
      <c r="P69">
        <f>IFERROR(SEARCH(search!$B$6,samples!#REF!,1),0)</f>
        <v>0</v>
      </c>
      <c r="Q69" t="e">
        <f>IF(samples!#REF!=0,"",samples!#REF!)</f>
        <v>#REF!</v>
      </c>
      <c r="R69">
        <f>IFERROR(SEARCH(search!$B$6,samples!#REF!,1),0)</f>
        <v>0</v>
      </c>
      <c r="S69" t="e">
        <f>IF(samples!#REF!=0,"",samples!#REF!)</f>
        <v>#REF!</v>
      </c>
      <c r="T69">
        <f>IFERROR(SEARCH(search!$B$6,samples!#REF!,1),0)</f>
        <v>0</v>
      </c>
      <c r="U69" t="e">
        <f>IF(samples!#REF!=0,"",samples!#REF!)</f>
        <v>#REF!</v>
      </c>
      <c r="V69">
        <f>IFERROR(SEARCH(search!$B$6,samples!#REF!,1),0)</f>
        <v>0</v>
      </c>
      <c r="W69" t="e">
        <f>IF(samples!#REF!=0,"",samples!#REF!)</f>
        <v>#REF!</v>
      </c>
      <c r="X69">
        <f>IFERROR(SEARCH(search!$B$6,samples!#REF!,1),0)</f>
        <v>0</v>
      </c>
      <c r="Y69" t="e">
        <f>IF(samples!#REF!=0,"",samples!#REF!)</f>
        <v>#REF!</v>
      </c>
      <c r="Z69">
        <f>IFERROR(SEARCH(search!$B$6,samples!#REF!,1),0)</f>
        <v>0</v>
      </c>
      <c r="AA69" t="e">
        <f>IF(samples!#REF!=0,"",samples!#REF!)</f>
        <v>#REF!</v>
      </c>
      <c r="AB69">
        <f>IFERROR(SEARCH(search!$B$6,samples!#REF!,1),0)</f>
        <v>0</v>
      </c>
      <c r="AC69" t="e">
        <f>IF(samples!#REF!=0,"",samples!#REF!)</f>
        <v>#REF!</v>
      </c>
      <c r="AD69">
        <f>IFERROR(SEARCH(search!$B$6,samples!#REF!,1),0)</f>
        <v>0</v>
      </c>
    </row>
    <row r="70" spans="1:30">
      <c r="A70">
        <f t="shared" si="1"/>
        <v>0</v>
      </c>
      <c r="B70">
        <f>IF(SUM(D70,F70,H70,J70,L70,N70,P70,R70,T70,V70,X70,Z70,AB70,AD70)&gt;0,SUM($A$2:A70),0)</f>
        <v>0</v>
      </c>
      <c r="C70" t="e">
        <f>samples!#REF!</f>
        <v>#REF!</v>
      </c>
      <c r="D70">
        <f>IFERROR(SEARCH(search!$B$6,samples!#REF!,1),0)</f>
        <v>0</v>
      </c>
      <c r="E70" t="e">
        <f>IF(samples!#REF!=0,"",samples!#REF!)</f>
        <v>#REF!</v>
      </c>
      <c r="F70">
        <f>IFERROR(SEARCH(search!$B$6,samples!#REF!,1),0)</f>
        <v>0</v>
      </c>
      <c r="G70" t="e">
        <f>IF(samples!#REF!=0,"",samples!#REF!)</f>
        <v>#REF!</v>
      </c>
      <c r="H70">
        <f>IFERROR(SEARCH(search!$B$6,samples!#REF!,1),0)</f>
        <v>0</v>
      </c>
      <c r="I70" t="e">
        <f>IF(samples!#REF!=0,"",samples!#REF!)</f>
        <v>#REF!</v>
      </c>
      <c r="J70">
        <f>IFERROR(SEARCH(search!$B$6,samples!#REF!,1),0)</f>
        <v>0</v>
      </c>
      <c r="K70" t="e">
        <f>IF(samples!#REF!=0,"",samples!#REF!)</f>
        <v>#REF!</v>
      </c>
      <c r="L70">
        <f>IFERROR(SEARCH(search!$B$6,samples!#REF!,1),0)</f>
        <v>0</v>
      </c>
      <c r="M70" t="e">
        <f>IF(samples!#REF!=0,"",samples!#REF!)</f>
        <v>#REF!</v>
      </c>
      <c r="N70">
        <f>IFERROR(SEARCH(search!$B$6,samples!#REF!,1),0)</f>
        <v>0</v>
      </c>
      <c r="O70" t="e">
        <f>IF(samples!#REF!=0,"",samples!#REF!)</f>
        <v>#REF!</v>
      </c>
      <c r="P70">
        <f>IFERROR(SEARCH(search!$B$6,samples!#REF!,1),0)</f>
        <v>0</v>
      </c>
      <c r="Q70" t="e">
        <f>IF(samples!#REF!=0,"",samples!#REF!)</f>
        <v>#REF!</v>
      </c>
      <c r="R70">
        <f>IFERROR(SEARCH(search!$B$6,samples!#REF!,1),0)</f>
        <v>0</v>
      </c>
      <c r="S70" t="e">
        <f>IF(samples!#REF!=0,"",samples!#REF!)</f>
        <v>#REF!</v>
      </c>
      <c r="T70">
        <f>IFERROR(SEARCH(search!$B$6,samples!#REF!,1),0)</f>
        <v>0</v>
      </c>
      <c r="U70" t="e">
        <f>IF(samples!#REF!=0,"",samples!#REF!)</f>
        <v>#REF!</v>
      </c>
      <c r="V70">
        <f>IFERROR(SEARCH(search!$B$6,samples!#REF!,1),0)</f>
        <v>0</v>
      </c>
      <c r="W70" t="e">
        <f>IF(samples!#REF!=0,"",samples!#REF!)</f>
        <v>#REF!</v>
      </c>
      <c r="X70">
        <f>IFERROR(SEARCH(search!$B$6,samples!#REF!,1),0)</f>
        <v>0</v>
      </c>
      <c r="Y70" t="e">
        <f>IF(samples!#REF!=0,"",samples!#REF!)</f>
        <v>#REF!</v>
      </c>
      <c r="Z70">
        <f>IFERROR(SEARCH(search!$B$6,samples!#REF!,1),0)</f>
        <v>0</v>
      </c>
      <c r="AA70" t="e">
        <f>IF(samples!#REF!=0,"",samples!#REF!)</f>
        <v>#REF!</v>
      </c>
      <c r="AB70">
        <f>IFERROR(SEARCH(search!$B$6,samples!#REF!,1),0)</f>
        <v>0</v>
      </c>
      <c r="AC70" t="e">
        <f>IF(samples!#REF!=0,"",samples!#REF!)</f>
        <v>#REF!</v>
      </c>
      <c r="AD70">
        <f>IFERROR(SEARCH(search!$B$6,samples!#REF!,1),0)</f>
        <v>0</v>
      </c>
    </row>
    <row r="71" spans="1:30">
      <c r="A71">
        <f t="shared" si="1"/>
        <v>0</v>
      </c>
      <c r="B71">
        <f>IF(SUM(D71,F71,H71,J71,L71,N71,P71,R71,T71,V71,X71,Z71,AB71,AD71)&gt;0,SUM($A$2:A71),0)</f>
        <v>0</v>
      </c>
      <c r="C71" t="e">
        <f>samples!#REF!</f>
        <v>#REF!</v>
      </c>
      <c r="D71">
        <f>IFERROR(SEARCH(search!$B$6,samples!#REF!,1),0)</f>
        <v>0</v>
      </c>
      <c r="E71" t="e">
        <f>IF(samples!#REF!=0,"",samples!#REF!)</f>
        <v>#REF!</v>
      </c>
      <c r="F71">
        <f>IFERROR(SEARCH(search!$B$6,samples!#REF!,1),0)</f>
        <v>0</v>
      </c>
      <c r="G71" t="e">
        <f>IF(samples!#REF!=0,"",samples!#REF!)</f>
        <v>#REF!</v>
      </c>
      <c r="H71">
        <f>IFERROR(SEARCH(search!$B$6,samples!#REF!,1),0)</f>
        <v>0</v>
      </c>
      <c r="I71" t="e">
        <f>IF(samples!#REF!=0,"",samples!#REF!)</f>
        <v>#REF!</v>
      </c>
      <c r="J71">
        <f>IFERROR(SEARCH(search!$B$6,samples!#REF!,1),0)</f>
        <v>0</v>
      </c>
      <c r="K71" t="e">
        <f>IF(samples!#REF!=0,"",samples!#REF!)</f>
        <v>#REF!</v>
      </c>
      <c r="L71">
        <f>IFERROR(SEARCH(search!$B$6,samples!#REF!,1),0)</f>
        <v>0</v>
      </c>
      <c r="M71" t="e">
        <f>IF(samples!#REF!=0,"",samples!#REF!)</f>
        <v>#REF!</v>
      </c>
      <c r="N71">
        <f>IFERROR(SEARCH(search!$B$6,samples!#REF!,1),0)</f>
        <v>0</v>
      </c>
      <c r="O71" t="e">
        <f>IF(samples!#REF!=0,"",samples!#REF!)</f>
        <v>#REF!</v>
      </c>
      <c r="P71">
        <f>IFERROR(SEARCH(search!$B$6,samples!#REF!,1),0)</f>
        <v>0</v>
      </c>
      <c r="Q71" t="e">
        <f>IF(samples!#REF!=0,"",samples!#REF!)</f>
        <v>#REF!</v>
      </c>
      <c r="R71">
        <f>IFERROR(SEARCH(search!$B$6,samples!#REF!,1),0)</f>
        <v>0</v>
      </c>
      <c r="S71" t="e">
        <f>IF(samples!#REF!=0,"",samples!#REF!)</f>
        <v>#REF!</v>
      </c>
      <c r="T71">
        <f>IFERROR(SEARCH(search!$B$6,samples!#REF!,1),0)</f>
        <v>0</v>
      </c>
      <c r="U71" t="e">
        <f>IF(samples!#REF!=0,"",samples!#REF!)</f>
        <v>#REF!</v>
      </c>
      <c r="V71">
        <f>IFERROR(SEARCH(search!$B$6,samples!#REF!,1),0)</f>
        <v>0</v>
      </c>
      <c r="W71" t="e">
        <f>IF(samples!#REF!=0,"",samples!#REF!)</f>
        <v>#REF!</v>
      </c>
      <c r="X71">
        <f>IFERROR(SEARCH(search!$B$6,samples!#REF!,1),0)</f>
        <v>0</v>
      </c>
      <c r="Y71" t="e">
        <f>IF(samples!#REF!=0,"",samples!#REF!)</f>
        <v>#REF!</v>
      </c>
      <c r="Z71">
        <f>IFERROR(SEARCH(search!$B$6,samples!#REF!,1),0)</f>
        <v>0</v>
      </c>
      <c r="AA71" t="e">
        <f>IF(samples!#REF!=0,"",samples!#REF!)</f>
        <v>#REF!</v>
      </c>
      <c r="AB71">
        <f>IFERROR(SEARCH(search!$B$6,samples!#REF!,1),0)</f>
        <v>0</v>
      </c>
      <c r="AC71" t="e">
        <f>IF(samples!#REF!=0,"",samples!#REF!)</f>
        <v>#REF!</v>
      </c>
      <c r="AD71">
        <f>IFERROR(SEARCH(search!$B$6,samples!#REF!,1),0)</f>
        <v>0</v>
      </c>
    </row>
    <row r="72" spans="1:30">
      <c r="A72">
        <f t="shared" si="1"/>
        <v>0</v>
      </c>
      <c r="B72">
        <f>IF(SUM(D72,F72,H72,J72,L72,N72,P72,R72,T72,V72,X72,Z72,AB72,AD72)&gt;0,SUM($A$2:A72),0)</f>
        <v>0</v>
      </c>
      <c r="C72" t="e">
        <f>samples!#REF!</f>
        <v>#REF!</v>
      </c>
      <c r="D72">
        <f>IFERROR(SEARCH(search!$B$6,samples!#REF!,1),0)</f>
        <v>0</v>
      </c>
      <c r="E72" t="e">
        <f>IF(samples!#REF!=0,"",samples!#REF!)</f>
        <v>#REF!</v>
      </c>
      <c r="F72">
        <f>IFERROR(SEARCH(search!$B$6,samples!#REF!,1),0)</f>
        <v>0</v>
      </c>
      <c r="G72" t="e">
        <f>IF(samples!#REF!=0,"",samples!#REF!)</f>
        <v>#REF!</v>
      </c>
      <c r="H72">
        <f>IFERROR(SEARCH(search!$B$6,samples!#REF!,1),0)</f>
        <v>0</v>
      </c>
      <c r="I72" t="e">
        <f>IF(samples!#REF!=0,"",samples!#REF!)</f>
        <v>#REF!</v>
      </c>
      <c r="J72">
        <f>IFERROR(SEARCH(search!$B$6,samples!#REF!,1),0)</f>
        <v>0</v>
      </c>
      <c r="K72" t="e">
        <f>IF(samples!#REF!=0,"",samples!#REF!)</f>
        <v>#REF!</v>
      </c>
      <c r="L72">
        <f>IFERROR(SEARCH(search!$B$6,samples!#REF!,1),0)</f>
        <v>0</v>
      </c>
      <c r="M72" t="e">
        <f>IF(samples!#REF!=0,"",samples!#REF!)</f>
        <v>#REF!</v>
      </c>
      <c r="N72">
        <f>IFERROR(SEARCH(search!$B$6,samples!#REF!,1),0)</f>
        <v>0</v>
      </c>
      <c r="O72" t="e">
        <f>IF(samples!#REF!=0,"",samples!#REF!)</f>
        <v>#REF!</v>
      </c>
      <c r="P72">
        <f>IFERROR(SEARCH(search!$B$6,samples!#REF!,1),0)</f>
        <v>0</v>
      </c>
      <c r="Q72" t="e">
        <f>IF(samples!#REF!=0,"",samples!#REF!)</f>
        <v>#REF!</v>
      </c>
      <c r="R72">
        <f>IFERROR(SEARCH(search!$B$6,samples!#REF!,1),0)</f>
        <v>0</v>
      </c>
      <c r="S72" t="e">
        <f>IF(samples!#REF!=0,"",samples!#REF!)</f>
        <v>#REF!</v>
      </c>
      <c r="T72">
        <f>IFERROR(SEARCH(search!$B$6,samples!#REF!,1),0)</f>
        <v>0</v>
      </c>
      <c r="U72" t="e">
        <f>IF(samples!#REF!=0,"",samples!#REF!)</f>
        <v>#REF!</v>
      </c>
      <c r="V72">
        <f>IFERROR(SEARCH(search!$B$6,samples!#REF!,1),0)</f>
        <v>0</v>
      </c>
      <c r="W72" t="e">
        <f>IF(samples!#REF!=0,"",samples!#REF!)</f>
        <v>#REF!</v>
      </c>
      <c r="X72">
        <f>IFERROR(SEARCH(search!$B$6,samples!#REF!,1),0)</f>
        <v>0</v>
      </c>
      <c r="Y72" t="e">
        <f>IF(samples!#REF!=0,"",samples!#REF!)</f>
        <v>#REF!</v>
      </c>
      <c r="Z72">
        <f>IFERROR(SEARCH(search!$B$6,samples!#REF!,1),0)</f>
        <v>0</v>
      </c>
      <c r="AA72" t="e">
        <f>IF(samples!#REF!=0,"",samples!#REF!)</f>
        <v>#REF!</v>
      </c>
      <c r="AB72">
        <f>IFERROR(SEARCH(search!$B$6,samples!#REF!,1),0)</f>
        <v>0</v>
      </c>
      <c r="AC72" t="e">
        <f>IF(samples!#REF!=0,"",samples!#REF!)</f>
        <v>#REF!</v>
      </c>
      <c r="AD72">
        <f>IFERROR(SEARCH(search!$B$6,samples!#REF!,1),0)</f>
        <v>0</v>
      </c>
    </row>
    <row r="73" spans="1:30">
      <c r="A73">
        <f t="shared" si="1"/>
        <v>0</v>
      </c>
      <c r="B73">
        <f>IF(SUM(D73,F73,H73,J73,L73,N73,P73,R73,T73,V73,X73,Z73,AB73,AD73)&gt;0,SUM($A$2:A73),0)</f>
        <v>0</v>
      </c>
      <c r="C73" t="e">
        <f>samples!#REF!</f>
        <v>#REF!</v>
      </c>
      <c r="D73">
        <f>IFERROR(SEARCH(search!$B$6,samples!#REF!,1),0)</f>
        <v>0</v>
      </c>
      <c r="E73" t="e">
        <f>IF(samples!#REF!=0,"",samples!#REF!)</f>
        <v>#REF!</v>
      </c>
      <c r="F73">
        <f>IFERROR(SEARCH(search!$B$6,samples!#REF!,1),0)</f>
        <v>0</v>
      </c>
      <c r="G73" t="e">
        <f>IF(samples!#REF!=0,"",samples!#REF!)</f>
        <v>#REF!</v>
      </c>
      <c r="H73">
        <f>IFERROR(SEARCH(search!$B$6,samples!#REF!,1),0)</f>
        <v>0</v>
      </c>
      <c r="I73" t="e">
        <f>IF(samples!#REF!=0,"",samples!#REF!)</f>
        <v>#REF!</v>
      </c>
      <c r="J73">
        <f>IFERROR(SEARCH(search!$B$6,samples!#REF!,1),0)</f>
        <v>0</v>
      </c>
      <c r="K73" t="e">
        <f>IF(samples!#REF!=0,"",samples!#REF!)</f>
        <v>#REF!</v>
      </c>
      <c r="L73">
        <f>IFERROR(SEARCH(search!$B$6,samples!#REF!,1),0)</f>
        <v>0</v>
      </c>
      <c r="M73" t="e">
        <f>IF(samples!#REF!=0,"",samples!#REF!)</f>
        <v>#REF!</v>
      </c>
      <c r="N73">
        <f>IFERROR(SEARCH(search!$B$6,samples!#REF!,1),0)</f>
        <v>0</v>
      </c>
      <c r="O73" t="e">
        <f>IF(samples!#REF!=0,"",samples!#REF!)</f>
        <v>#REF!</v>
      </c>
      <c r="P73">
        <f>IFERROR(SEARCH(search!$B$6,samples!#REF!,1),0)</f>
        <v>0</v>
      </c>
      <c r="Q73" t="e">
        <f>IF(samples!#REF!=0,"",samples!#REF!)</f>
        <v>#REF!</v>
      </c>
      <c r="R73">
        <f>IFERROR(SEARCH(search!$B$6,samples!#REF!,1),0)</f>
        <v>0</v>
      </c>
      <c r="S73" t="e">
        <f>IF(samples!#REF!=0,"",samples!#REF!)</f>
        <v>#REF!</v>
      </c>
      <c r="T73">
        <f>IFERROR(SEARCH(search!$B$6,samples!#REF!,1),0)</f>
        <v>0</v>
      </c>
      <c r="U73" t="e">
        <f>IF(samples!#REF!=0,"",samples!#REF!)</f>
        <v>#REF!</v>
      </c>
      <c r="V73">
        <f>IFERROR(SEARCH(search!$B$6,samples!#REF!,1),0)</f>
        <v>0</v>
      </c>
      <c r="W73" t="e">
        <f>IF(samples!#REF!=0,"",samples!#REF!)</f>
        <v>#REF!</v>
      </c>
      <c r="X73">
        <f>IFERROR(SEARCH(search!$B$6,samples!#REF!,1),0)</f>
        <v>0</v>
      </c>
      <c r="Y73" t="e">
        <f>IF(samples!#REF!=0,"",samples!#REF!)</f>
        <v>#REF!</v>
      </c>
      <c r="Z73">
        <f>IFERROR(SEARCH(search!$B$6,samples!#REF!,1),0)</f>
        <v>0</v>
      </c>
      <c r="AA73" t="e">
        <f>IF(samples!#REF!=0,"",samples!#REF!)</f>
        <v>#REF!</v>
      </c>
      <c r="AB73">
        <f>IFERROR(SEARCH(search!$B$6,samples!#REF!,1),0)</f>
        <v>0</v>
      </c>
      <c r="AC73" t="e">
        <f>IF(samples!#REF!=0,"",samples!#REF!)</f>
        <v>#REF!</v>
      </c>
      <c r="AD73">
        <f>IFERROR(SEARCH(search!$B$6,samples!#REF!,1),0)</f>
        <v>0</v>
      </c>
    </row>
    <row r="74" spans="1:30">
      <c r="A74">
        <f t="shared" si="1"/>
        <v>0</v>
      </c>
      <c r="B74">
        <f>IF(SUM(D74,F74,H74,J74,L74,N74,P74,R74,T74,V74,X74,Z74,AB74,AD74)&gt;0,SUM($A$2:A74),0)</f>
        <v>0</v>
      </c>
      <c r="C74" t="e">
        <f>samples!#REF!</f>
        <v>#REF!</v>
      </c>
      <c r="D74">
        <f>IFERROR(SEARCH(search!$B$6,samples!#REF!,1),0)</f>
        <v>0</v>
      </c>
      <c r="E74" t="e">
        <f>IF(samples!#REF!=0,"",samples!#REF!)</f>
        <v>#REF!</v>
      </c>
      <c r="F74">
        <f>IFERROR(SEARCH(search!$B$6,samples!#REF!,1),0)</f>
        <v>0</v>
      </c>
      <c r="G74" t="e">
        <f>IF(samples!#REF!=0,"",samples!#REF!)</f>
        <v>#REF!</v>
      </c>
      <c r="H74">
        <f>IFERROR(SEARCH(search!$B$6,samples!#REF!,1),0)</f>
        <v>0</v>
      </c>
      <c r="I74" t="e">
        <f>IF(samples!#REF!=0,"",samples!#REF!)</f>
        <v>#REF!</v>
      </c>
      <c r="J74">
        <f>IFERROR(SEARCH(search!$B$6,samples!#REF!,1),0)</f>
        <v>0</v>
      </c>
      <c r="K74" t="e">
        <f>IF(samples!#REF!=0,"",samples!#REF!)</f>
        <v>#REF!</v>
      </c>
      <c r="L74">
        <f>IFERROR(SEARCH(search!$B$6,samples!#REF!,1),0)</f>
        <v>0</v>
      </c>
      <c r="M74" t="e">
        <f>IF(samples!#REF!=0,"",samples!#REF!)</f>
        <v>#REF!</v>
      </c>
      <c r="N74">
        <f>IFERROR(SEARCH(search!$B$6,samples!#REF!,1),0)</f>
        <v>0</v>
      </c>
      <c r="O74" t="e">
        <f>IF(samples!#REF!=0,"",samples!#REF!)</f>
        <v>#REF!</v>
      </c>
      <c r="P74">
        <f>IFERROR(SEARCH(search!$B$6,samples!#REF!,1),0)</f>
        <v>0</v>
      </c>
      <c r="Q74" t="e">
        <f>IF(samples!#REF!=0,"",samples!#REF!)</f>
        <v>#REF!</v>
      </c>
      <c r="R74">
        <f>IFERROR(SEARCH(search!$B$6,samples!#REF!,1),0)</f>
        <v>0</v>
      </c>
      <c r="S74" t="e">
        <f>IF(samples!#REF!=0,"",samples!#REF!)</f>
        <v>#REF!</v>
      </c>
      <c r="T74">
        <f>IFERROR(SEARCH(search!$B$6,samples!#REF!,1),0)</f>
        <v>0</v>
      </c>
      <c r="U74" t="e">
        <f>IF(samples!#REF!=0,"",samples!#REF!)</f>
        <v>#REF!</v>
      </c>
      <c r="V74">
        <f>IFERROR(SEARCH(search!$B$6,samples!#REF!,1),0)</f>
        <v>0</v>
      </c>
      <c r="W74" t="e">
        <f>IF(samples!#REF!=0,"",samples!#REF!)</f>
        <v>#REF!</v>
      </c>
      <c r="X74">
        <f>IFERROR(SEARCH(search!$B$6,samples!#REF!,1),0)</f>
        <v>0</v>
      </c>
      <c r="Y74" t="e">
        <f>IF(samples!#REF!=0,"",samples!#REF!)</f>
        <v>#REF!</v>
      </c>
      <c r="Z74">
        <f>IFERROR(SEARCH(search!$B$6,samples!#REF!,1),0)</f>
        <v>0</v>
      </c>
      <c r="AA74" t="e">
        <f>IF(samples!#REF!=0,"",samples!#REF!)</f>
        <v>#REF!</v>
      </c>
      <c r="AB74">
        <f>IFERROR(SEARCH(search!$B$6,samples!#REF!,1),0)</f>
        <v>0</v>
      </c>
      <c r="AC74" t="e">
        <f>IF(samples!#REF!=0,"",samples!#REF!)</f>
        <v>#REF!</v>
      </c>
      <c r="AD74">
        <f>IFERROR(SEARCH(search!$B$6,samples!#REF!,1),0)</f>
        <v>0</v>
      </c>
    </row>
    <row r="75" spans="1:30">
      <c r="A75">
        <f t="shared" si="1"/>
        <v>0</v>
      </c>
      <c r="B75">
        <f>IF(SUM(D75,F75,H75,J75,L75,N75,P75,R75,T75,V75,X75,Z75,AB75,AD75)&gt;0,SUM($A$2:A75),0)</f>
        <v>0</v>
      </c>
      <c r="C75" t="e">
        <f>samples!#REF!</f>
        <v>#REF!</v>
      </c>
      <c r="D75">
        <f>IFERROR(SEARCH(search!$B$6,samples!#REF!,1),0)</f>
        <v>0</v>
      </c>
      <c r="E75" t="e">
        <f>IF(samples!#REF!=0,"",samples!#REF!)</f>
        <v>#REF!</v>
      </c>
      <c r="F75">
        <f>IFERROR(SEARCH(search!$B$6,samples!#REF!,1),0)</f>
        <v>0</v>
      </c>
      <c r="G75" t="e">
        <f>IF(samples!#REF!=0,"",samples!#REF!)</f>
        <v>#REF!</v>
      </c>
      <c r="H75">
        <f>IFERROR(SEARCH(search!$B$6,samples!#REF!,1),0)</f>
        <v>0</v>
      </c>
      <c r="I75" t="e">
        <f>IF(samples!#REF!=0,"",samples!#REF!)</f>
        <v>#REF!</v>
      </c>
      <c r="J75">
        <f>IFERROR(SEARCH(search!$B$6,samples!#REF!,1),0)</f>
        <v>0</v>
      </c>
      <c r="K75" t="e">
        <f>IF(samples!#REF!=0,"",samples!#REF!)</f>
        <v>#REF!</v>
      </c>
      <c r="L75">
        <f>IFERROR(SEARCH(search!$B$6,samples!#REF!,1),0)</f>
        <v>0</v>
      </c>
      <c r="M75" t="e">
        <f>IF(samples!#REF!=0,"",samples!#REF!)</f>
        <v>#REF!</v>
      </c>
      <c r="N75">
        <f>IFERROR(SEARCH(search!$B$6,samples!#REF!,1),0)</f>
        <v>0</v>
      </c>
      <c r="O75" t="e">
        <f>IF(samples!#REF!=0,"",samples!#REF!)</f>
        <v>#REF!</v>
      </c>
      <c r="P75">
        <f>IFERROR(SEARCH(search!$B$6,samples!#REF!,1),0)</f>
        <v>0</v>
      </c>
      <c r="Q75" t="e">
        <f>IF(samples!#REF!=0,"",samples!#REF!)</f>
        <v>#REF!</v>
      </c>
      <c r="R75">
        <f>IFERROR(SEARCH(search!$B$6,samples!#REF!,1),0)</f>
        <v>0</v>
      </c>
      <c r="S75" t="e">
        <f>IF(samples!#REF!=0,"",samples!#REF!)</f>
        <v>#REF!</v>
      </c>
      <c r="T75">
        <f>IFERROR(SEARCH(search!$B$6,samples!#REF!,1),0)</f>
        <v>0</v>
      </c>
      <c r="U75" t="e">
        <f>IF(samples!#REF!=0,"",samples!#REF!)</f>
        <v>#REF!</v>
      </c>
      <c r="V75">
        <f>IFERROR(SEARCH(search!$B$6,samples!#REF!,1),0)</f>
        <v>0</v>
      </c>
      <c r="W75" t="e">
        <f>IF(samples!#REF!=0,"",samples!#REF!)</f>
        <v>#REF!</v>
      </c>
      <c r="X75">
        <f>IFERROR(SEARCH(search!$B$6,samples!#REF!,1),0)</f>
        <v>0</v>
      </c>
      <c r="Y75" t="e">
        <f>IF(samples!#REF!=0,"",samples!#REF!)</f>
        <v>#REF!</v>
      </c>
      <c r="Z75">
        <f>IFERROR(SEARCH(search!$B$6,samples!#REF!,1),0)</f>
        <v>0</v>
      </c>
      <c r="AA75" t="e">
        <f>IF(samples!#REF!=0,"",samples!#REF!)</f>
        <v>#REF!</v>
      </c>
      <c r="AB75">
        <f>IFERROR(SEARCH(search!$B$6,samples!#REF!,1),0)</f>
        <v>0</v>
      </c>
      <c r="AC75" t="e">
        <f>IF(samples!#REF!=0,"",samples!#REF!)</f>
        <v>#REF!</v>
      </c>
      <c r="AD75">
        <f>IFERROR(SEARCH(search!$B$6,samples!#REF!,1),0)</f>
        <v>0</v>
      </c>
    </row>
    <row r="76" spans="1:30">
      <c r="A76">
        <f t="shared" si="1"/>
        <v>0</v>
      </c>
      <c r="B76">
        <f>IF(SUM(D76,F76,H76,J76,L76,N76,P76,R76,T76,V76,X76,Z76,AB76,AD76)&gt;0,SUM($A$2:A76),0)</f>
        <v>0</v>
      </c>
      <c r="C76" t="e">
        <f>samples!#REF!</f>
        <v>#REF!</v>
      </c>
      <c r="D76">
        <f>IFERROR(SEARCH(search!$B$6,samples!#REF!,1),0)</f>
        <v>0</v>
      </c>
      <c r="E76" t="e">
        <f>IF(samples!#REF!=0,"",samples!#REF!)</f>
        <v>#REF!</v>
      </c>
      <c r="F76">
        <f>IFERROR(SEARCH(search!$B$6,samples!#REF!,1),0)</f>
        <v>0</v>
      </c>
      <c r="G76" t="e">
        <f>IF(samples!#REF!=0,"",samples!#REF!)</f>
        <v>#REF!</v>
      </c>
      <c r="H76">
        <f>IFERROR(SEARCH(search!$B$6,samples!#REF!,1),0)</f>
        <v>0</v>
      </c>
      <c r="I76" t="e">
        <f>IF(samples!#REF!=0,"",samples!#REF!)</f>
        <v>#REF!</v>
      </c>
      <c r="J76">
        <f>IFERROR(SEARCH(search!$B$6,samples!#REF!,1),0)</f>
        <v>0</v>
      </c>
      <c r="K76" t="e">
        <f>IF(samples!#REF!=0,"",samples!#REF!)</f>
        <v>#REF!</v>
      </c>
      <c r="L76">
        <f>IFERROR(SEARCH(search!$B$6,samples!#REF!,1),0)</f>
        <v>0</v>
      </c>
      <c r="M76" t="e">
        <f>IF(samples!#REF!=0,"",samples!#REF!)</f>
        <v>#REF!</v>
      </c>
      <c r="N76">
        <f>IFERROR(SEARCH(search!$B$6,samples!#REF!,1),0)</f>
        <v>0</v>
      </c>
      <c r="O76" t="e">
        <f>IF(samples!#REF!=0,"",samples!#REF!)</f>
        <v>#REF!</v>
      </c>
      <c r="P76">
        <f>IFERROR(SEARCH(search!$B$6,samples!#REF!,1),0)</f>
        <v>0</v>
      </c>
      <c r="Q76" t="e">
        <f>IF(samples!#REF!=0,"",samples!#REF!)</f>
        <v>#REF!</v>
      </c>
      <c r="R76">
        <f>IFERROR(SEARCH(search!$B$6,samples!#REF!,1),0)</f>
        <v>0</v>
      </c>
      <c r="S76" t="e">
        <f>IF(samples!#REF!=0,"",samples!#REF!)</f>
        <v>#REF!</v>
      </c>
      <c r="T76">
        <f>IFERROR(SEARCH(search!$B$6,samples!#REF!,1),0)</f>
        <v>0</v>
      </c>
      <c r="U76" t="e">
        <f>IF(samples!#REF!=0,"",samples!#REF!)</f>
        <v>#REF!</v>
      </c>
      <c r="V76">
        <f>IFERROR(SEARCH(search!$B$6,samples!#REF!,1),0)</f>
        <v>0</v>
      </c>
      <c r="W76" t="e">
        <f>IF(samples!#REF!=0,"",samples!#REF!)</f>
        <v>#REF!</v>
      </c>
      <c r="X76">
        <f>IFERROR(SEARCH(search!$B$6,samples!#REF!,1),0)</f>
        <v>0</v>
      </c>
      <c r="Y76" t="e">
        <f>IF(samples!#REF!=0,"",samples!#REF!)</f>
        <v>#REF!</v>
      </c>
      <c r="Z76">
        <f>IFERROR(SEARCH(search!$B$6,samples!#REF!,1),0)</f>
        <v>0</v>
      </c>
      <c r="AA76" t="e">
        <f>IF(samples!#REF!=0,"",samples!#REF!)</f>
        <v>#REF!</v>
      </c>
      <c r="AB76">
        <f>IFERROR(SEARCH(search!$B$6,samples!#REF!,1),0)</f>
        <v>0</v>
      </c>
      <c r="AC76" t="e">
        <f>IF(samples!#REF!=0,"",samples!#REF!)</f>
        <v>#REF!</v>
      </c>
      <c r="AD76">
        <f>IFERROR(SEARCH(search!$B$6,samples!#REF!,1),0)</f>
        <v>0</v>
      </c>
    </row>
    <row r="77" spans="1:30">
      <c r="A77">
        <f t="shared" si="1"/>
        <v>0</v>
      </c>
      <c r="B77">
        <f>IF(SUM(D77,F77,H77,J77,L77,N77,P77,R77,T77,V77,X77,Z77,AB77,AD77)&gt;0,SUM($A$2:A77),0)</f>
        <v>0</v>
      </c>
      <c r="C77" t="e">
        <f>samples!#REF!</f>
        <v>#REF!</v>
      </c>
      <c r="D77">
        <f>IFERROR(SEARCH(search!$B$6,samples!#REF!,1),0)</f>
        <v>0</v>
      </c>
      <c r="E77" t="e">
        <f>IF(samples!#REF!=0,"",samples!#REF!)</f>
        <v>#REF!</v>
      </c>
      <c r="F77">
        <f>IFERROR(SEARCH(search!$B$6,samples!#REF!,1),0)</f>
        <v>0</v>
      </c>
      <c r="G77" t="e">
        <f>IF(samples!#REF!=0,"",samples!#REF!)</f>
        <v>#REF!</v>
      </c>
      <c r="H77">
        <f>IFERROR(SEARCH(search!$B$6,samples!#REF!,1),0)</f>
        <v>0</v>
      </c>
      <c r="I77" t="e">
        <f>IF(samples!#REF!=0,"",samples!#REF!)</f>
        <v>#REF!</v>
      </c>
      <c r="J77">
        <f>IFERROR(SEARCH(search!$B$6,samples!#REF!,1),0)</f>
        <v>0</v>
      </c>
      <c r="K77" t="e">
        <f>IF(samples!#REF!=0,"",samples!#REF!)</f>
        <v>#REF!</v>
      </c>
      <c r="L77">
        <f>IFERROR(SEARCH(search!$B$6,samples!#REF!,1),0)</f>
        <v>0</v>
      </c>
      <c r="M77" t="e">
        <f>IF(samples!#REF!=0,"",samples!#REF!)</f>
        <v>#REF!</v>
      </c>
      <c r="N77">
        <f>IFERROR(SEARCH(search!$B$6,samples!#REF!,1),0)</f>
        <v>0</v>
      </c>
      <c r="O77" t="e">
        <f>IF(samples!#REF!=0,"",samples!#REF!)</f>
        <v>#REF!</v>
      </c>
      <c r="P77">
        <f>IFERROR(SEARCH(search!$B$6,samples!#REF!,1),0)</f>
        <v>0</v>
      </c>
      <c r="Q77" t="e">
        <f>IF(samples!#REF!=0,"",samples!#REF!)</f>
        <v>#REF!</v>
      </c>
      <c r="R77">
        <f>IFERROR(SEARCH(search!$B$6,samples!#REF!,1),0)</f>
        <v>0</v>
      </c>
      <c r="S77" t="e">
        <f>IF(samples!#REF!=0,"",samples!#REF!)</f>
        <v>#REF!</v>
      </c>
      <c r="T77">
        <f>IFERROR(SEARCH(search!$B$6,samples!#REF!,1),0)</f>
        <v>0</v>
      </c>
      <c r="U77" t="e">
        <f>IF(samples!#REF!=0,"",samples!#REF!)</f>
        <v>#REF!</v>
      </c>
      <c r="V77">
        <f>IFERROR(SEARCH(search!$B$6,samples!#REF!,1),0)</f>
        <v>0</v>
      </c>
      <c r="W77" t="e">
        <f>IF(samples!#REF!=0,"",samples!#REF!)</f>
        <v>#REF!</v>
      </c>
      <c r="X77">
        <f>IFERROR(SEARCH(search!$B$6,samples!#REF!,1),0)</f>
        <v>0</v>
      </c>
      <c r="Y77" t="e">
        <f>IF(samples!#REF!=0,"",samples!#REF!)</f>
        <v>#REF!</v>
      </c>
      <c r="Z77">
        <f>IFERROR(SEARCH(search!$B$6,samples!#REF!,1),0)</f>
        <v>0</v>
      </c>
      <c r="AA77" t="e">
        <f>IF(samples!#REF!=0,"",samples!#REF!)</f>
        <v>#REF!</v>
      </c>
      <c r="AB77">
        <f>IFERROR(SEARCH(search!$B$6,samples!#REF!,1),0)</f>
        <v>0</v>
      </c>
      <c r="AC77" t="e">
        <f>IF(samples!#REF!=0,"",samples!#REF!)</f>
        <v>#REF!</v>
      </c>
      <c r="AD77">
        <f>IFERROR(SEARCH(search!$B$6,samples!#REF!,1),0)</f>
        <v>0</v>
      </c>
    </row>
    <row r="78" spans="1:30">
      <c r="A78">
        <f t="shared" si="1"/>
        <v>0</v>
      </c>
      <c r="B78">
        <f>IF(SUM(D78,F78,H78,J78,L78,N78,P78,R78,T78,V78,X78,Z78,AB78,AD78)&gt;0,SUM($A$2:A78),0)</f>
        <v>0</v>
      </c>
      <c r="C78" t="e">
        <f>samples!#REF!</f>
        <v>#REF!</v>
      </c>
      <c r="D78">
        <f>IFERROR(SEARCH(search!$B$6,samples!#REF!,1),0)</f>
        <v>0</v>
      </c>
      <c r="E78" t="e">
        <f>IF(samples!#REF!=0,"",samples!#REF!)</f>
        <v>#REF!</v>
      </c>
      <c r="F78">
        <f>IFERROR(SEARCH(search!$B$6,samples!#REF!,1),0)</f>
        <v>0</v>
      </c>
      <c r="G78" t="e">
        <f>IF(samples!#REF!=0,"",samples!#REF!)</f>
        <v>#REF!</v>
      </c>
      <c r="H78">
        <f>IFERROR(SEARCH(search!$B$6,samples!#REF!,1),0)</f>
        <v>0</v>
      </c>
      <c r="I78" t="e">
        <f>IF(samples!#REF!=0,"",samples!#REF!)</f>
        <v>#REF!</v>
      </c>
      <c r="J78">
        <f>IFERROR(SEARCH(search!$B$6,samples!#REF!,1),0)</f>
        <v>0</v>
      </c>
      <c r="K78" t="e">
        <f>IF(samples!#REF!=0,"",samples!#REF!)</f>
        <v>#REF!</v>
      </c>
      <c r="L78">
        <f>IFERROR(SEARCH(search!$B$6,samples!#REF!,1),0)</f>
        <v>0</v>
      </c>
      <c r="M78" t="e">
        <f>IF(samples!#REF!=0,"",samples!#REF!)</f>
        <v>#REF!</v>
      </c>
      <c r="N78">
        <f>IFERROR(SEARCH(search!$B$6,samples!#REF!,1),0)</f>
        <v>0</v>
      </c>
      <c r="O78" t="e">
        <f>IF(samples!#REF!=0,"",samples!#REF!)</f>
        <v>#REF!</v>
      </c>
      <c r="P78">
        <f>IFERROR(SEARCH(search!$B$6,samples!#REF!,1),0)</f>
        <v>0</v>
      </c>
      <c r="Q78" t="e">
        <f>IF(samples!#REF!=0,"",samples!#REF!)</f>
        <v>#REF!</v>
      </c>
      <c r="R78">
        <f>IFERROR(SEARCH(search!$B$6,samples!#REF!,1),0)</f>
        <v>0</v>
      </c>
      <c r="S78" t="e">
        <f>IF(samples!#REF!=0,"",samples!#REF!)</f>
        <v>#REF!</v>
      </c>
      <c r="T78">
        <f>IFERROR(SEARCH(search!$B$6,samples!#REF!,1),0)</f>
        <v>0</v>
      </c>
      <c r="U78" t="e">
        <f>IF(samples!#REF!=0,"",samples!#REF!)</f>
        <v>#REF!</v>
      </c>
      <c r="V78">
        <f>IFERROR(SEARCH(search!$B$6,samples!#REF!,1),0)</f>
        <v>0</v>
      </c>
      <c r="W78" t="e">
        <f>IF(samples!#REF!=0,"",samples!#REF!)</f>
        <v>#REF!</v>
      </c>
      <c r="X78">
        <f>IFERROR(SEARCH(search!$B$6,samples!#REF!,1),0)</f>
        <v>0</v>
      </c>
      <c r="Y78" t="e">
        <f>IF(samples!#REF!=0,"",samples!#REF!)</f>
        <v>#REF!</v>
      </c>
      <c r="Z78">
        <f>IFERROR(SEARCH(search!$B$6,samples!#REF!,1),0)</f>
        <v>0</v>
      </c>
      <c r="AA78" t="e">
        <f>IF(samples!#REF!=0,"",samples!#REF!)</f>
        <v>#REF!</v>
      </c>
      <c r="AB78">
        <f>IFERROR(SEARCH(search!$B$6,samples!#REF!,1),0)</f>
        <v>0</v>
      </c>
      <c r="AC78" t="e">
        <f>IF(samples!#REF!=0,"",samples!#REF!)</f>
        <v>#REF!</v>
      </c>
      <c r="AD78">
        <f>IFERROR(SEARCH(search!$B$6,samples!#REF!,1),0)</f>
        <v>0</v>
      </c>
    </row>
    <row r="79" spans="1:30">
      <c r="A79">
        <f t="shared" si="1"/>
        <v>0</v>
      </c>
      <c r="B79">
        <f>IF(SUM(D79,F79,H79,J79,L79,N79,P79,R79,T79,V79,X79,Z79,AB79,AD79)&gt;0,SUM($A$2:A79),0)</f>
        <v>0</v>
      </c>
      <c r="C79" t="e">
        <f>samples!#REF!</f>
        <v>#REF!</v>
      </c>
      <c r="D79">
        <f>IFERROR(SEARCH(search!$B$6,samples!#REF!,1),0)</f>
        <v>0</v>
      </c>
      <c r="E79" t="e">
        <f>IF(samples!#REF!=0,"",samples!#REF!)</f>
        <v>#REF!</v>
      </c>
      <c r="F79">
        <f>IFERROR(SEARCH(search!$B$6,samples!#REF!,1),0)</f>
        <v>0</v>
      </c>
      <c r="G79" t="e">
        <f>IF(samples!#REF!=0,"",samples!#REF!)</f>
        <v>#REF!</v>
      </c>
      <c r="H79">
        <f>IFERROR(SEARCH(search!$B$6,samples!#REF!,1),0)</f>
        <v>0</v>
      </c>
      <c r="I79" t="e">
        <f>IF(samples!#REF!=0,"",samples!#REF!)</f>
        <v>#REF!</v>
      </c>
      <c r="J79">
        <f>IFERROR(SEARCH(search!$B$6,samples!#REF!,1),0)</f>
        <v>0</v>
      </c>
      <c r="K79" t="e">
        <f>IF(samples!#REF!=0,"",samples!#REF!)</f>
        <v>#REF!</v>
      </c>
      <c r="L79">
        <f>IFERROR(SEARCH(search!$B$6,samples!#REF!,1),0)</f>
        <v>0</v>
      </c>
      <c r="M79" t="e">
        <f>IF(samples!#REF!=0,"",samples!#REF!)</f>
        <v>#REF!</v>
      </c>
      <c r="N79">
        <f>IFERROR(SEARCH(search!$B$6,samples!#REF!,1),0)</f>
        <v>0</v>
      </c>
      <c r="O79" t="e">
        <f>IF(samples!#REF!=0,"",samples!#REF!)</f>
        <v>#REF!</v>
      </c>
      <c r="P79">
        <f>IFERROR(SEARCH(search!$B$6,samples!#REF!,1),0)</f>
        <v>0</v>
      </c>
      <c r="Q79" t="e">
        <f>IF(samples!#REF!=0,"",samples!#REF!)</f>
        <v>#REF!</v>
      </c>
      <c r="R79">
        <f>IFERROR(SEARCH(search!$B$6,samples!#REF!,1),0)</f>
        <v>0</v>
      </c>
      <c r="S79" t="e">
        <f>IF(samples!#REF!=0,"",samples!#REF!)</f>
        <v>#REF!</v>
      </c>
      <c r="T79">
        <f>IFERROR(SEARCH(search!$B$6,samples!#REF!,1),0)</f>
        <v>0</v>
      </c>
      <c r="U79" t="e">
        <f>IF(samples!#REF!=0,"",samples!#REF!)</f>
        <v>#REF!</v>
      </c>
      <c r="V79">
        <f>IFERROR(SEARCH(search!$B$6,samples!#REF!,1),0)</f>
        <v>0</v>
      </c>
      <c r="W79" t="e">
        <f>IF(samples!#REF!=0,"",samples!#REF!)</f>
        <v>#REF!</v>
      </c>
      <c r="X79">
        <f>IFERROR(SEARCH(search!$B$6,samples!#REF!,1),0)</f>
        <v>0</v>
      </c>
      <c r="Y79" t="e">
        <f>IF(samples!#REF!=0,"",samples!#REF!)</f>
        <v>#REF!</v>
      </c>
      <c r="Z79">
        <f>IFERROR(SEARCH(search!$B$6,samples!#REF!,1),0)</f>
        <v>0</v>
      </c>
      <c r="AA79" t="e">
        <f>IF(samples!#REF!=0,"",samples!#REF!)</f>
        <v>#REF!</v>
      </c>
      <c r="AB79">
        <f>IFERROR(SEARCH(search!$B$6,samples!#REF!,1),0)</f>
        <v>0</v>
      </c>
      <c r="AC79" t="e">
        <f>IF(samples!#REF!=0,"",samples!#REF!)</f>
        <v>#REF!</v>
      </c>
      <c r="AD79">
        <f>IFERROR(SEARCH(search!$B$6,samples!#REF!,1),0)</f>
        <v>0</v>
      </c>
    </row>
    <row r="80" spans="1:30">
      <c r="A80">
        <f t="shared" si="1"/>
        <v>0</v>
      </c>
      <c r="B80">
        <f>IF(SUM(D80,F80,H80,J80,L80,N80,P80,R80,T80,V80,X80,Z80,AB80,AD80)&gt;0,SUM($A$2:A80),0)</f>
        <v>0</v>
      </c>
      <c r="C80" t="e">
        <f>samples!#REF!</f>
        <v>#REF!</v>
      </c>
      <c r="D80">
        <f>IFERROR(SEARCH(search!$B$6,samples!#REF!,1),0)</f>
        <v>0</v>
      </c>
      <c r="E80" t="e">
        <f>IF(samples!#REF!=0,"",samples!#REF!)</f>
        <v>#REF!</v>
      </c>
      <c r="F80">
        <f>IFERROR(SEARCH(search!$B$6,samples!#REF!,1),0)</f>
        <v>0</v>
      </c>
      <c r="G80" t="e">
        <f>IF(samples!#REF!=0,"",samples!#REF!)</f>
        <v>#REF!</v>
      </c>
      <c r="H80">
        <f>IFERROR(SEARCH(search!$B$6,samples!#REF!,1),0)</f>
        <v>0</v>
      </c>
      <c r="I80" t="e">
        <f>IF(samples!#REF!=0,"",samples!#REF!)</f>
        <v>#REF!</v>
      </c>
      <c r="J80">
        <f>IFERROR(SEARCH(search!$B$6,samples!#REF!,1),0)</f>
        <v>0</v>
      </c>
      <c r="K80" t="e">
        <f>IF(samples!#REF!=0,"",samples!#REF!)</f>
        <v>#REF!</v>
      </c>
      <c r="L80">
        <f>IFERROR(SEARCH(search!$B$6,samples!#REF!,1),0)</f>
        <v>0</v>
      </c>
      <c r="M80" t="e">
        <f>IF(samples!#REF!=0,"",samples!#REF!)</f>
        <v>#REF!</v>
      </c>
      <c r="N80">
        <f>IFERROR(SEARCH(search!$B$6,samples!#REF!,1),0)</f>
        <v>0</v>
      </c>
      <c r="O80" t="e">
        <f>IF(samples!#REF!=0,"",samples!#REF!)</f>
        <v>#REF!</v>
      </c>
      <c r="P80">
        <f>IFERROR(SEARCH(search!$B$6,samples!#REF!,1),0)</f>
        <v>0</v>
      </c>
      <c r="Q80" t="e">
        <f>IF(samples!#REF!=0,"",samples!#REF!)</f>
        <v>#REF!</v>
      </c>
      <c r="R80">
        <f>IFERROR(SEARCH(search!$B$6,samples!#REF!,1),0)</f>
        <v>0</v>
      </c>
      <c r="S80" t="e">
        <f>IF(samples!#REF!=0,"",samples!#REF!)</f>
        <v>#REF!</v>
      </c>
      <c r="T80">
        <f>IFERROR(SEARCH(search!$B$6,samples!#REF!,1),0)</f>
        <v>0</v>
      </c>
      <c r="U80" t="e">
        <f>IF(samples!#REF!=0,"",samples!#REF!)</f>
        <v>#REF!</v>
      </c>
      <c r="V80">
        <f>IFERROR(SEARCH(search!$B$6,samples!#REF!,1),0)</f>
        <v>0</v>
      </c>
      <c r="W80" t="e">
        <f>IF(samples!#REF!=0,"",samples!#REF!)</f>
        <v>#REF!</v>
      </c>
      <c r="X80">
        <f>IFERROR(SEARCH(search!$B$6,samples!#REF!,1),0)</f>
        <v>0</v>
      </c>
      <c r="Y80" t="e">
        <f>IF(samples!#REF!=0,"",samples!#REF!)</f>
        <v>#REF!</v>
      </c>
      <c r="Z80">
        <f>IFERROR(SEARCH(search!$B$6,samples!#REF!,1),0)</f>
        <v>0</v>
      </c>
      <c r="AA80" t="e">
        <f>IF(samples!#REF!=0,"",samples!#REF!)</f>
        <v>#REF!</v>
      </c>
      <c r="AB80">
        <f>IFERROR(SEARCH(search!$B$6,samples!#REF!,1),0)</f>
        <v>0</v>
      </c>
      <c r="AC80" t="e">
        <f>IF(samples!#REF!=0,"",samples!#REF!)</f>
        <v>#REF!</v>
      </c>
      <c r="AD80">
        <f>IFERROR(SEARCH(search!$B$6,samples!#REF!,1),0)</f>
        <v>0</v>
      </c>
    </row>
    <row r="81" spans="1:30">
      <c r="A81">
        <f t="shared" si="1"/>
        <v>0</v>
      </c>
      <c r="B81">
        <f>IF(SUM(D81,F81,H81,J81,L81,N81,P81,R81,T81,V81,X81,Z81,AB81,AD81)&gt;0,SUM($A$2:A81),0)</f>
        <v>0</v>
      </c>
      <c r="C81" t="e">
        <f>samples!#REF!</f>
        <v>#REF!</v>
      </c>
      <c r="D81">
        <f>IFERROR(SEARCH(search!$B$6,samples!#REF!,1),0)</f>
        <v>0</v>
      </c>
      <c r="E81" t="e">
        <f>IF(samples!#REF!=0,"",samples!#REF!)</f>
        <v>#REF!</v>
      </c>
      <c r="F81">
        <f>IFERROR(SEARCH(search!$B$6,samples!#REF!,1),0)</f>
        <v>0</v>
      </c>
      <c r="G81" t="e">
        <f>IF(samples!#REF!=0,"",samples!#REF!)</f>
        <v>#REF!</v>
      </c>
      <c r="H81">
        <f>IFERROR(SEARCH(search!$B$6,samples!#REF!,1),0)</f>
        <v>0</v>
      </c>
      <c r="I81" t="e">
        <f>IF(samples!#REF!=0,"",samples!#REF!)</f>
        <v>#REF!</v>
      </c>
      <c r="J81">
        <f>IFERROR(SEARCH(search!$B$6,samples!#REF!,1),0)</f>
        <v>0</v>
      </c>
      <c r="K81" t="e">
        <f>IF(samples!#REF!=0,"",samples!#REF!)</f>
        <v>#REF!</v>
      </c>
      <c r="L81">
        <f>IFERROR(SEARCH(search!$B$6,samples!#REF!,1),0)</f>
        <v>0</v>
      </c>
      <c r="M81" t="e">
        <f>IF(samples!#REF!=0,"",samples!#REF!)</f>
        <v>#REF!</v>
      </c>
      <c r="N81">
        <f>IFERROR(SEARCH(search!$B$6,samples!#REF!,1),0)</f>
        <v>0</v>
      </c>
      <c r="O81" t="e">
        <f>IF(samples!#REF!=0,"",samples!#REF!)</f>
        <v>#REF!</v>
      </c>
      <c r="P81">
        <f>IFERROR(SEARCH(search!$B$6,samples!#REF!,1),0)</f>
        <v>0</v>
      </c>
      <c r="Q81" t="e">
        <f>IF(samples!#REF!=0,"",samples!#REF!)</f>
        <v>#REF!</v>
      </c>
      <c r="R81">
        <f>IFERROR(SEARCH(search!$B$6,samples!#REF!,1),0)</f>
        <v>0</v>
      </c>
      <c r="S81" t="e">
        <f>IF(samples!#REF!=0,"",samples!#REF!)</f>
        <v>#REF!</v>
      </c>
      <c r="T81">
        <f>IFERROR(SEARCH(search!$B$6,samples!#REF!,1),0)</f>
        <v>0</v>
      </c>
      <c r="U81" t="e">
        <f>IF(samples!#REF!=0,"",samples!#REF!)</f>
        <v>#REF!</v>
      </c>
      <c r="V81">
        <f>IFERROR(SEARCH(search!$B$6,samples!#REF!,1),0)</f>
        <v>0</v>
      </c>
      <c r="W81" t="e">
        <f>IF(samples!#REF!=0,"",samples!#REF!)</f>
        <v>#REF!</v>
      </c>
      <c r="X81">
        <f>IFERROR(SEARCH(search!$B$6,samples!#REF!,1),0)</f>
        <v>0</v>
      </c>
      <c r="Y81" t="e">
        <f>IF(samples!#REF!=0,"",samples!#REF!)</f>
        <v>#REF!</v>
      </c>
      <c r="Z81">
        <f>IFERROR(SEARCH(search!$B$6,samples!#REF!,1),0)</f>
        <v>0</v>
      </c>
      <c r="AA81" t="e">
        <f>IF(samples!#REF!=0,"",samples!#REF!)</f>
        <v>#REF!</v>
      </c>
      <c r="AB81">
        <f>IFERROR(SEARCH(search!$B$6,samples!#REF!,1),0)</f>
        <v>0</v>
      </c>
      <c r="AC81" t="e">
        <f>IF(samples!#REF!=0,"",samples!#REF!)</f>
        <v>#REF!</v>
      </c>
      <c r="AD81">
        <f>IFERROR(SEARCH(search!$B$6,samples!#REF!,1),0)</f>
        <v>0</v>
      </c>
    </row>
    <row r="82" spans="1:30">
      <c r="A82">
        <f t="shared" si="1"/>
        <v>0</v>
      </c>
      <c r="B82">
        <f>IF(SUM(D82,F82,H82,J82,L82,N82,P82,R82,T82,V82,X82,Z82,AB82,AD82)&gt;0,SUM($A$2:A82),0)</f>
        <v>0</v>
      </c>
      <c r="C82" t="e">
        <f>samples!#REF!</f>
        <v>#REF!</v>
      </c>
      <c r="D82">
        <f>IFERROR(SEARCH(search!$B$6,samples!#REF!,1),0)</f>
        <v>0</v>
      </c>
      <c r="E82" t="e">
        <f>IF(samples!#REF!=0,"",samples!#REF!)</f>
        <v>#REF!</v>
      </c>
      <c r="F82">
        <f>IFERROR(SEARCH(search!$B$6,samples!#REF!,1),0)</f>
        <v>0</v>
      </c>
      <c r="G82" t="e">
        <f>IF(samples!#REF!=0,"",samples!#REF!)</f>
        <v>#REF!</v>
      </c>
      <c r="H82">
        <f>IFERROR(SEARCH(search!$B$6,samples!#REF!,1),0)</f>
        <v>0</v>
      </c>
      <c r="I82" t="e">
        <f>IF(samples!#REF!=0,"",samples!#REF!)</f>
        <v>#REF!</v>
      </c>
      <c r="J82">
        <f>IFERROR(SEARCH(search!$B$6,samples!#REF!,1),0)</f>
        <v>0</v>
      </c>
      <c r="K82" t="e">
        <f>IF(samples!#REF!=0,"",samples!#REF!)</f>
        <v>#REF!</v>
      </c>
      <c r="L82">
        <f>IFERROR(SEARCH(search!$B$6,samples!#REF!,1),0)</f>
        <v>0</v>
      </c>
      <c r="M82" t="e">
        <f>IF(samples!#REF!=0,"",samples!#REF!)</f>
        <v>#REF!</v>
      </c>
      <c r="N82">
        <f>IFERROR(SEARCH(search!$B$6,samples!#REF!,1),0)</f>
        <v>0</v>
      </c>
      <c r="O82" t="e">
        <f>IF(samples!#REF!=0,"",samples!#REF!)</f>
        <v>#REF!</v>
      </c>
      <c r="P82">
        <f>IFERROR(SEARCH(search!$B$6,samples!#REF!,1),0)</f>
        <v>0</v>
      </c>
      <c r="Q82" t="e">
        <f>IF(samples!#REF!=0,"",samples!#REF!)</f>
        <v>#REF!</v>
      </c>
      <c r="R82">
        <f>IFERROR(SEARCH(search!$B$6,samples!#REF!,1),0)</f>
        <v>0</v>
      </c>
      <c r="S82" t="e">
        <f>IF(samples!#REF!=0,"",samples!#REF!)</f>
        <v>#REF!</v>
      </c>
      <c r="T82">
        <f>IFERROR(SEARCH(search!$B$6,samples!#REF!,1),0)</f>
        <v>0</v>
      </c>
      <c r="U82" t="e">
        <f>IF(samples!#REF!=0,"",samples!#REF!)</f>
        <v>#REF!</v>
      </c>
      <c r="V82">
        <f>IFERROR(SEARCH(search!$B$6,samples!#REF!,1),0)</f>
        <v>0</v>
      </c>
      <c r="W82" t="e">
        <f>IF(samples!#REF!=0,"",samples!#REF!)</f>
        <v>#REF!</v>
      </c>
      <c r="X82">
        <f>IFERROR(SEARCH(search!$B$6,samples!#REF!,1),0)</f>
        <v>0</v>
      </c>
      <c r="Y82" t="e">
        <f>IF(samples!#REF!=0,"",samples!#REF!)</f>
        <v>#REF!</v>
      </c>
      <c r="Z82">
        <f>IFERROR(SEARCH(search!$B$6,samples!#REF!,1),0)</f>
        <v>0</v>
      </c>
      <c r="AA82" t="e">
        <f>IF(samples!#REF!=0,"",samples!#REF!)</f>
        <v>#REF!</v>
      </c>
      <c r="AB82">
        <f>IFERROR(SEARCH(search!$B$6,samples!#REF!,1),0)</f>
        <v>0</v>
      </c>
      <c r="AC82" t="e">
        <f>IF(samples!#REF!=0,"",samples!#REF!)</f>
        <v>#REF!</v>
      </c>
      <c r="AD82">
        <f>IFERROR(SEARCH(search!$B$6,samples!#REF!,1),0)</f>
        <v>0</v>
      </c>
    </row>
    <row r="83" spans="1:30">
      <c r="A83">
        <f t="shared" si="1"/>
        <v>0</v>
      </c>
      <c r="B83">
        <f>IF(SUM(D83,F83,H83,J83,L83,N83,P83,R83,T83,V83,X83,Z83,AB83,AD83)&gt;0,SUM($A$2:A83),0)</f>
        <v>0</v>
      </c>
      <c r="C83" t="e">
        <f>samples!#REF!</f>
        <v>#REF!</v>
      </c>
      <c r="D83">
        <f>IFERROR(SEARCH(search!$B$6,samples!#REF!,1),0)</f>
        <v>0</v>
      </c>
      <c r="E83" t="e">
        <f>IF(samples!#REF!=0,"",samples!#REF!)</f>
        <v>#REF!</v>
      </c>
      <c r="F83">
        <f>IFERROR(SEARCH(search!$B$6,samples!#REF!,1),0)</f>
        <v>0</v>
      </c>
      <c r="G83" t="e">
        <f>IF(samples!#REF!=0,"",samples!#REF!)</f>
        <v>#REF!</v>
      </c>
      <c r="H83">
        <f>IFERROR(SEARCH(search!$B$6,samples!#REF!,1),0)</f>
        <v>0</v>
      </c>
      <c r="I83" t="e">
        <f>IF(samples!#REF!=0,"",samples!#REF!)</f>
        <v>#REF!</v>
      </c>
      <c r="J83">
        <f>IFERROR(SEARCH(search!$B$6,samples!#REF!,1),0)</f>
        <v>0</v>
      </c>
      <c r="K83" t="e">
        <f>IF(samples!#REF!=0,"",samples!#REF!)</f>
        <v>#REF!</v>
      </c>
      <c r="L83">
        <f>IFERROR(SEARCH(search!$B$6,samples!#REF!,1),0)</f>
        <v>0</v>
      </c>
      <c r="M83" t="e">
        <f>IF(samples!#REF!=0,"",samples!#REF!)</f>
        <v>#REF!</v>
      </c>
      <c r="N83">
        <f>IFERROR(SEARCH(search!$B$6,samples!#REF!,1),0)</f>
        <v>0</v>
      </c>
      <c r="O83" t="e">
        <f>IF(samples!#REF!=0,"",samples!#REF!)</f>
        <v>#REF!</v>
      </c>
      <c r="P83">
        <f>IFERROR(SEARCH(search!$B$6,samples!#REF!,1),0)</f>
        <v>0</v>
      </c>
      <c r="Q83" t="e">
        <f>IF(samples!#REF!=0,"",samples!#REF!)</f>
        <v>#REF!</v>
      </c>
      <c r="R83">
        <f>IFERROR(SEARCH(search!$B$6,samples!#REF!,1),0)</f>
        <v>0</v>
      </c>
      <c r="S83" t="e">
        <f>IF(samples!#REF!=0,"",samples!#REF!)</f>
        <v>#REF!</v>
      </c>
      <c r="T83">
        <f>IFERROR(SEARCH(search!$B$6,samples!#REF!,1),0)</f>
        <v>0</v>
      </c>
      <c r="U83" t="e">
        <f>IF(samples!#REF!=0,"",samples!#REF!)</f>
        <v>#REF!</v>
      </c>
      <c r="V83">
        <f>IFERROR(SEARCH(search!$B$6,samples!#REF!,1),0)</f>
        <v>0</v>
      </c>
      <c r="W83" t="e">
        <f>IF(samples!#REF!=0,"",samples!#REF!)</f>
        <v>#REF!</v>
      </c>
      <c r="X83">
        <f>IFERROR(SEARCH(search!$B$6,samples!#REF!,1),0)</f>
        <v>0</v>
      </c>
      <c r="Y83" t="e">
        <f>IF(samples!#REF!=0,"",samples!#REF!)</f>
        <v>#REF!</v>
      </c>
      <c r="Z83">
        <f>IFERROR(SEARCH(search!$B$6,samples!#REF!,1),0)</f>
        <v>0</v>
      </c>
      <c r="AA83" t="e">
        <f>IF(samples!#REF!=0,"",samples!#REF!)</f>
        <v>#REF!</v>
      </c>
      <c r="AB83">
        <f>IFERROR(SEARCH(search!$B$6,samples!#REF!,1),0)</f>
        <v>0</v>
      </c>
      <c r="AC83" t="e">
        <f>IF(samples!#REF!=0,"",samples!#REF!)</f>
        <v>#REF!</v>
      </c>
      <c r="AD83">
        <f>IFERROR(SEARCH(search!$B$6,samples!#REF!,1),0)</f>
        <v>0</v>
      </c>
    </row>
    <row r="84" spans="1:30">
      <c r="A84">
        <f t="shared" si="1"/>
        <v>0</v>
      </c>
      <c r="B84">
        <f>IF(SUM(D84,F84,H84,J84,L84,N84,P84,R84,T84,V84,X84,Z84,AB84,AD84)&gt;0,SUM($A$2:A84),0)</f>
        <v>0</v>
      </c>
      <c r="C84" t="e">
        <f>samples!#REF!</f>
        <v>#REF!</v>
      </c>
      <c r="D84">
        <f>IFERROR(SEARCH(search!$B$6,samples!#REF!,1),0)</f>
        <v>0</v>
      </c>
      <c r="E84" t="e">
        <f>IF(samples!#REF!=0,"",samples!#REF!)</f>
        <v>#REF!</v>
      </c>
      <c r="F84">
        <f>IFERROR(SEARCH(search!$B$6,samples!#REF!,1),0)</f>
        <v>0</v>
      </c>
      <c r="G84" t="e">
        <f>IF(samples!#REF!=0,"",samples!#REF!)</f>
        <v>#REF!</v>
      </c>
      <c r="H84">
        <f>IFERROR(SEARCH(search!$B$6,samples!#REF!,1),0)</f>
        <v>0</v>
      </c>
      <c r="I84" t="e">
        <f>IF(samples!#REF!=0,"",samples!#REF!)</f>
        <v>#REF!</v>
      </c>
      <c r="J84">
        <f>IFERROR(SEARCH(search!$B$6,samples!#REF!,1),0)</f>
        <v>0</v>
      </c>
      <c r="K84" t="e">
        <f>IF(samples!#REF!=0,"",samples!#REF!)</f>
        <v>#REF!</v>
      </c>
      <c r="L84">
        <f>IFERROR(SEARCH(search!$B$6,samples!#REF!,1),0)</f>
        <v>0</v>
      </c>
      <c r="M84" t="e">
        <f>IF(samples!#REF!=0,"",samples!#REF!)</f>
        <v>#REF!</v>
      </c>
      <c r="N84">
        <f>IFERROR(SEARCH(search!$B$6,samples!#REF!,1),0)</f>
        <v>0</v>
      </c>
      <c r="O84" t="e">
        <f>IF(samples!#REF!=0,"",samples!#REF!)</f>
        <v>#REF!</v>
      </c>
      <c r="P84">
        <f>IFERROR(SEARCH(search!$B$6,samples!#REF!,1),0)</f>
        <v>0</v>
      </c>
      <c r="Q84" t="e">
        <f>IF(samples!#REF!=0,"",samples!#REF!)</f>
        <v>#REF!</v>
      </c>
      <c r="R84">
        <f>IFERROR(SEARCH(search!$B$6,samples!#REF!,1),0)</f>
        <v>0</v>
      </c>
      <c r="S84" t="e">
        <f>IF(samples!#REF!=0,"",samples!#REF!)</f>
        <v>#REF!</v>
      </c>
      <c r="T84">
        <f>IFERROR(SEARCH(search!$B$6,samples!#REF!,1),0)</f>
        <v>0</v>
      </c>
      <c r="U84" t="e">
        <f>IF(samples!#REF!=0,"",samples!#REF!)</f>
        <v>#REF!</v>
      </c>
      <c r="V84">
        <f>IFERROR(SEARCH(search!$B$6,samples!#REF!,1),0)</f>
        <v>0</v>
      </c>
      <c r="W84" t="e">
        <f>IF(samples!#REF!=0,"",samples!#REF!)</f>
        <v>#REF!</v>
      </c>
      <c r="X84">
        <f>IFERROR(SEARCH(search!$B$6,samples!#REF!,1),0)</f>
        <v>0</v>
      </c>
      <c r="Y84" t="e">
        <f>IF(samples!#REF!=0,"",samples!#REF!)</f>
        <v>#REF!</v>
      </c>
      <c r="Z84">
        <f>IFERROR(SEARCH(search!$B$6,samples!#REF!,1),0)</f>
        <v>0</v>
      </c>
      <c r="AA84" t="e">
        <f>IF(samples!#REF!=0,"",samples!#REF!)</f>
        <v>#REF!</v>
      </c>
      <c r="AB84">
        <f>IFERROR(SEARCH(search!$B$6,samples!#REF!,1),0)</f>
        <v>0</v>
      </c>
      <c r="AC84" t="e">
        <f>IF(samples!#REF!=0,"",samples!#REF!)</f>
        <v>#REF!</v>
      </c>
      <c r="AD84">
        <f>IFERROR(SEARCH(search!$B$6,samples!#REF!,1),0)</f>
        <v>0</v>
      </c>
    </row>
    <row r="85" spans="1:30">
      <c r="A85">
        <f t="shared" si="1"/>
        <v>0</v>
      </c>
      <c r="B85">
        <f>IF(SUM(D85,F85,H85,J85,L85,N85,P85,R85,T85,V85,X85,Z85,AB85,AD85)&gt;0,SUM($A$2:A85),0)</f>
        <v>0</v>
      </c>
      <c r="C85" t="e">
        <f>samples!#REF!</f>
        <v>#REF!</v>
      </c>
      <c r="D85">
        <f>IFERROR(SEARCH(search!$B$6,samples!#REF!,1),0)</f>
        <v>0</v>
      </c>
      <c r="E85" t="e">
        <f>IF(samples!#REF!=0,"",samples!#REF!)</f>
        <v>#REF!</v>
      </c>
      <c r="F85">
        <f>IFERROR(SEARCH(search!$B$6,samples!#REF!,1),0)</f>
        <v>0</v>
      </c>
      <c r="G85" t="e">
        <f>IF(samples!#REF!=0,"",samples!#REF!)</f>
        <v>#REF!</v>
      </c>
      <c r="H85">
        <f>IFERROR(SEARCH(search!$B$6,samples!#REF!,1),0)</f>
        <v>0</v>
      </c>
      <c r="I85" t="e">
        <f>IF(samples!#REF!=0,"",samples!#REF!)</f>
        <v>#REF!</v>
      </c>
      <c r="J85">
        <f>IFERROR(SEARCH(search!$B$6,samples!#REF!,1),0)</f>
        <v>0</v>
      </c>
      <c r="K85" t="e">
        <f>IF(samples!#REF!=0,"",samples!#REF!)</f>
        <v>#REF!</v>
      </c>
      <c r="L85">
        <f>IFERROR(SEARCH(search!$B$6,samples!#REF!,1),0)</f>
        <v>0</v>
      </c>
      <c r="M85" t="e">
        <f>IF(samples!#REF!=0,"",samples!#REF!)</f>
        <v>#REF!</v>
      </c>
      <c r="N85">
        <f>IFERROR(SEARCH(search!$B$6,samples!#REF!,1),0)</f>
        <v>0</v>
      </c>
      <c r="O85" t="e">
        <f>IF(samples!#REF!=0,"",samples!#REF!)</f>
        <v>#REF!</v>
      </c>
      <c r="P85">
        <f>IFERROR(SEARCH(search!$B$6,samples!#REF!,1),0)</f>
        <v>0</v>
      </c>
      <c r="Q85" t="e">
        <f>IF(samples!#REF!=0,"",samples!#REF!)</f>
        <v>#REF!</v>
      </c>
      <c r="R85">
        <f>IFERROR(SEARCH(search!$B$6,samples!#REF!,1),0)</f>
        <v>0</v>
      </c>
      <c r="S85" t="e">
        <f>IF(samples!#REF!=0,"",samples!#REF!)</f>
        <v>#REF!</v>
      </c>
      <c r="T85">
        <f>IFERROR(SEARCH(search!$B$6,samples!#REF!,1),0)</f>
        <v>0</v>
      </c>
      <c r="U85" t="e">
        <f>IF(samples!#REF!=0,"",samples!#REF!)</f>
        <v>#REF!</v>
      </c>
      <c r="V85">
        <f>IFERROR(SEARCH(search!$B$6,samples!#REF!,1),0)</f>
        <v>0</v>
      </c>
      <c r="W85" t="e">
        <f>IF(samples!#REF!=0,"",samples!#REF!)</f>
        <v>#REF!</v>
      </c>
      <c r="X85">
        <f>IFERROR(SEARCH(search!$B$6,samples!#REF!,1),0)</f>
        <v>0</v>
      </c>
      <c r="Y85" t="e">
        <f>IF(samples!#REF!=0,"",samples!#REF!)</f>
        <v>#REF!</v>
      </c>
      <c r="Z85">
        <f>IFERROR(SEARCH(search!$B$6,samples!#REF!,1),0)</f>
        <v>0</v>
      </c>
      <c r="AA85" t="e">
        <f>IF(samples!#REF!=0,"",samples!#REF!)</f>
        <v>#REF!</v>
      </c>
      <c r="AB85">
        <f>IFERROR(SEARCH(search!$B$6,samples!#REF!,1),0)</f>
        <v>0</v>
      </c>
      <c r="AC85" t="e">
        <f>IF(samples!#REF!=0,"",samples!#REF!)</f>
        <v>#REF!</v>
      </c>
      <c r="AD85">
        <f>IFERROR(SEARCH(search!$B$6,samples!#REF!,1),0)</f>
        <v>0</v>
      </c>
    </row>
    <row r="86" spans="1:30">
      <c r="A86">
        <f t="shared" si="1"/>
        <v>0</v>
      </c>
      <c r="B86">
        <f>IF(SUM(D86,F86,H86,J86,L86,N86,P86,R86,T86,V86,X86,Z86,AB86,AD86)&gt;0,SUM($A$2:A86),0)</f>
        <v>0</v>
      </c>
      <c r="C86" t="e">
        <f>samples!#REF!</f>
        <v>#REF!</v>
      </c>
      <c r="D86">
        <f>IFERROR(SEARCH(search!$B$6,samples!#REF!,1),0)</f>
        <v>0</v>
      </c>
      <c r="E86" t="e">
        <f>IF(samples!#REF!=0,"",samples!#REF!)</f>
        <v>#REF!</v>
      </c>
      <c r="F86">
        <f>IFERROR(SEARCH(search!$B$6,samples!#REF!,1),0)</f>
        <v>0</v>
      </c>
      <c r="G86" t="e">
        <f>IF(samples!#REF!=0,"",samples!#REF!)</f>
        <v>#REF!</v>
      </c>
      <c r="H86">
        <f>IFERROR(SEARCH(search!$B$6,samples!#REF!,1),0)</f>
        <v>0</v>
      </c>
      <c r="I86" t="e">
        <f>IF(samples!#REF!=0,"",samples!#REF!)</f>
        <v>#REF!</v>
      </c>
      <c r="J86">
        <f>IFERROR(SEARCH(search!$B$6,samples!#REF!,1),0)</f>
        <v>0</v>
      </c>
      <c r="K86" t="e">
        <f>IF(samples!#REF!=0,"",samples!#REF!)</f>
        <v>#REF!</v>
      </c>
      <c r="L86">
        <f>IFERROR(SEARCH(search!$B$6,samples!#REF!,1),0)</f>
        <v>0</v>
      </c>
      <c r="M86" t="e">
        <f>IF(samples!#REF!=0,"",samples!#REF!)</f>
        <v>#REF!</v>
      </c>
      <c r="N86">
        <f>IFERROR(SEARCH(search!$B$6,samples!#REF!,1),0)</f>
        <v>0</v>
      </c>
      <c r="O86" t="e">
        <f>IF(samples!#REF!=0,"",samples!#REF!)</f>
        <v>#REF!</v>
      </c>
      <c r="P86">
        <f>IFERROR(SEARCH(search!$B$6,samples!#REF!,1),0)</f>
        <v>0</v>
      </c>
      <c r="Q86" t="e">
        <f>IF(samples!#REF!=0,"",samples!#REF!)</f>
        <v>#REF!</v>
      </c>
      <c r="R86">
        <f>IFERROR(SEARCH(search!$B$6,samples!#REF!,1),0)</f>
        <v>0</v>
      </c>
      <c r="S86" t="e">
        <f>IF(samples!#REF!=0,"",samples!#REF!)</f>
        <v>#REF!</v>
      </c>
      <c r="T86">
        <f>IFERROR(SEARCH(search!$B$6,samples!#REF!,1),0)</f>
        <v>0</v>
      </c>
      <c r="U86" t="e">
        <f>IF(samples!#REF!=0,"",samples!#REF!)</f>
        <v>#REF!</v>
      </c>
      <c r="V86">
        <f>IFERROR(SEARCH(search!$B$6,samples!#REF!,1),0)</f>
        <v>0</v>
      </c>
      <c r="W86" t="e">
        <f>IF(samples!#REF!=0,"",samples!#REF!)</f>
        <v>#REF!</v>
      </c>
      <c r="X86">
        <f>IFERROR(SEARCH(search!$B$6,samples!#REF!,1),0)</f>
        <v>0</v>
      </c>
      <c r="Y86" t="e">
        <f>IF(samples!#REF!=0,"",samples!#REF!)</f>
        <v>#REF!</v>
      </c>
      <c r="Z86">
        <f>IFERROR(SEARCH(search!$B$6,samples!#REF!,1),0)</f>
        <v>0</v>
      </c>
      <c r="AA86" t="e">
        <f>IF(samples!#REF!=0,"",samples!#REF!)</f>
        <v>#REF!</v>
      </c>
      <c r="AB86">
        <f>IFERROR(SEARCH(search!$B$6,samples!#REF!,1),0)</f>
        <v>0</v>
      </c>
      <c r="AC86" t="e">
        <f>IF(samples!#REF!=0,"",samples!#REF!)</f>
        <v>#REF!</v>
      </c>
      <c r="AD86">
        <f>IFERROR(SEARCH(search!$B$6,samples!#REF!,1),0)</f>
        <v>0</v>
      </c>
    </row>
    <row r="87" spans="1:30">
      <c r="A87">
        <f t="shared" si="1"/>
        <v>0</v>
      </c>
      <c r="B87">
        <f>IF(SUM(D87,F87,H87,J87,L87,N87,P87,R87,T87,V87,X87,Z87,AB87,AD87)&gt;0,SUM($A$2:A87),0)</f>
        <v>0</v>
      </c>
      <c r="C87" t="e">
        <f>samples!#REF!</f>
        <v>#REF!</v>
      </c>
      <c r="D87">
        <f>IFERROR(SEARCH(search!$B$6,samples!#REF!,1),0)</f>
        <v>0</v>
      </c>
      <c r="E87" t="e">
        <f>IF(samples!#REF!=0,"",samples!#REF!)</f>
        <v>#REF!</v>
      </c>
      <c r="F87">
        <f>IFERROR(SEARCH(search!$B$6,samples!#REF!,1),0)</f>
        <v>0</v>
      </c>
      <c r="G87" t="e">
        <f>IF(samples!#REF!=0,"",samples!#REF!)</f>
        <v>#REF!</v>
      </c>
      <c r="H87">
        <f>IFERROR(SEARCH(search!$B$6,samples!#REF!,1),0)</f>
        <v>0</v>
      </c>
      <c r="I87" t="e">
        <f>IF(samples!#REF!=0,"",samples!#REF!)</f>
        <v>#REF!</v>
      </c>
      <c r="J87">
        <f>IFERROR(SEARCH(search!$B$6,samples!#REF!,1),0)</f>
        <v>0</v>
      </c>
      <c r="K87" t="e">
        <f>IF(samples!#REF!=0,"",samples!#REF!)</f>
        <v>#REF!</v>
      </c>
      <c r="L87">
        <f>IFERROR(SEARCH(search!$B$6,samples!#REF!,1),0)</f>
        <v>0</v>
      </c>
      <c r="M87" t="e">
        <f>IF(samples!#REF!=0,"",samples!#REF!)</f>
        <v>#REF!</v>
      </c>
      <c r="N87">
        <f>IFERROR(SEARCH(search!$B$6,samples!#REF!,1),0)</f>
        <v>0</v>
      </c>
      <c r="O87" t="e">
        <f>IF(samples!#REF!=0,"",samples!#REF!)</f>
        <v>#REF!</v>
      </c>
      <c r="P87">
        <f>IFERROR(SEARCH(search!$B$6,samples!#REF!,1),0)</f>
        <v>0</v>
      </c>
      <c r="Q87" t="e">
        <f>IF(samples!#REF!=0,"",samples!#REF!)</f>
        <v>#REF!</v>
      </c>
      <c r="R87">
        <f>IFERROR(SEARCH(search!$B$6,samples!#REF!,1),0)</f>
        <v>0</v>
      </c>
      <c r="S87" t="e">
        <f>IF(samples!#REF!=0,"",samples!#REF!)</f>
        <v>#REF!</v>
      </c>
      <c r="T87">
        <f>IFERROR(SEARCH(search!$B$6,samples!#REF!,1),0)</f>
        <v>0</v>
      </c>
      <c r="U87" t="e">
        <f>IF(samples!#REF!=0,"",samples!#REF!)</f>
        <v>#REF!</v>
      </c>
      <c r="V87">
        <f>IFERROR(SEARCH(search!$B$6,samples!#REF!,1),0)</f>
        <v>0</v>
      </c>
      <c r="W87" t="e">
        <f>IF(samples!#REF!=0,"",samples!#REF!)</f>
        <v>#REF!</v>
      </c>
      <c r="X87">
        <f>IFERROR(SEARCH(search!$B$6,samples!#REF!,1),0)</f>
        <v>0</v>
      </c>
      <c r="Y87" t="e">
        <f>IF(samples!#REF!=0,"",samples!#REF!)</f>
        <v>#REF!</v>
      </c>
      <c r="Z87">
        <f>IFERROR(SEARCH(search!$B$6,samples!#REF!,1),0)</f>
        <v>0</v>
      </c>
      <c r="AA87" t="e">
        <f>IF(samples!#REF!=0,"",samples!#REF!)</f>
        <v>#REF!</v>
      </c>
      <c r="AB87">
        <f>IFERROR(SEARCH(search!$B$6,samples!#REF!,1),0)</f>
        <v>0</v>
      </c>
      <c r="AC87" t="e">
        <f>IF(samples!#REF!=0,"",samples!#REF!)</f>
        <v>#REF!</v>
      </c>
      <c r="AD87">
        <f>IFERROR(SEARCH(search!$B$6,samples!#REF!,1),0)</f>
        <v>0</v>
      </c>
    </row>
    <row r="88" spans="1:30">
      <c r="A88">
        <f t="shared" si="1"/>
        <v>0</v>
      </c>
      <c r="B88">
        <f>IF(SUM(D88,F88,H88,J88,L88,N88,P88,R88,T88,V88,X88,Z88,AB88,AD88)&gt;0,SUM($A$2:A88),0)</f>
        <v>0</v>
      </c>
      <c r="C88" t="e">
        <f>samples!#REF!</f>
        <v>#REF!</v>
      </c>
      <c r="D88">
        <f>IFERROR(SEARCH(search!$B$6,samples!#REF!,1),0)</f>
        <v>0</v>
      </c>
      <c r="E88" t="e">
        <f>IF(samples!#REF!=0,"",samples!#REF!)</f>
        <v>#REF!</v>
      </c>
      <c r="F88">
        <f>IFERROR(SEARCH(search!$B$6,samples!#REF!,1),0)</f>
        <v>0</v>
      </c>
      <c r="G88" t="e">
        <f>IF(samples!#REF!=0,"",samples!#REF!)</f>
        <v>#REF!</v>
      </c>
      <c r="H88">
        <f>IFERROR(SEARCH(search!$B$6,samples!#REF!,1),0)</f>
        <v>0</v>
      </c>
      <c r="I88" t="e">
        <f>IF(samples!#REF!=0,"",samples!#REF!)</f>
        <v>#REF!</v>
      </c>
      <c r="J88">
        <f>IFERROR(SEARCH(search!$B$6,samples!#REF!,1),0)</f>
        <v>0</v>
      </c>
      <c r="K88" t="e">
        <f>IF(samples!#REF!=0,"",samples!#REF!)</f>
        <v>#REF!</v>
      </c>
      <c r="L88">
        <f>IFERROR(SEARCH(search!$B$6,samples!#REF!,1),0)</f>
        <v>0</v>
      </c>
      <c r="M88" t="e">
        <f>IF(samples!#REF!=0,"",samples!#REF!)</f>
        <v>#REF!</v>
      </c>
      <c r="N88">
        <f>IFERROR(SEARCH(search!$B$6,samples!#REF!,1),0)</f>
        <v>0</v>
      </c>
      <c r="O88" t="e">
        <f>IF(samples!#REF!=0,"",samples!#REF!)</f>
        <v>#REF!</v>
      </c>
      <c r="P88">
        <f>IFERROR(SEARCH(search!$B$6,samples!#REF!,1),0)</f>
        <v>0</v>
      </c>
      <c r="Q88" t="e">
        <f>IF(samples!#REF!=0,"",samples!#REF!)</f>
        <v>#REF!</v>
      </c>
      <c r="R88">
        <f>IFERROR(SEARCH(search!$B$6,samples!#REF!,1),0)</f>
        <v>0</v>
      </c>
      <c r="S88" t="e">
        <f>IF(samples!#REF!=0,"",samples!#REF!)</f>
        <v>#REF!</v>
      </c>
      <c r="T88">
        <f>IFERROR(SEARCH(search!$B$6,samples!#REF!,1),0)</f>
        <v>0</v>
      </c>
      <c r="U88" t="e">
        <f>IF(samples!#REF!=0,"",samples!#REF!)</f>
        <v>#REF!</v>
      </c>
      <c r="V88">
        <f>IFERROR(SEARCH(search!$B$6,samples!#REF!,1),0)</f>
        <v>0</v>
      </c>
      <c r="W88" t="e">
        <f>IF(samples!#REF!=0,"",samples!#REF!)</f>
        <v>#REF!</v>
      </c>
      <c r="X88">
        <f>IFERROR(SEARCH(search!$B$6,samples!#REF!,1),0)</f>
        <v>0</v>
      </c>
      <c r="Y88" t="e">
        <f>IF(samples!#REF!=0,"",samples!#REF!)</f>
        <v>#REF!</v>
      </c>
      <c r="Z88">
        <f>IFERROR(SEARCH(search!$B$6,samples!#REF!,1),0)</f>
        <v>0</v>
      </c>
      <c r="AA88" t="e">
        <f>IF(samples!#REF!=0,"",samples!#REF!)</f>
        <v>#REF!</v>
      </c>
      <c r="AB88">
        <f>IFERROR(SEARCH(search!$B$6,samples!#REF!,1),0)</f>
        <v>0</v>
      </c>
      <c r="AC88" t="e">
        <f>IF(samples!#REF!=0,"",samples!#REF!)</f>
        <v>#REF!</v>
      </c>
      <c r="AD88">
        <f>IFERROR(SEARCH(search!$B$6,samples!#REF!,1),0)</f>
        <v>0</v>
      </c>
    </row>
    <row r="89" spans="1:30">
      <c r="A89">
        <f t="shared" si="1"/>
        <v>0</v>
      </c>
      <c r="B89">
        <f>IF(SUM(D89,F89,H89,J89,L89,N89,P89,R89,T89,V89,X89,Z89,AB89,AD89)&gt;0,SUM($A$2:A89),0)</f>
        <v>0</v>
      </c>
      <c r="C89" t="e">
        <f>samples!#REF!</f>
        <v>#REF!</v>
      </c>
      <c r="D89">
        <f>IFERROR(SEARCH(search!$B$6,samples!#REF!,1),0)</f>
        <v>0</v>
      </c>
      <c r="E89" t="e">
        <f>IF(samples!#REF!=0,"",samples!#REF!)</f>
        <v>#REF!</v>
      </c>
      <c r="F89">
        <f>IFERROR(SEARCH(search!$B$6,samples!#REF!,1),0)</f>
        <v>0</v>
      </c>
      <c r="G89" t="e">
        <f>IF(samples!#REF!=0,"",samples!#REF!)</f>
        <v>#REF!</v>
      </c>
      <c r="H89">
        <f>IFERROR(SEARCH(search!$B$6,samples!#REF!,1),0)</f>
        <v>0</v>
      </c>
      <c r="I89" t="e">
        <f>IF(samples!#REF!=0,"",samples!#REF!)</f>
        <v>#REF!</v>
      </c>
      <c r="J89">
        <f>IFERROR(SEARCH(search!$B$6,samples!#REF!,1),0)</f>
        <v>0</v>
      </c>
      <c r="K89" t="e">
        <f>IF(samples!#REF!=0,"",samples!#REF!)</f>
        <v>#REF!</v>
      </c>
      <c r="L89">
        <f>IFERROR(SEARCH(search!$B$6,samples!#REF!,1),0)</f>
        <v>0</v>
      </c>
      <c r="M89" t="e">
        <f>IF(samples!#REF!=0,"",samples!#REF!)</f>
        <v>#REF!</v>
      </c>
      <c r="N89">
        <f>IFERROR(SEARCH(search!$B$6,samples!#REF!,1),0)</f>
        <v>0</v>
      </c>
      <c r="O89" t="e">
        <f>IF(samples!#REF!=0,"",samples!#REF!)</f>
        <v>#REF!</v>
      </c>
      <c r="P89">
        <f>IFERROR(SEARCH(search!$B$6,samples!#REF!,1),0)</f>
        <v>0</v>
      </c>
      <c r="Q89" t="e">
        <f>IF(samples!#REF!=0,"",samples!#REF!)</f>
        <v>#REF!</v>
      </c>
      <c r="R89">
        <f>IFERROR(SEARCH(search!$B$6,samples!#REF!,1),0)</f>
        <v>0</v>
      </c>
      <c r="S89" t="e">
        <f>IF(samples!#REF!=0,"",samples!#REF!)</f>
        <v>#REF!</v>
      </c>
      <c r="T89">
        <f>IFERROR(SEARCH(search!$B$6,samples!#REF!,1),0)</f>
        <v>0</v>
      </c>
      <c r="U89" t="e">
        <f>IF(samples!#REF!=0,"",samples!#REF!)</f>
        <v>#REF!</v>
      </c>
      <c r="V89">
        <f>IFERROR(SEARCH(search!$B$6,samples!#REF!,1),0)</f>
        <v>0</v>
      </c>
      <c r="W89" t="e">
        <f>IF(samples!#REF!=0,"",samples!#REF!)</f>
        <v>#REF!</v>
      </c>
      <c r="X89">
        <f>IFERROR(SEARCH(search!$B$6,samples!#REF!,1),0)</f>
        <v>0</v>
      </c>
      <c r="Y89" t="e">
        <f>IF(samples!#REF!=0,"",samples!#REF!)</f>
        <v>#REF!</v>
      </c>
      <c r="Z89">
        <f>IFERROR(SEARCH(search!$B$6,samples!#REF!,1),0)</f>
        <v>0</v>
      </c>
      <c r="AA89" t="e">
        <f>IF(samples!#REF!=0,"",samples!#REF!)</f>
        <v>#REF!</v>
      </c>
      <c r="AB89">
        <f>IFERROR(SEARCH(search!$B$6,samples!#REF!,1),0)</f>
        <v>0</v>
      </c>
      <c r="AC89" t="e">
        <f>IF(samples!#REF!=0,"",samples!#REF!)</f>
        <v>#REF!</v>
      </c>
      <c r="AD89">
        <f>IFERROR(SEARCH(search!$B$6,samples!#REF!,1),0)</f>
        <v>0</v>
      </c>
    </row>
    <row r="90" spans="1:30">
      <c r="A90">
        <f t="shared" si="1"/>
        <v>0</v>
      </c>
      <c r="B90">
        <f>IF(SUM(D90,F90,H90,J90,L90,N90,P90,R90,T90,V90,X90,Z90,AB90,AD90)&gt;0,SUM($A$2:A90),0)</f>
        <v>0</v>
      </c>
      <c r="C90" t="e">
        <f>samples!#REF!</f>
        <v>#REF!</v>
      </c>
      <c r="D90">
        <f>IFERROR(SEARCH(search!$B$6,samples!#REF!,1),0)</f>
        <v>0</v>
      </c>
      <c r="E90" t="e">
        <f>IF(samples!#REF!=0,"",samples!#REF!)</f>
        <v>#REF!</v>
      </c>
      <c r="F90">
        <f>IFERROR(SEARCH(search!$B$6,samples!#REF!,1),0)</f>
        <v>0</v>
      </c>
      <c r="G90" t="e">
        <f>IF(samples!#REF!=0,"",samples!#REF!)</f>
        <v>#REF!</v>
      </c>
      <c r="H90">
        <f>IFERROR(SEARCH(search!$B$6,samples!#REF!,1),0)</f>
        <v>0</v>
      </c>
      <c r="I90" t="e">
        <f>IF(samples!#REF!=0,"",samples!#REF!)</f>
        <v>#REF!</v>
      </c>
      <c r="J90">
        <f>IFERROR(SEARCH(search!$B$6,samples!#REF!,1),0)</f>
        <v>0</v>
      </c>
      <c r="K90" t="e">
        <f>IF(samples!#REF!=0,"",samples!#REF!)</f>
        <v>#REF!</v>
      </c>
      <c r="L90">
        <f>IFERROR(SEARCH(search!$B$6,samples!#REF!,1),0)</f>
        <v>0</v>
      </c>
      <c r="M90" t="e">
        <f>IF(samples!#REF!=0,"",samples!#REF!)</f>
        <v>#REF!</v>
      </c>
      <c r="N90">
        <f>IFERROR(SEARCH(search!$B$6,samples!#REF!,1),0)</f>
        <v>0</v>
      </c>
      <c r="O90" t="e">
        <f>IF(samples!#REF!=0,"",samples!#REF!)</f>
        <v>#REF!</v>
      </c>
      <c r="P90">
        <f>IFERROR(SEARCH(search!$B$6,samples!#REF!,1),0)</f>
        <v>0</v>
      </c>
      <c r="Q90" t="e">
        <f>IF(samples!#REF!=0,"",samples!#REF!)</f>
        <v>#REF!</v>
      </c>
      <c r="R90">
        <f>IFERROR(SEARCH(search!$B$6,samples!#REF!,1),0)</f>
        <v>0</v>
      </c>
      <c r="S90" t="e">
        <f>IF(samples!#REF!=0,"",samples!#REF!)</f>
        <v>#REF!</v>
      </c>
      <c r="T90">
        <f>IFERROR(SEARCH(search!$B$6,samples!#REF!,1),0)</f>
        <v>0</v>
      </c>
      <c r="U90" t="e">
        <f>IF(samples!#REF!=0,"",samples!#REF!)</f>
        <v>#REF!</v>
      </c>
      <c r="V90">
        <f>IFERROR(SEARCH(search!$B$6,samples!#REF!,1),0)</f>
        <v>0</v>
      </c>
      <c r="W90" t="e">
        <f>IF(samples!#REF!=0,"",samples!#REF!)</f>
        <v>#REF!</v>
      </c>
      <c r="X90">
        <f>IFERROR(SEARCH(search!$B$6,samples!#REF!,1),0)</f>
        <v>0</v>
      </c>
      <c r="Y90" t="e">
        <f>IF(samples!#REF!=0,"",samples!#REF!)</f>
        <v>#REF!</v>
      </c>
      <c r="Z90">
        <f>IFERROR(SEARCH(search!$B$6,samples!#REF!,1),0)</f>
        <v>0</v>
      </c>
      <c r="AA90" t="e">
        <f>IF(samples!#REF!=0,"",samples!#REF!)</f>
        <v>#REF!</v>
      </c>
      <c r="AB90">
        <f>IFERROR(SEARCH(search!$B$6,samples!#REF!,1),0)</f>
        <v>0</v>
      </c>
      <c r="AC90" t="e">
        <f>IF(samples!#REF!=0,"",samples!#REF!)</f>
        <v>#REF!</v>
      </c>
      <c r="AD90">
        <f>IFERROR(SEARCH(search!$B$6,samples!#REF!,1),0)</f>
        <v>0</v>
      </c>
    </row>
    <row r="91" spans="1:30">
      <c r="A91">
        <f t="shared" si="1"/>
        <v>0</v>
      </c>
      <c r="B91">
        <f>IF(SUM(D91,F91,H91,J91,L91,N91,P91,R91,T91,V91,X91,Z91,AB91,AD91)&gt;0,SUM($A$2:A91),0)</f>
        <v>0</v>
      </c>
      <c r="C91" t="e">
        <f>samples!#REF!</f>
        <v>#REF!</v>
      </c>
      <c r="D91">
        <f>IFERROR(SEARCH(search!$B$6,samples!#REF!,1),0)</f>
        <v>0</v>
      </c>
      <c r="E91" t="e">
        <f>IF(samples!#REF!=0,"",samples!#REF!)</f>
        <v>#REF!</v>
      </c>
      <c r="F91">
        <f>IFERROR(SEARCH(search!$B$6,samples!#REF!,1),0)</f>
        <v>0</v>
      </c>
      <c r="G91" t="e">
        <f>IF(samples!#REF!=0,"",samples!#REF!)</f>
        <v>#REF!</v>
      </c>
      <c r="H91">
        <f>IFERROR(SEARCH(search!$B$6,samples!#REF!,1),0)</f>
        <v>0</v>
      </c>
      <c r="I91" t="e">
        <f>IF(samples!#REF!=0,"",samples!#REF!)</f>
        <v>#REF!</v>
      </c>
      <c r="J91">
        <f>IFERROR(SEARCH(search!$B$6,samples!#REF!,1),0)</f>
        <v>0</v>
      </c>
      <c r="K91" t="e">
        <f>IF(samples!#REF!=0,"",samples!#REF!)</f>
        <v>#REF!</v>
      </c>
      <c r="L91">
        <f>IFERROR(SEARCH(search!$B$6,samples!#REF!,1),0)</f>
        <v>0</v>
      </c>
      <c r="M91" t="e">
        <f>IF(samples!#REF!=0,"",samples!#REF!)</f>
        <v>#REF!</v>
      </c>
      <c r="N91">
        <f>IFERROR(SEARCH(search!$B$6,samples!#REF!,1),0)</f>
        <v>0</v>
      </c>
      <c r="O91" t="e">
        <f>IF(samples!#REF!=0,"",samples!#REF!)</f>
        <v>#REF!</v>
      </c>
      <c r="P91">
        <f>IFERROR(SEARCH(search!$B$6,samples!#REF!,1),0)</f>
        <v>0</v>
      </c>
      <c r="Q91" t="e">
        <f>IF(samples!#REF!=0,"",samples!#REF!)</f>
        <v>#REF!</v>
      </c>
      <c r="R91">
        <f>IFERROR(SEARCH(search!$B$6,samples!#REF!,1),0)</f>
        <v>0</v>
      </c>
      <c r="S91" t="e">
        <f>IF(samples!#REF!=0,"",samples!#REF!)</f>
        <v>#REF!</v>
      </c>
      <c r="T91">
        <f>IFERROR(SEARCH(search!$B$6,samples!#REF!,1),0)</f>
        <v>0</v>
      </c>
      <c r="U91" t="e">
        <f>IF(samples!#REF!=0,"",samples!#REF!)</f>
        <v>#REF!</v>
      </c>
      <c r="V91">
        <f>IFERROR(SEARCH(search!$B$6,samples!#REF!,1),0)</f>
        <v>0</v>
      </c>
      <c r="W91" t="e">
        <f>IF(samples!#REF!=0,"",samples!#REF!)</f>
        <v>#REF!</v>
      </c>
      <c r="X91">
        <f>IFERROR(SEARCH(search!$B$6,samples!#REF!,1),0)</f>
        <v>0</v>
      </c>
      <c r="Y91" t="e">
        <f>IF(samples!#REF!=0,"",samples!#REF!)</f>
        <v>#REF!</v>
      </c>
      <c r="Z91">
        <f>IFERROR(SEARCH(search!$B$6,samples!#REF!,1),0)</f>
        <v>0</v>
      </c>
      <c r="AA91" t="e">
        <f>IF(samples!#REF!=0,"",samples!#REF!)</f>
        <v>#REF!</v>
      </c>
      <c r="AB91">
        <f>IFERROR(SEARCH(search!$B$6,samples!#REF!,1),0)</f>
        <v>0</v>
      </c>
      <c r="AC91" t="e">
        <f>IF(samples!#REF!=0,"",samples!#REF!)</f>
        <v>#REF!</v>
      </c>
      <c r="AD91">
        <f>IFERROR(SEARCH(search!$B$6,samples!#REF!,1),0)</f>
        <v>0</v>
      </c>
    </row>
    <row r="92" spans="1:30">
      <c r="A92">
        <f t="shared" si="1"/>
        <v>0</v>
      </c>
      <c r="B92">
        <f>IF(SUM(D92,F92,H92,J92,L92,N92,P92,R92,T92,V92,X92,Z92,AB92,AD92)&gt;0,SUM($A$2:A92),0)</f>
        <v>0</v>
      </c>
      <c r="C92" t="e">
        <f>samples!#REF!</f>
        <v>#REF!</v>
      </c>
      <c r="D92">
        <f>IFERROR(SEARCH(search!$B$6,samples!#REF!,1),0)</f>
        <v>0</v>
      </c>
      <c r="E92" t="e">
        <f>IF(samples!#REF!=0,"",samples!#REF!)</f>
        <v>#REF!</v>
      </c>
      <c r="F92">
        <f>IFERROR(SEARCH(search!$B$6,samples!#REF!,1),0)</f>
        <v>0</v>
      </c>
      <c r="G92" t="e">
        <f>IF(samples!#REF!=0,"",samples!#REF!)</f>
        <v>#REF!</v>
      </c>
      <c r="H92">
        <f>IFERROR(SEARCH(search!$B$6,samples!#REF!,1),0)</f>
        <v>0</v>
      </c>
      <c r="I92" t="e">
        <f>IF(samples!#REF!=0,"",samples!#REF!)</f>
        <v>#REF!</v>
      </c>
      <c r="J92">
        <f>IFERROR(SEARCH(search!$B$6,samples!#REF!,1),0)</f>
        <v>0</v>
      </c>
      <c r="K92" t="e">
        <f>IF(samples!#REF!=0,"",samples!#REF!)</f>
        <v>#REF!</v>
      </c>
      <c r="L92">
        <f>IFERROR(SEARCH(search!$B$6,samples!#REF!,1),0)</f>
        <v>0</v>
      </c>
      <c r="M92" t="e">
        <f>IF(samples!#REF!=0,"",samples!#REF!)</f>
        <v>#REF!</v>
      </c>
      <c r="N92">
        <f>IFERROR(SEARCH(search!$B$6,samples!#REF!,1),0)</f>
        <v>0</v>
      </c>
      <c r="O92" t="e">
        <f>IF(samples!#REF!=0,"",samples!#REF!)</f>
        <v>#REF!</v>
      </c>
      <c r="P92">
        <f>IFERROR(SEARCH(search!$B$6,samples!#REF!,1),0)</f>
        <v>0</v>
      </c>
      <c r="Q92" t="e">
        <f>IF(samples!#REF!=0,"",samples!#REF!)</f>
        <v>#REF!</v>
      </c>
      <c r="R92">
        <f>IFERROR(SEARCH(search!$B$6,samples!#REF!,1),0)</f>
        <v>0</v>
      </c>
      <c r="S92" t="e">
        <f>IF(samples!#REF!=0,"",samples!#REF!)</f>
        <v>#REF!</v>
      </c>
      <c r="T92">
        <f>IFERROR(SEARCH(search!$B$6,samples!#REF!,1),0)</f>
        <v>0</v>
      </c>
      <c r="U92" t="e">
        <f>IF(samples!#REF!=0,"",samples!#REF!)</f>
        <v>#REF!</v>
      </c>
      <c r="V92">
        <f>IFERROR(SEARCH(search!$B$6,samples!#REF!,1),0)</f>
        <v>0</v>
      </c>
      <c r="W92" t="e">
        <f>IF(samples!#REF!=0,"",samples!#REF!)</f>
        <v>#REF!</v>
      </c>
      <c r="X92">
        <f>IFERROR(SEARCH(search!$B$6,samples!#REF!,1),0)</f>
        <v>0</v>
      </c>
      <c r="Y92" t="e">
        <f>IF(samples!#REF!=0,"",samples!#REF!)</f>
        <v>#REF!</v>
      </c>
      <c r="Z92">
        <f>IFERROR(SEARCH(search!$B$6,samples!#REF!,1),0)</f>
        <v>0</v>
      </c>
      <c r="AA92" t="e">
        <f>IF(samples!#REF!=0,"",samples!#REF!)</f>
        <v>#REF!</v>
      </c>
      <c r="AB92">
        <f>IFERROR(SEARCH(search!$B$6,samples!#REF!,1),0)</f>
        <v>0</v>
      </c>
      <c r="AC92" t="e">
        <f>IF(samples!#REF!=0,"",samples!#REF!)</f>
        <v>#REF!</v>
      </c>
      <c r="AD92">
        <f>IFERROR(SEARCH(search!$B$6,samples!#REF!,1),0)</f>
        <v>0</v>
      </c>
    </row>
    <row r="93" spans="1:30">
      <c r="A93">
        <f t="shared" si="1"/>
        <v>0</v>
      </c>
      <c r="B93">
        <f>IF(SUM(D93,F93,H93,J93,L93,N93,P93,R93,T93,V93,X93,Z93,AB93,AD93)&gt;0,SUM($A$2:A93),0)</f>
        <v>0</v>
      </c>
      <c r="C93" t="e">
        <f>samples!#REF!</f>
        <v>#REF!</v>
      </c>
      <c r="D93">
        <f>IFERROR(SEARCH(search!$B$6,samples!#REF!,1),0)</f>
        <v>0</v>
      </c>
      <c r="E93" t="e">
        <f>IF(samples!#REF!=0,"",samples!#REF!)</f>
        <v>#REF!</v>
      </c>
      <c r="F93">
        <f>IFERROR(SEARCH(search!$B$6,samples!#REF!,1),0)</f>
        <v>0</v>
      </c>
      <c r="G93" t="e">
        <f>IF(samples!#REF!=0,"",samples!#REF!)</f>
        <v>#REF!</v>
      </c>
      <c r="H93">
        <f>IFERROR(SEARCH(search!$B$6,samples!#REF!,1),0)</f>
        <v>0</v>
      </c>
      <c r="I93" t="e">
        <f>IF(samples!#REF!=0,"",samples!#REF!)</f>
        <v>#REF!</v>
      </c>
      <c r="J93">
        <f>IFERROR(SEARCH(search!$B$6,samples!#REF!,1),0)</f>
        <v>0</v>
      </c>
      <c r="K93" t="e">
        <f>IF(samples!#REF!=0,"",samples!#REF!)</f>
        <v>#REF!</v>
      </c>
      <c r="L93">
        <f>IFERROR(SEARCH(search!$B$6,samples!#REF!,1),0)</f>
        <v>0</v>
      </c>
      <c r="M93" t="e">
        <f>IF(samples!#REF!=0,"",samples!#REF!)</f>
        <v>#REF!</v>
      </c>
      <c r="N93">
        <f>IFERROR(SEARCH(search!$B$6,samples!#REF!,1),0)</f>
        <v>0</v>
      </c>
      <c r="O93" t="e">
        <f>IF(samples!#REF!=0,"",samples!#REF!)</f>
        <v>#REF!</v>
      </c>
      <c r="P93">
        <f>IFERROR(SEARCH(search!$B$6,samples!#REF!,1),0)</f>
        <v>0</v>
      </c>
      <c r="Q93" t="e">
        <f>IF(samples!#REF!=0,"",samples!#REF!)</f>
        <v>#REF!</v>
      </c>
      <c r="R93">
        <f>IFERROR(SEARCH(search!$B$6,samples!#REF!,1),0)</f>
        <v>0</v>
      </c>
      <c r="S93" t="e">
        <f>IF(samples!#REF!=0,"",samples!#REF!)</f>
        <v>#REF!</v>
      </c>
      <c r="T93">
        <f>IFERROR(SEARCH(search!$B$6,samples!#REF!,1),0)</f>
        <v>0</v>
      </c>
      <c r="U93" t="e">
        <f>IF(samples!#REF!=0,"",samples!#REF!)</f>
        <v>#REF!</v>
      </c>
      <c r="V93">
        <f>IFERROR(SEARCH(search!$B$6,samples!#REF!,1),0)</f>
        <v>0</v>
      </c>
      <c r="W93" t="e">
        <f>IF(samples!#REF!=0,"",samples!#REF!)</f>
        <v>#REF!</v>
      </c>
      <c r="X93">
        <f>IFERROR(SEARCH(search!$B$6,samples!#REF!,1),0)</f>
        <v>0</v>
      </c>
      <c r="Y93" t="e">
        <f>IF(samples!#REF!=0,"",samples!#REF!)</f>
        <v>#REF!</v>
      </c>
      <c r="Z93">
        <f>IFERROR(SEARCH(search!$B$6,samples!#REF!,1),0)</f>
        <v>0</v>
      </c>
      <c r="AA93" t="e">
        <f>IF(samples!#REF!=0,"",samples!#REF!)</f>
        <v>#REF!</v>
      </c>
      <c r="AB93">
        <f>IFERROR(SEARCH(search!$B$6,samples!#REF!,1),0)</f>
        <v>0</v>
      </c>
      <c r="AC93" t="e">
        <f>IF(samples!#REF!=0,"",samples!#REF!)</f>
        <v>#REF!</v>
      </c>
      <c r="AD93">
        <f>IFERROR(SEARCH(search!$B$6,samples!#REF!,1),0)</f>
        <v>0</v>
      </c>
    </row>
    <row r="94" spans="1:30">
      <c r="A94">
        <f t="shared" si="1"/>
        <v>0</v>
      </c>
      <c r="B94">
        <f>IF(SUM(D94,F94,H94,J94,L94,N94,P94,R94,T94,V94,X94,Z94,AB94,AD94)&gt;0,SUM($A$2:A94),0)</f>
        <v>0</v>
      </c>
      <c r="C94" t="e">
        <f>samples!#REF!</f>
        <v>#REF!</v>
      </c>
      <c r="D94">
        <f>IFERROR(SEARCH(search!$B$6,samples!#REF!,1),0)</f>
        <v>0</v>
      </c>
      <c r="E94" t="e">
        <f>IF(samples!#REF!=0,"",samples!#REF!)</f>
        <v>#REF!</v>
      </c>
      <c r="F94">
        <f>IFERROR(SEARCH(search!$B$6,samples!#REF!,1),0)</f>
        <v>0</v>
      </c>
      <c r="G94" t="e">
        <f>IF(samples!#REF!=0,"",samples!#REF!)</f>
        <v>#REF!</v>
      </c>
      <c r="H94">
        <f>IFERROR(SEARCH(search!$B$6,samples!#REF!,1),0)</f>
        <v>0</v>
      </c>
      <c r="I94" t="e">
        <f>IF(samples!#REF!=0,"",samples!#REF!)</f>
        <v>#REF!</v>
      </c>
      <c r="J94">
        <f>IFERROR(SEARCH(search!$B$6,samples!#REF!,1),0)</f>
        <v>0</v>
      </c>
      <c r="K94" t="e">
        <f>IF(samples!#REF!=0,"",samples!#REF!)</f>
        <v>#REF!</v>
      </c>
      <c r="L94">
        <f>IFERROR(SEARCH(search!$B$6,samples!#REF!,1),0)</f>
        <v>0</v>
      </c>
      <c r="M94" t="e">
        <f>IF(samples!#REF!=0,"",samples!#REF!)</f>
        <v>#REF!</v>
      </c>
      <c r="N94">
        <f>IFERROR(SEARCH(search!$B$6,samples!#REF!,1),0)</f>
        <v>0</v>
      </c>
      <c r="O94" t="e">
        <f>IF(samples!#REF!=0,"",samples!#REF!)</f>
        <v>#REF!</v>
      </c>
      <c r="P94">
        <f>IFERROR(SEARCH(search!$B$6,samples!#REF!,1),0)</f>
        <v>0</v>
      </c>
      <c r="Q94" t="e">
        <f>IF(samples!#REF!=0,"",samples!#REF!)</f>
        <v>#REF!</v>
      </c>
      <c r="R94">
        <f>IFERROR(SEARCH(search!$B$6,samples!#REF!,1),0)</f>
        <v>0</v>
      </c>
      <c r="S94" t="e">
        <f>IF(samples!#REF!=0,"",samples!#REF!)</f>
        <v>#REF!</v>
      </c>
      <c r="T94">
        <f>IFERROR(SEARCH(search!$B$6,samples!#REF!,1),0)</f>
        <v>0</v>
      </c>
      <c r="U94" t="e">
        <f>IF(samples!#REF!=0,"",samples!#REF!)</f>
        <v>#REF!</v>
      </c>
      <c r="V94">
        <f>IFERROR(SEARCH(search!$B$6,samples!#REF!,1),0)</f>
        <v>0</v>
      </c>
      <c r="W94" t="e">
        <f>IF(samples!#REF!=0,"",samples!#REF!)</f>
        <v>#REF!</v>
      </c>
      <c r="X94">
        <f>IFERROR(SEARCH(search!$B$6,samples!#REF!,1),0)</f>
        <v>0</v>
      </c>
      <c r="Y94" t="e">
        <f>IF(samples!#REF!=0,"",samples!#REF!)</f>
        <v>#REF!</v>
      </c>
      <c r="Z94">
        <f>IFERROR(SEARCH(search!$B$6,samples!#REF!,1),0)</f>
        <v>0</v>
      </c>
      <c r="AA94" t="e">
        <f>IF(samples!#REF!=0,"",samples!#REF!)</f>
        <v>#REF!</v>
      </c>
      <c r="AB94">
        <f>IFERROR(SEARCH(search!$B$6,samples!#REF!,1),0)</f>
        <v>0</v>
      </c>
      <c r="AC94" t="e">
        <f>IF(samples!#REF!=0,"",samples!#REF!)</f>
        <v>#REF!</v>
      </c>
      <c r="AD94">
        <f>IFERROR(SEARCH(search!$B$6,samples!#REF!,1),0)</f>
        <v>0</v>
      </c>
    </row>
    <row r="95" spans="1:30">
      <c r="A95">
        <f t="shared" si="1"/>
        <v>0</v>
      </c>
      <c r="B95">
        <f>IF(SUM(D95,F95,H95,J95,L95,N95,P95,R95,T95,V95,X95,Z95,AB95,AD95)&gt;0,SUM($A$2:A95),0)</f>
        <v>0</v>
      </c>
      <c r="C95" t="e">
        <f>samples!#REF!</f>
        <v>#REF!</v>
      </c>
      <c r="D95">
        <f>IFERROR(SEARCH(search!$B$6,samples!#REF!,1),0)</f>
        <v>0</v>
      </c>
      <c r="E95" t="e">
        <f>IF(samples!#REF!=0,"",samples!#REF!)</f>
        <v>#REF!</v>
      </c>
      <c r="F95">
        <f>IFERROR(SEARCH(search!$B$6,samples!#REF!,1),0)</f>
        <v>0</v>
      </c>
      <c r="G95" t="e">
        <f>IF(samples!#REF!=0,"",samples!#REF!)</f>
        <v>#REF!</v>
      </c>
      <c r="H95">
        <f>IFERROR(SEARCH(search!$B$6,samples!#REF!,1),0)</f>
        <v>0</v>
      </c>
      <c r="I95" t="e">
        <f>IF(samples!#REF!=0,"",samples!#REF!)</f>
        <v>#REF!</v>
      </c>
      <c r="J95">
        <f>IFERROR(SEARCH(search!$B$6,samples!#REF!,1),0)</f>
        <v>0</v>
      </c>
      <c r="K95" t="e">
        <f>IF(samples!#REF!=0,"",samples!#REF!)</f>
        <v>#REF!</v>
      </c>
      <c r="L95">
        <f>IFERROR(SEARCH(search!$B$6,samples!#REF!,1),0)</f>
        <v>0</v>
      </c>
      <c r="M95" t="e">
        <f>IF(samples!#REF!=0,"",samples!#REF!)</f>
        <v>#REF!</v>
      </c>
      <c r="N95">
        <f>IFERROR(SEARCH(search!$B$6,samples!#REF!,1),0)</f>
        <v>0</v>
      </c>
      <c r="O95" t="e">
        <f>IF(samples!#REF!=0,"",samples!#REF!)</f>
        <v>#REF!</v>
      </c>
      <c r="P95">
        <f>IFERROR(SEARCH(search!$B$6,samples!#REF!,1),0)</f>
        <v>0</v>
      </c>
      <c r="Q95" t="e">
        <f>IF(samples!#REF!=0,"",samples!#REF!)</f>
        <v>#REF!</v>
      </c>
      <c r="R95">
        <f>IFERROR(SEARCH(search!$B$6,samples!#REF!,1),0)</f>
        <v>0</v>
      </c>
      <c r="S95" t="e">
        <f>IF(samples!#REF!=0,"",samples!#REF!)</f>
        <v>#REF!</v>
      </c>
      <c r="T95">
        <f>IFERROR(SEARCH(search!$B$6,samples!#REF!,1),0)</f>
        <v>0</v>
      </c>
      <c r="U95" t="e">
        <f>IF(samples!#REF!=0,"",samples!#REF!)</f>
        <v>#REF!</v>
      </c>
      <c r="V95">
        <f>IFERROR(SEARCH(search!$B$6,samples!#REF!,1),0)</f>
        <v>0</v>
      </c>
      <c r="W95" t="e">
        <f>IF(samples!#REF!=0,"",samples!#REF!)</f>
        <v>#REF!</v>
      </c>
      <c r="X95">
        <f>IFERROR(SEARCH(search!$B$6,samples!#REF!,1),0)</f>
        <v>0</v>
      </c>
      <c r="Y95" t="e">
        <f>IF(samples!#REF!=0,"",samples!#REF!)</f>
        <v>#REF!</v>
      </c>
      <c r="Z95">
        <f>IFERROR(SEARCH(search!$B$6,samples!#REF!,1),0)</f>
        <v>0</v>
      </c>
      <c r="AA95" t="e">
        <f>IF(samples!#REF!=0,"",samples!#REF!)</f>
        <v>#REF!</v>
      </c>
      <c r="AB95">
        <f>IFERROR(SEARCH(search!$B$6,samples!#REF!,1),0)</f>
        <v>0</v>
      </c>
      <c r="AC95" t="e">
        <f>IF(samples!#REF!=0,"",samples!#REF!)</f>
        <v>#REF!</v>
      </c>
      <c r="AD95">
        <f>IFERROR(SEARCH(search!$B$6,samples!#REF!,1),0)</f>
        <v>0</v>
      </c>
    </row>
    <row r="96" spans="1:30">
      <c r="A96">
        <f t="shared" si="1"/>
        <v>0</v>
      </c>
      <c r="B96">
        <f>IF(SUM(D96,F96,H96,J96,L96,N96,P96,R96,T96,V96,X96,Z96,AB96,AD96)&gt;0,SUM($A$2:A96),0)</f>
        <v>0</v>
      </c>
      <c r="C96" t="e">
        <f>samples!#REF!</f>
        <v>#REF!</v>
      </c>
      <c r="D96">
        <f>IFERROR(SEARCH(search!$B$6,samples!#REF!,1),0)</f>
        <v>0</v>
      </c>
      <c r="E96" t="e">
        <f>IF(samples!#REF!=0,"",samples!#REF!)</f>
        <v>#REF!</v>
      </c>
      <c r="F96">
        <f>IFERROR(SEARCH(search!$B$6,samples!#REF!,1),0)</f>
        <v>0</v>
      </c>
      <c r="G96" t="e">
        <f>IF(samples!#REF!=0,"",samples!#REF!)</f>
        <v>#REF!</v>
      </c>
      <c r="H96">
        <f>IFERROR(SEARCH(search!$B$6,samples!#REF!,1),0)</f>
        <v>0</v>
      </c>
      <c r="I96" t="e">
        <f>IF(samples!#REF!=0,"",samples!#REF!)</f>
        <v>#REF!</v>
      </c>
      <c r="J96">
        <f>IFERROR(SEARCH(search!$B$6,samples!#REF!,1),0)</f>
        <v>0</v>
      </c>
      <c r="K96" t="e">
        <f>IF(samples!#REF!=0,"",samples!#REF!)</f>
        <v>#REF!</v>
      </c>
      <c r="L96">
        <f>IFERROR(SEARCH(search!$B$6,samples!#REF!,1),0)</f>
        <v>0</v>
      </c>
      <c r="M96" t="e">
        <f>IF(samples!#REF!=0,"",samples!#REF!)</f>
        <v>#REF!</v>
      </c>
      <c r="N96">
        <f>IFERROR(SEARCH(search!$B$6,samples!#REF!,1),0)</f>
        <v>0</v>
      </c>
      <c r="O96" t="e">
        <f>IF(samples!#REF!=0,"",samples!#REF!)</f>
        <v>#REF!</v>
      </c>
      <c r="P96">
        <f>IFERROR(SEARCH(search!$B$6,samples!#REF!,1),0)</f>
        <v>0</v>
      </c>
      <c r="Q96" t="e">
        <f>IF(samples!#REF!=0,"",samples!#REF!)</f>
        <v>#REF!</v>
      </c>
      <c r="R96">
        <f>IFERROR(SEARCH(search!$B$6,samples!#REF!,1),0)</f>
        <v>0</v>
      </c>
      <c r="S96" t="e">
        <f>IF(samples!#REF!=0,"",samples!#REF!)</f>
        <v>#REF!</v>
      </c>
      <c r="T96">
        <f>IFERROR(SEARCH(search!$B$6,samples!#REF!,1),0)</f>
        <v>0</v>
      </c>
      <c r="U96" t="e">
        <f>IF(samples!#REF!=0,"",samples!#REF!)</f>
        <v>#REF!</v>
      </c>
      <c r="V96">
        <f>IFERROR(SEARCH(search!$B$6,samples!#REF!,1),0)</f>
        <v>0</v>
      </c>
      <c r="W96" t="e">
        <f>IF(samples!#REF!=0,"",samples!#REF!)</f>
        <v>#REF!</v>
      </c>
      <c r="X96">
        <f>IFERROR(SEARCH(search!$B$6,samples!#REF!,1),0)</f>
        <v>0</v>
      </c>
      <c r="Y96" t="e">
        <f>IF(samples!#REF!=0,"",samples!#REF!)</f>
        <v>#REF!</v>
      </c>
      <c r="Z96">
        <f>IFERROR(SEARCH(search!$B$6,samples!#REF!,1),0)</f>
        <v>0</v>
      </c>
      <c r="AA96" t="e">
        <f>IF(samples!#REF!=0,"",samples!#REF!)</f>
        <v>#REF!</v>
      </c>
      <c r="AB96">
        <f>IFERROR(SEARCH(search!$B$6,samples!#REF!,1),0)</f>
        <v>0</v>
      </c>
      <c r="AC96" t="e">
        <f>IF(samples!#REF!=0,"",samples!#REF!)</f>
        <v>#REF!</v>
      </c>
      <c r="AD96">
        <f>IFERROR(SEARCH(search!$B$6,samples!#REF!,1),0)</f>
        <v>0</v>
      </c>
    </row>
    <row r="97" spans="1:30">
      <c r="A97">
        <f t="shared" si="1"/>
        <v>0</v>
      </c>
      <c r="B97">
        <f>IF(SUM(D97,F97,H97,J97,L97,N97,P97,R97,T97,V97,X97,Z97,AB97,AD97)&gt;0,SUM($A$2:A97),0)</f>
        <v>0</v>
      </c>
      <c r="C97" t="e">
        <f>samples!#REF!</f>
        <v>#REF!</v>
      </c>
      <c r="D97">
        <f>IFERROR(SEARCH(search!$B$6,samples!#REF!,1),0)</f>
        <v>0</v>
      </c>
      <c r="E97" t="e">
        <f>IF(samples!#REF!=0,"",samples!#REF!)</f>
        <v>#REF!</v>
      </c>
      <c r="F97">
        <f>IFERROR(SEARCH(search!$B$6,samples!#REF!,1),0)</f>
        <v>0</v>
      </c>
      <c r="G97" t="e">
        <f>IF(samples!#REF!=0,"",samples!#REF!)</f>
        <v>#REF!</v>
      </c>
      <c r="H97">
        <f>IFERROR(SEARCH(search!$B$6,samples!#REF!,1),0)</f>
        <v>0</v>
      </c>
      <c r="I97" t="e">
        <f>IF(samples!#REF!=0,"",samples!#REF!)</f>
        <v>#REF!</v>
      </c>
      <c r="J97">
        <f>IFERROR(SEARCH(search!$B$6,samples!#REF!,1),0)</f>
        <v>0</v>
      </c>
      <c r="K97" t="e">
        <f>IF(samples!#REF!=0,"",samples!#REF!)</f>
        <v>#REF!</v>
      </c>
      <c r="L97">
        <f>IFERROR(SEARCH(search!$B$6,samples!#REF!,1),0)</f>
        <v>0</v>
      </c>
      <c r="M97" t="e">
        <f>IF(samples!#REF!=0,"",samples!#REF!)</f>
        <v>#REF!</v>
      </c>
      <c r="N97">
        <f>IFERROR(SEARCH(search!$B$6,samples!#REF!,1),0)</f>
        <v>0</v>
      </c>
      <c r="O97" t="e">
        <f>IF(samples!#REF!=0,"",samples!#REF!)</f>
        <v>#REF!</v>
      </c>
      <c r="P97">
        <f>IFERROR(SEARCH(search!$B$6,samples!#REF!,1),0)</f>
        <v>0</v>
      </c>
      <c r="Q97" t="e">
        <f>IF(samples!#REF!=0,"",samples!#REF!)</f>
        <v>#REF!</v>
      </c>
      <c r="R97">
        <f>IFERROR(SEARCH(search!$B$6,samples!#REF!,1),0)</f>
        <v>0</v>
      </c>
      <c r="S97" t="e">
        <f>IF(samples!#REF!=0,"",samples!#REF!)</f>
        <v>#REF!</v>
      </c>
      <c r="T97">
        <f>IFERROR(SEARCH(search!$B$6,samples!#REF!,1),0)</f>
        <v>0</v>
      </c>
      <c r="U97" t="e">
        <f>IF(samples!#REF!=0,"",samples!#REF!)</f>
        <v>#REF!</v>
      </c>
      <c r="V97">
        <f>IFERROR(SEARCH(search!$B$6,samples!#REF!,1),0)</f>
        <v>0</v>
      </c>
      <c r="W97" t="e">
        <f>IF(samples!#REF!=0,"",samples!#REF!)</f>
        <v>#REF!</v>
      </c>
      <c r="X97">
        <f>IFERROR(SEARCH(search!$B$6,samples!#REF!,1),0)</f>
        <v>0</v>
      </c>
      <c r="Y97" t="e">
        <f>IF(samples!#REF!=0,"",samples!#REF!)</f>
        <v>#REF!</v>
      </c>
      <c r="Z97">
        <f>IFERROR(SEARCH(search!$B$6,samples!#REF!,1),0)</f>
        <v>0</v>
      </c>
      <c r="AA97" t="e">
        <f>IF(samples!#REF!=0,"",samples!#REF!)</f>
        <v>#REF!</v>
      </c>
      <c r="AB97">
        <f>IFERROR(SEARCH(search!$B$6,samples!#REF!,1),0)</f>
        <v>0</v>
      </c>
      <c r="AC97" t="e">
        <f>IF(samples!#REF!=0,"",samples!#REF!)</f>
        <v>#REF!</v>
      </c>
      <c r="AD97">
        <f>IFERROR(SEARCH(search!$B$6,samples!#REF!,1),0)</f>
        <v>0</v>
      </c>
    </row>
    <row r="98" spans="1:30">
      <c r="A98">
        <f t="shared" si="1"/>
        <v>0</v>
      </c>
      <c r="B98">
        <f>IF(SUM(D98,F98,H98,J98,L98,N98,P98,R98,T98,V98,X98,Z98,AB98,AD98)&gt;0,SUM($A$2:A98),0)</f>
        <v>0</v>
      </c>
      <c r="C98" t="e">
        <f>samples!#REF!</f>
        <v>#REF!</v>
      </c>
      <c r="D98">
        <f>IFERROR(SEARCH(search!$B$6,samples!#REF!,1),0)</f>
        <v>0</v>
      </c>
      <c r="E98" t="e">
        <f>IF(samples!#REF!=0,"",samples!#REF!)</f>
        <v>#REF!</v>
      </c>
      <c r="F98">
        <f>IFERROR(SEARCH(search!$B$6,samples!#REF!,1),0)</f>
        <v>0</v>
      </c>
      <c r="G98" t="e">
        <f>IF(samples!#REF!=0,"",samples!#REF!)</f>
        <v>#REF!</v>
      </c>
      <c r="H98">
        <f>IFERROR(SEARCH(search!$B$6,samples!#REF!,1),0)</f>
        <v>0</v>
      </c>
      <c r="I98" t="e">
        <f>IF(samples!#REF!=0,"",samples!#REF!)</f>
        <v>#REF!</v>
      </c>
      <c r="J98">
        <f>IFERROR(SEARCH(search!$B$6,samples!#REF!,1),0)</f>
        <v>0</v>
      </c>
      <c r="K98" t="e">
        <f>IF(samples!#REF!=0,"",samples!#REF!)</f>
        <v>#REF!</v>
      </c>
      <c r="L98">
        <f>IFERROR(SEARCH(search!$B$6,samples!#REF!,1),0)</f>
        <v>0</v>
      </c>
      <c r="M98" t="e">
        <f>IF(samples!#REF!=0,"",samples!#REF!)</f>
        <v>#REF!</v>
      </c>
      <c r="N98">
        <f>IFERROR(SEARCH(search!$B$6,samples!#REF!,1),0)</f>
        <v>0</v>
      </c>
      <c r="O98" t="e">
        <f>IF(samples!#REF!=0,"",samples!#REF!)</f>
        <v>#REF!</v>
      </c>
      <c r="P98">
        <f>IFERROR(SEARCH(search!$B$6,samples!#REF!,1),0)</f>
        <v>0</v>
      </c>
      <c r="Q98" t="e">
        <f>IF(samples!#REF!=0,"",samples!#REF!)</f>
        <v>#REF!</v>
      </c>
      <c r="R98">
        <f>IFERROR(SEARCH(search!$B$6,samples!#REF!,1),0)</f>
        <v>0</v>
      </c>
      <c r="S98" t="e">
        <f>IF(samples!#REF!=0,"",samples!#REF!)</f>
        <v>#REF!</v>
      </c>
      <c r="T98">
        <f>IFERROR(SEARCH(search!$B$6,samples!#REF!,1),0)</f>
        <v>0</v>
      </c>
      <c r="U98" t="e">
        <f>IF(samples!#REF!=0,"",samples!#REF!)</f>
        <v>#REF!</v>
      </c>
      <c r="V98">
        <f>IFERROR(SEARCH(search!$B$6,samples!#REF!,1),0)</f>
        <v>0</v>
      </c>
      <c r="W98" t="e">
        <f>IF(samples!#REF!=0,"",samples!#REF!)</f>
        <v>#REF!</v>
      </c>
      <c r="X98">
        <f>IFERROR(SEARCH(search!$B$6,samples!#REF!,1),0)</f>
        <v>0</v>
      </c>
      <c r="Y98" t="e">
        <f>IF(samples!#REF!=0,"",samples!#REF!)</f>
        <v>#REF!</v>
      </c>
      <c r="Z98">
        <f>IFERROR(SEARCH(search!$B$6,samples!#REF!,1),0)</f>
        <v>0</v>
      </c>
      <c r="AA98" t="e">
        <f>IF(samples!#REF!=0,"",samples!#REF!)</f>
        <v>#REF!</v>
      </c>
      <c r="AB98">
        <f>IFERROR(SEARCH(search!$B$6,samples!#REF!,1),0)</f>
        <v>0</v>
      </c>
      <c r="AC98" t="e">
        <f>IF(samples!#REF!=0,"",samples!#REF!)</f>
        <v>#REF!</v>
      </c>
      <c r="AD98">
        <f>IFERROR(SEARCH(search!$B$6,samples!#REF!,1),0)</f>
        <v>0</v>
      </c>
    </row>
    <row r="99" spans="1:30">
      <c r="A99">
        <f t="shared" si="1"/>
        <v>0</v>
      </c>
      <c r="B99">
        <f>IF(SUM(D99,F99,H99,J99,L99,N99,P99,R99,T99,V99,X99,Z99,AB99,AD99)&gt;0,SUM($A$2:A99),0)</f>
        <v>0</v>
      </c>
      <c r="C99" t="e">
        <f>samples!#REF!</f>
        <v>#REF!</v>
      </c>
      <c r="D99">
        <f>IFERROR(SEARCH(search!$B$6,samples!#REF!,1),0)</f>
        <v>0</v>
      </c>
      <c r="E99" t="e">
        <f>IF(samples!#REF!=0,"",samples!#REF!)</f>
        <v>#REF!</v>
      </c>
      <c r="F99">
        <f>IFERROR(SEARCH(search!$B$6,samples!#REF!,1),0)</f>
        <v>0</v>
      </c>
      <c r="G99" t="e">
        <f>IF(samples!#REF!=0,"",samples!#REF!)</f>
        <v>#REF!</v>
      </c>
      <c r="H99">
        <f>IFERROR(SEARCH(search!$B$6,samples!#REF!,1),0)</f>
        <v>0</v>
      </c>
      <c r="I99" t="e">
        <f>IF(samples!#REF!=0,"",samples!#REF!)</f>
        <v>#REF!</v>
      </c>
      <c r="J99">
        <f>IFERROR(SEARCH(search!$B$6,samples!#REF!,1),0)</f>
        <v>0</v>
      </c>
      <c r="K99" t="e">
        <f>IF(samples!#REF!=0,"",samples!#REF!)</f>
        <v>#REF!</v>
      </c>
      <c r="L99">
        <f>IFERROR(SEARCH(search!$B$6,samples!#REF!,1),0)</f>
        <v>0</v>
      </c>
      <c r="M99" t="e">
        <f>IF(samples!#REF!=0,"",samples!#REF!)</f>
        <v>#REF!</v>
      </c>
      <c r="N99">
        <f>IFERROR(SEARCH(search!$B$6,samples!#REF!,1),0)</f>
        <v>0</v>
      </c>
      <c r="O99" t="e">
        <f>IF(samples!#REF!=0,"",samples!#REF!)</f>
        <v>#REF!</v>
      </c>
      <c r="P99">
        <f>IFERROR(SEARCH(search!$B$6,samples!#REF!,1),0)</f>
        <v>0</v>
      </c>
      <c r="Q99" t="e">
        <f>IF(samples!#REF!=0,"",samples!#REF!)</f>
        <v>#REF!</v>
      </c>
      <c r="R99">
        <f>IFERROR(SEARCH(search!$B$6,samples!#REF!,1),0)</f>
        <v>0</v>
      </c>
      <c r="S99" t="e">
        <f>IF(samples!#REF!=0,"",samples!#REF!)</f>
        <v>#REF!</v>
      </c>
      <c r="T99">
        <f>IFERROR(SEARCH(search!$B$6,samples!#REF!,1),0)</f>
        <v>0</v>
      </c>
      <c r="U99" t="e">
        <f>IF(samples!#REF!=0,"",samples!#REF!)</f>
        <v>#REF!</v>
      </c>
      <c r="V99">
        <f>IFERROR(SEARCH(search!$B$6,samples!#REF!,1),0)</f>
        <v>0</v>
      </c>
      <c r="W99" t="e">
        <f>IF(samples!#REF!=0,"",samples!#REF!)</f>
        <v>#REF!</v>
      </c>
      <c r="X99">
        <f>IFERROR(SEARCH(search!$B$6,samples!#REF!,1),0)</f>
        <v>0</v>
      </c>
      <c r="Y99" t="e">
        <f>IF(samples!#REF!=0,"",samples!#REF!)</f>
        <v>#REF!</v>
      </c>
      <c r="Z99">
        <f>IFERROR(SEARCH(search!$B$6,samples!#REF!,1),0)</f>
        <v>0</v>
      </c>
      <c r="AA99" t="e">
        <f>IF(samples!#REF!=0,"",samples!#REF!)</f>
        <v>#REF!</v>
      </c>
      <c r="AB99">
        <f>IFERROR(SEARCH(search!$B$6,samples!#REF!,1),0)</f>
        <v>0</v>
      </c>
      <c r="AC99" t="e">
        <f>IF(samples!#REF!=0,"",samples!#REF!)</f>
        <v>#REF!</v>
      </c>
      <c r="AD99">
        <f>IFERROR(SEARCH(search!$B$6,samples!#REF!,1),0)</f>
        <v>0</v>
      </c>
    </row>
    <row r="100" spans="1:30">
      <c r="A100">
        <f t="shared" si="1"/>
        <v>0</v>
      </c>
      <c r="B100">
        <f>IF(SUM(D100,F100,H100,J100,L100,N100,P100,R100,T100,V100,X100,Z100,AB100,AD100)&gt;0,SUM($A$2:A100),0)</f>
        <v>0</v>
      </c>
      <c r="C100" t="e">
        <f>samples!#REF!</f>
        <v>#REF!</v>
      </c>
      <c r="D100">
        <f>IFERROR(SEARCH(search!$B$6,samples!#REF!,1),0)</f>
        <v>0</v>
      </c>
      <c r="E100" t="e">
        <f>IF(samples!#REF!=0,"",samples!#REF!)</f>
        <v>#REF!</v>
      </c>
      <c r="F100">
        <f>IFERROR(SEARCH(search!$B$6,samples!#REF!,1),0)</f>
        <v>0</v>
      </c>
      <c r="G100" t="e">
        <f>IF(samples!#REF!=0,"",samples!#REF!)</f>
        <v>#REF!</v>
      </c>
      <c r="H100">
        <f>IFERROR(SEARCH(search!$B$6,samples!#REF!,1),0)</f>
        <v>0</v>
      </c>
      <c r="I100" t="e">
        <f>IF(samples!#REF!=0,"",samples!#REF!)</f>
        <v>#REF!</v>
      </c>
      <c r="J100">
        <f>IFERROR(SEARCH(search!$B$6,samples!#REF!,1),0)</f>
        <v>0</v>
      </c>
      <c r="K100" t="e">
        <f>IF(samples!#REF!=0,"",samples!#REF!)</f>
        <v>#REF!</v>
      </c>
      <c r="L100">
        <f>IFERROR(SEARCH(search!$B$6,samples!#REF!,1),0)</f>
        <v>0</v>
      </c>
      <c r="M100" t="e">
        <f>IF(samples!#REF!=0,"",samples!#REF!)</f>
        <v>#REF!</v>
      </c>
      <c r="N100">
        <f>IFERROR(SEARCH(search!$B$6,samples!#REF!,1),0)</f>
        <v>0</v>
      </c>
      <c r="O100" t="e">
        <f>IF(samples!#REF!=0,"",samples!#REF!)</f>
        <v>#REF!</v>
      </c>
      <c r="P100">
        <f>IFERROR(SEARCH(search!$B$6,samples!#REF!,1),0)</f>
        <v>0</v>
      </c>
      <c r="Q100" t="e">
        <f>IF(samples!#REF!=0,"",samples!#REF!)</f>
        <v>#REF!</v>
      </c>
      <c r="R100">
        <f>IFERROR(SEARCH(search!$B$6,samples!#REF!,1),0)</f>
        <v>0</v>
      </c>
      <c r="S100" t="e">
        <f>IF(samples!#REF!=0,"",samples!#REF!)</f>
        <v>#REF!</v>
      </c>
      <c r="T100">
        <f>IFERROR(SEARCH(search!$B$6,samples!#REF!,1),0)</f>
        <v>0</v>
      </c>
      <c r="U100" t="e">
        <f>IF(samples!#REF!=0,"",samples!#REF!)</f>
        <v>#REF!</v>
      </c>
      <c r="V100">
        <f>IFERROR(SEARCH(search!$B$6,samples!#REF!,1),0)</f>
        <v>0</v>
      </c>
      <c r="W100" t="e">
        <f>IF(samples!#REF!=0,"",samples!#REF!)</f>
        <v>#REF!</v>
      </c>
      <c r="X100">
        <f>IFERROR(SEARCH(search!$B$6,samples!#REF!,1),0)</f>
        <v>0</v>
      </c>
      <c r="Y100" t="e">
        <f>IF(samples!#REF!=0,"",samples!#REF!)</f>
        <v>#REF!</v>
      </c>
      <c r="Z100">
        <f>IFERROR(SEARCH(search!$B$6,samples!#REF!,1),0)</f>
        <v>0</v>
      </c>
      <c r="AA100" t="e">
        <f>IF(samples!#REF!=0,"",samples!#REF!)</f>
        <v>#REF!</v>
      </c>
      <c r="AB100">
        <f>IFERROR(SEARCH(search!$B$6,samples!#REF!,1),0)</f>
        <v>0</v>
      </c>
      <c r="AC100" t="e">
        <f>IF(samples!#REF!=0,"",samples!#REF!)</f>
        <v>#REF!</v>
      </c>
      <c r="AD100">
        <f>IFERROR(SEARCH(search!$B$6,samples!#REF!,1),0)</f>
        <v>0</v>
      </c>
    </row>
    <row r="101" spans="1:30">
      <c r="A101">
        <f t="shared" si="1"/>
        <v>0</v>
      </c>
      <c r="B101">
        <f>IF(SUM(D101,F101,H101,J101,L101,N101,P101,R101,T101,V101,X101,Z101,AB101,AD101)&gt;0,SUM($A$2:A101),0)</f>
        <v>0</v>
      </c>
      <c r="C101" t="e">
        <f>samples!#REF!</f>
        <v>#REF!</v>
      </c>
      <c r="D101">
        <f>IFERROR(SEARCH(search!$B$6,samples!#REF!,1),0)</f>
        <v>0</v>
      </c>
      <c r="E101" t="e">
        <f>IF(samples!#REF!=0,"",samples!#REF!)</f>
        <v>#REF!</v>
      </c>
      <c r="F101">
        <f>IFERROR(SEARCH(search!$B$6,samples!#REF!,1),0)</f>
        <v>0</v>
      </c>
      <c r="G101" t="e">
        <f>IF(samples!#REF!=0,"",samples!#REF!)</f>
        <v>#REF!</v>
      </c>
      <c r="H101">
        <f>IFERROR(SEARCH(search!$B$6,samples!#REF!,1),0)</f>
        <v>0</v>
      </c>
      <c r="I101" t="e">
        <f>IF(samples!#REF!=0,"",samples!#REF!)</f>
        <v>#REF!</v>
      </c>
      <c r="J101">
        <f>IFERROR(SEARCH(search!$B$6,samples!#REF!,1),0)</f>
        <v>0</v>
      </c>
      <c r="K101" t="e">
        <f>IF(samples!#REF!=0,"",samples!#REF!)</f>
        <v>#REF!</v>
      </c>
      <c r="L101">
        <f>IFERROR(SEARCH(search!$B$6,samples!#REF!,1),0)</f>
        <v>0</v>
      </c>
      <c r="M101" t="e">
        <f>IF(samples!#REF!=0,"",samples!#REF!)</f>
        <v>#REF!</v>
      </c>
      <c r="N101">
        <f>IFERROR(SEARCH(search!$B$6,samples!#REF!,1),0)</f>
        <v>0</v>
      </c>
      <c r="O101" t="e">
        <f>IF(samples!#REF!=0,"",samples!#REF!)</f>
        <v>#REF!</v>
      </c>
      <c r="P101">
        <f>IFERROR(SEARCH(search!$B$6,samples!#REF!,1),0)</f>
        <v>0</v>
      </c>
      <c r="Q101" t="e">
        <f>IF(samples!#REF!=0,"",samples!#REF!)</f>
        <v>#REF!</v>
      </c>
      <c r="R101">
        <f>IFERROR(SEARCH(search!$B$6,samples!#REF!,1),0)</f>
        <v>0</v>
      </c>
      <c r="S101" t="e">
        <f>IF(samples!#REF!=0,"",samples!#REF!)</f>
        <v>#REF!</v>
      </c>
      <c r="T101">
        <f>IFERROR(SEARCH(search!$B$6,samples!#REF!,1),0)</f>
        <v>0</v>
      </c>
      <c r="U101" t="e">
        <f>IF(samples!#REF!=0,"",samples!#REF!)</f>
        <v>#REF!</v>
      </c>
      <c r="V101">
        <f>IFERROR(SEARCH(search!$B$6,samples!#REF!,1),0)</f>
        <v>0</v>
      </c>
      <c r="W101" t="e">
        <f>IF(samples!#REF!=0,"",samples!#REF!)</f>
        <v>#REF!</v>
      </c>
      <c r="X101">
        <f>IFERROR(SEARCH(search!$B$6,samples!#REF!,1),0)</f>
        <v>0</v>
      </c>
      <c r="Y101" t="e">
        <f>IF(samples!#REF!=0,"",samples!#REF!)</f>
        <v>#REF!</v>
      </c>
      <c r="Z101">
        <f>IFERROR(SEARCH(search!$B$6,samples!#REF!,1),0)</f>
        <v>0</v>
      </c>
      <c r="AA101" t="e">
        <f>IF(samples!#REF!=0,"",samples!#REF!)</f>
        <v>#REF!</v>
      </c>
      <c r="AB101">
        <f>IFERROR(SEARCH(search!$B$6,samples!#REF!,1),0)</f>
        <v>0</v>
      </c>
      <c r="AC101" t="e">
        <f>IF(samples!#REF!=0,"",samples!#REF!)</f>
        <v>#REF!</v>
      </c>
      <c r="AD101">
        <f>IFERROR(SEARCH(search!$B$6,samples!#REF!,1),0)</f>
        <v>0</v>
      </c>
    </row>
    <row r="102" spans="1:30">
      <c r="A102">
        <f t="shared" si="1"/>
        <v>0</v>
      </c>
      <c r="B102">
        <f>IF(SUM(D102,F102,H102,J102,L102,N102,P102,R102,T102,V102,X102,Z102,AB102,AD102)&gt;0,SUM($A$2:A102),0)</f>
        <v>0</v>
      </c>
      <c r="C102" t="e">
        <f>samples!#REF!</f>
        <v>#REF!</v>
      </c>
      <c r="D102">
        <f>IFERROR(SEARCH(search!$B$6,samples!#REF!,1),0)</f>
        <v>0</v>
      </c>
      <c r="E102" t="e">
        <f>IF(samples!#REF!=0,"",samples!#REF!)</f>
        <v>#REF!</v>
      </c>
      <c r="F102">
        <f>IFERROR(SEARCH(search!$B$6,samples!#REF!,1),0)</f>
        <v>0</v>
      </c>
      <c r="G102" t="e">
        <f>IF(samples!#REF!=0,"",samples!#REF!)</f>
        <v>#REF!</v>
      </c>
      <c r="H102">
        <f>IFERROR(SEARCH(search!$B$6,samples!#REF!,1),0)</f>
        <v>0</v>
      </c>
      <c r="I102" t="e">
        <f>IF(samples!#REF!=0,"",samples!#REF!)</f>
        <v>#REF!</v>
      </c>
      <c r="J102">
        <f>IFERROR(SEARCH(search!$B$6,samples!#REF!,1),0)</f>
        <v>0</v>
      </c>
      <c r="K102" t="e">
        <f>IF(samples!#REF!=0,"",samples!#REF!)</f>
        <v>#REF!</v>
      </c>
      <c r="L102">
        <f>IFERROR(SEARCH(search!$B$6,samples!#REF!,1),0)</f>
        <v>0</v>
      </c>
      <c r="M102" t="e">
        <f>IF(samples!#REF!=0,"",samples!#REF!)</f>
        <v>#REF!</v>
      </c>
      <c r="N102">
        <f>IFERROR(SEARCH(search!$B$6,samples!#REF!,1),0)</f>
        <v>0</v>
      </c>
      <c r="O102" t="e">
        <f>IF(samples!#REF!=0,"",samples!#REF!)</f>
        <v>#REF!</v>
      </c>
      <c r="P102">
        <f>IFERROR(SEARCH(search!$B$6,samples!#REF!,1),0)</f>
        <v>0</v>
      </c>
      <c r="Q102" t="e">
        <f>IF(samples!#REF!=0,"",samples!#REF!)</f>
        <v>#REF!</v>
      </c>
      <c r="R102">
        <f>IFERROR(SEARCH(search!$B$6,samples!#REF!,1),0)</f>
        <v>0</v>
      </c>
      <c r="S102" t="e">
        <f>IF(samples!#REF!=0,"",samples!#REF!)</f>
        <v>#REF!</v>
      </c>
      <c r="T102">
        <f>IFERROR(SEARCH(search!$B$6,samples!#REF!,1),0)</f>
        <v>0</v>
      </c>
      <c r="U102" t="e">
        <f>IF(samples!#REF!=0,"",samples!#REF!)</f>
        <v>#REF!</v>
      </c>
      <c r="V102">
        <f>IFERROR(SEARCH(search!$B$6,samples!#REF!,1),0)</f>
        <v>0</v>
      </c>
      <c r="W102" t="e">
        <f>IF(samples!#REF!=0,"",samples!#REF!)</f>
        <v>#REF!</v>
      </c>
      <c r="X102">
        <f>IFERROR(SEARCH(search!$B$6,samples!#REF!,1),0)</f>
        <v>0</v>
      </c>
      <c r="Y102" t="e">
        <f>IF(samples!#REF!=0,"",samples!#REF!)</f>
        <v>#REF!</v>
      </c>
      <c r="Z102">
        <f>IFERROR(SEARCH(search!$B$6,samples!#REF!,1),0)</f>
        <v>0</v>
      </c>
      <c r="AA102" t="e">
        <f>IF(samples!#REF!=0,"",samples!#REF!)</f>
        <v>#REF!</v>
      </c>
      <c r="AB102">
        <f>IFERROR(SEARCH(search!$B$6,samples!#REF!,1),0)</f>
        <v>0</v>
      </c>
      <c r="AC102" t="e">
        <f>IF(samples!#REF!=0,"",samples!#REF!)</f>
        <v>#REF!</v>
      </c>
      <c r="AD102">
        <f>IFERROR(SEARCH(search!$B$6,samples!#REF!,1),0)</f>
        <v>0</v>
      </c>
    </row>
    <row r="103" spans="1:30">
      <c r="A103">
        <f t="shared" si="1"/>
        <v>0</v>
      </c>
      <c r="B103">
        <f>IF(SUM(D103,F103,H103,J103,L103,N103,P103,R103,T103,V103,X103,Z103,AB103,AD103)&gt;0,SUM($A$2:A103),0)</f>
        <v>0</v>
      </c>
      <c r="C103" t="e">
        <f>samples!#REF!</f>
        <v>#REF!</v>
      </c>
      <c r="D103">
        <f>IFERROR(SEARCH(search!$B$6,samples!#REF!,1),0)</f>
        <v>0</v>
      </c>
      <c r="E103" t="e">
        <f>IF(samples!#REF!=0,"",samples!#REF!)</f>
        <v>#REF!</v>
      </c>
      <c r="F103">
        <f>IFERROR(SEARCH(search!$B$6,samples!#REF!,1),0)</f>
        <v>0</v>
      </c>
      <c r="G103" t="e">
        <f>IF(samples!#REF!=0,"",samples!#REF!)</f>
        <v>#REF!</v>
      </c>
      <c r="H103">
        <f>IFERROR(SEARCH(search!$B$6,samples!#REF!,1),0)</f>
        <v>0</v>
      </c>
      <c r="I103" t="e">
        <f>IF(samples!#REF!=0,"",samples!#REF!)</f>
        <v>#REF!</v>
      </c>
      <c r="J103">
        <f>IFERROR(SEARCH(search!$B$6,samples!#REF!,1),0)</f>
        <v>0</v>
      </c>
      <c r="K103" t="e">
        <f>IF(samples!#REF!=0,"",samples!#REF!)</f>
        <v>#REF!</v>
      </c>
      <c r="L103">
        <f>IFERROR(SEARCH(search!$B$6,samples!#REF!,1),0)</f>
        <v>0</v>
      </c>
      <c r="M103" t="e">
        <f>IF(samples!#REF!=0,"",samples!#REF!)</f>
        <v>#REF!</v>
      </c>
      <c r="N103">
        <f>IFERROR(SEARCH(search!$B$6,samples!#REF!,1),0)</f>
        <v>0</v>
      </c>
      <c r="O103" t="e">
        <f>IF(samples!#REF!=0,"",samples!#REF!)</f>
        <v>#REF!</v>
      </c>
      <c r="P103">
        <f>IFERROR(SEARCH(search!$B$6,samples!#REF!,1),0)</f>
        <v>0</v>
      </c>
      <c r="Q103" t="e">
        <f>IF(samples!#REF!=0,"",samples!#REF!)</f>
        <v>#REF!</v>
      </c>
      <c r="R103">
        <f>IFERROR(SEARCH(search!$B$6,samples!#REF!,1),0)</f>
        <v>0</v>
      </c>
      <c r="S103" t="e">
        <f>IF(samples!#REF!=0,"",samples!#REF!)</f>
        <v>#REF!</v>
      </c>
      <c r="T103">
        <f>IFERROR(SEARCH(search!$B$6,samples!#REF!,1),0)</f>
        <v>0</v>
      </c>
      <c r="U103" t="e">
        <f>IF(samples!#REF!=0,"",samples!#REF!)</f>
        <v>#REF!</v>
      </c>
      <c r="V103">
        <f>IFERROR(SEARCH(search!$B$6,samples!#REF!,1),0)</f>
        <v>0</v>
      </c>
      <c r="W103" t="e">
        <f>IF(samples!#REF!=0,"",samples!#REF!)</f>
        <v>#REF!</v>
      </c>
      <c r="X103">
        <f>IFERROR(SEARCH(search!$B$6,samples!#REF!,1),0)</f>
        <v>0</v>
      </c>
      <c r="Y103" t="e">
        <f>IF(samples!#REF!=0,"",samples!#REF!)</f>
        <v>#REF!</v>
      </c>
      <c r="Z103">
        <f>IFERROR(SEARCH(search!$B$6,samples!#REF!,1),0)</f>
        <v>0</v>
      </c>
      <c r="AA103" t="e">
        <f>IF(samples!#REF!=0,"",samples!#REF!)</f>
        <v>#REF!</v>
      </c>
      <c r="AB103">
        <f>IFERROR(SEARCH(search!$B$6,samples!#REF!,1),0)</f>
        <v>0</v>
      </c>
      <c r="AC103" t="e">
        <f>IF(samples!#REF!=0,"",samples!#REF!)</f>
        <v>#REF!</v>
      </c>
      <c r="AD103">
        <f>IFERROR(SEARCH(search!$B$6,samples!#REF!,1),0)</f>
        <v>0</v>
      </c>
    </row>
    <row r="104" spans="1:30">
      <c r="A104">
        <f t="shared" si="1"/>
        <v>0</v>
      </c>
      <c r="B104">
        <f>IF(SUM(D104,F104,H104,J104,L104,N104,P104,R104,T104,V104,X104,Z104,AB104,AD104)&gt;0,SUM($A$2:A104),0)</f>
        <v>0</v>
      </c>
      <c r="C104" t="e">
        <f>samples!#REF!</f>
        <v>#REF!</v>
      </c>
      <c r="D104">
        <f>IFERROR(SEARCH(search!$B$6,samples!#REF!,1),0)</f>
        <v>0</v>
      </c>
      <c r="E104" t="e">
        <f>IF(samples!#REF!=0,"",samples!#REF!)</f>
        <v>#REF!</v>
      </c>
      <c r="F104">
        <f>IFERROR(SEARCH(search!$B$6,samples!#REF!,1),0)</f>
        <v>0</v>
      </c>
      <c r="G104" t="e">
        <f>IF(samples!#REF!=0,"",samples!#REF!)</f>
        <v>#REF!</v>
      </c>
      <c r="H104">
        <f>IFERROR(SEARCH(search!$B$6,samples!#REF!,1),0)</f>
        <v>0</v>
      </c>
      <c r="I104" t="e">
        <f>IF(samples!#REF!=0,"",samples!#REF!)</f>
        <v>#REF!</v>
      </c>
      <c r="J104">
        <f>IFERROR(SEARCH(search!$B$6,samples!#REF!,1),0)</f>
        <v>0</v>
      </c>
      <c r="K104" t="e">
        <f>IF(samples!#REF!=0,"",samples!#REF!)</f>
        <v>#REF!</v>
      </c>
      <c r="L104">
        <f>IFERROR(SEARCH(search!$B$6,samples!#REF!,1),0)</f>
        <v>0</v>
      </c>
      <c r="M104" t="e">
        <f>IF(samples!#REF!=0,"",samples!#REF!)</f>
        <v>#REF!</v>
      </c>
      <c r="N104">
        <f>IFERROR(SEARCH(search!$B$6,samples!#REF!,1),0)</f>
        <v>0</v>
      </c>
      <c r="O104" t="e">
        <f>IF(samples!#REF!=0,"",samples!#REF!)</f>
        <v>#REF!</v>
      </c>
      <c r="P104">
        <f>IFERROR(SEARCH(search!$B$6,samples!#REF!,1),0)</f>
        <v>0</v>
      </c>
      <c r="Q104" t="e">
        <f>IF(samples!#REF!=0,"",samples!#REF!)</f>
        <v>#REF!</v>
      </c>
      <c r="R104">
        <f>IFERROR(SEARCH(search!$B$6,samples!#REF!,1),0)</f>
        <v>0</v>
      </c>
      <c r="S104" t="e">
        <f>IF(samples!#REF!=0,"",samples!#REF!)</f>
        <v>#REF!</v>
      </c>
      <c r="T104">
        <f>IFERROR(SEARCH(search!$B$6,samples!#REF!,1),0)</f>
        <v>0</v>
      </c>
      <c r="U104" t="e">
        <f>IF(samples!#REF!=0,"",samples!#REF!)</f>
        <v>#REF!</v>
      </c>
      <c r="V104">
        <f>IFERROR(SEARCH(search!$B$6,samples!#REF!,1),0)</f>
        <v>0</v>
      </c>
      <c r="W104" t="e">
        <f>IF(samples!#REF!=0,"",samples!#REF!)</f>
        <v>#REF!</v>
      </c>
      <c r="X104">
        <f>IFERROR(SEARCH(search!$B$6,samples!#REF!,1),0)</f>
        <v>0</v>
      </c>
      <c r="Y104" t="e">
        <f>IF(samples!#REF!=0,"",samples!#REF!)</f>
        <v>#REF!</v>
      </c>
      <c r="Z104">
        <f>IFERROR(SEARCH(search!$B$6,samples!#REF!,1),0)</f>
        <v>0</v>
      </c>
      <c r="AA104" t="e">
        <f>IF(samples!#REF!=0,"",samples!#REF!)</f>
        <v>#REF!</v>
      </c>
      <c r="AB104">
        <f>IFERROR(SEARCH(search!$B$6,samples!#REF!,1),0)</f>
        <v>0</v>
      </c>
      <c r="AC104" t="e">
        <f>IF(samples!#REF!=0,"",samples!#REF!)</f>
        <v>#REF!</v>
      </c>
      <c r="AD104">
        <f>IFERROR(SEARCH(search!$B$6,samples!#REF!,1),0)</f>
        <v>0</v>
      </c>
    </row>
    <row r="105" spans="1:30">
      <c r="A105">
        <f t="shared" si="1"/>
        <v>0</v>
      </c>
      <c r="B105">
        <f>IF(SUM(D105,F105,H105,J105,L105,N105,P105,R105,T105,V105,X105,Z105,AB105,AD105)&gt;0,SUM($A$2:A105),0)</f>
        <v>0</v>
      </c>
      <c r="C105" t="e">
        <f>samples!#REF!</f>
        <v>#REF!</v>
      </c>
      <c r="D105">
        <f>IFERROR(SEARCH(search!$B$6,samples!#REF!,1),0)</f>
        <v>0</v>
      </c>
      <c r="E105" t="e">
        <f>IF(samples!#REF!=0,"",samples!#REF!)</f>
        <v>#REF!</v>
      </c>
      <c r="F105">
        <f>IFERROR(SEARCH(search!$B$6,samples!#REF!,1),0)</f>
        <v>0</v>
      </c>
      <c r="G105" t="e">
        <f>IF(samples!#REF!=0,"",samples!#REF!)</f>
        <v>#REF!</v>
      </c>
      <c r="H105">
        <f>IFERROR(SEARCH(search!$B$6,samples!#REF!,1),0)</f>
        <v>0</v>
      </c>
      <c r="I105" t="e">
        <f>IF(samples!#REF!=0,"",samples!#REF!)</f>
        <v>#REF!</v>
      </c>
      <c r="J105">
        <f>IFERROR(SEARCH(search!$B$6,samples!#REF!,1),0)</f>
        <v>0</v>
      </c>
      <c r="K105" t="e">
        <f>IF(samples!#REF!=0,"",samples!#REF!)</f>
        <v>#REF!</v>
      </c>
      <c r="L105">
        <f>IFERROR(SEARCH(search!$B$6,samples!#REF!,1),0)</f>
        <v>0</v>
      </c>
      <c r="M105" t="e">
        <f>IF(samples!#REF!=0,"",samples!#REF!)</f>
        <v>#REF!</v>
      </c>
      <c r="N105">
        <f>IFERROR(SEARCH(search!$B$6,samples!#REF!,1),0)</f>
        <v>0</v>
      </c>
      <c r="O105" t="e">
        <f>IF(samples!#REF!=0,"",samples!#REF!)</f>
        <v>#REF!</v>
      </c>
      <c r="P105">
        <f>IFERROR(SEARCH(search!$B$6,samples!#REF!,1),0)</f>
        <v>0</v>
      </c>
      <c r="Q105" t="e">
        <f>IF(samples!#REF!=0,"",samples!#REF!)</f>
        <v>#REF!</v>
      </c>
      <c r="R105">
        <f>IFERROR(SEARCH(search!$B$6,samples!#REF!,1),0)</f>
        <v>0</v>
      </c>
      <c r="S105" t="e">
        <f>IF(samples!#REF!=0,"",samples!#REF!)</f>
        <v>#REF!</v>
      </c>
      <c r="T105">
        <f>IFERROR(SEARCH(search!$B$6,samples!#REF!,1),0)</f>
        <v>0</v>
      </c>
      <c r="U105" t="e">
        <f>IF(samples!#REF!=0,"",samples!#REF!)</f>
        <v>#REF!</v>
      </c>
      <c r="V105">
        <f>IFERROR(SEARCH(search!$B$6,samples!#REF!,1),0)</f>
        <v>0</v>
      </c>
      <c r="W105" t="e">
        <f>IF(samples!#REF!=0,"",samples!#REF!)</f>
        <v>#REF!</v>
      </c>
      <c r="X105">
        <f>IFERROR(SEARCH(search!$B$6,samples!#REF!,1),0)</f>
        <v>0</v>
      </c>
      <c r="Y105" t="e">
        <f>IF(samples!#REF!=0,"",samples!#REF!)</f>
        <v>#REF!</v>
      </c>
      <c r="Z105">
        <f>IFERROR(SEARCH(search!$B$6,samples!#REF!,1),0)</f>
        <v>0</v>
      </c>
      <c r="AA105" t="e">
        <f>IF(samples!#REF!=0,"",samples!#REF!)</f>
        <v>#REF!</v>
      </c>
      <c r="AB105">
        <f>IFERROR(SEARCH(search!$B$6,samples!#REF!,1),0)</f>
        <v>0</v>
      </c>
      <c r="AC105" t="e">
        <f>IF(samples!#REF!=0,"",samples!#REF!)</f>
        <v>#REF!</v>
      </c>
      <c r="AD105">
        <f>IFERROR(SEARCH(search!$B$6,samples!#REF!,1),0)</f>
        <v>0</v>
      </c>
    </row>
    <row r="106" spans="1:30">
      <c r="A106">
        <f t="shared" si="1"/>
        <v>0</v>
      </c>
      <c r="B106">
        <f>IF(SUM(D106,F106,H106,J106,L106,N106,P106,R106,T106,V106,X106,Z106,AB106,AD106)&gt;0,SUM($A$2:A106),0)</f>
        <v>0</v>
      </c>
      <c r="C106" t="e">
        <f>samples!#REF!</f>
        <v>#REF!</v>
      </c>
      <c r="D106">
        <f>IFERROR(SEARCH(search!$B$6,samples!#REF!,1),0)</f>
        <v>0</v>
      </c>
      <c r="E106" t="e">
        <f>IF(samples!#REF!=0,"",samples!#REF!)</f>
        <v>#REF!</v>
      </c>
      <c r="F106">
        <f>IFERROR(SEARCH(search!$B$6,samples!#REF!,1),0)</f>
        <v>0</v>
      </c>
      <c r="G106" t="e">
        <f>IF(samples!#REF!=0,"",samples!#REF!)</f>
        <v>#REF!</v>
      </c>
      <c r="H106">
        <f>IFERROR(SEARCH(search!$B$6,samples!#REF!,1),0)</f>
        <v>0</v>
      </c>
      <c r="I106" t="e">
        <f>IF(samples!#REF!=0,"",samples!#REF!)</f>
        <v>#REF!</v>
      </c>
      <c r="J106">
        <f>IFERROR(SEARCH(search!$B$6,samples!#REF!,1),0)</f>
        <v>0</v>
      </c>
      <c r="K106" t="e">
        <f>IF(samples!#REF!=0,"",samples!#REF!)</f>
        <v>#REF!</v>
      </c>
      <c r="L106">
        <f>IFERROR(SEARCH(search!$B$6,samples!#REF!,1),0)</f>
        <v>0</v>
      </c>
      <c r="M106" t="e">
        <f>IF(samples!#REF!=0,"",samples!#REF!)</f>
        <v>#REF!</v>
      </c>
      <c r="N106">
        <f>IFERROR(SEARCH(search!$B$6,samples!#REF!,1),0)</f>
        <v>0</v>
      </c>
      <c r="O106" t="e">
        <f>IF(samples!#REF!=0,"",samples!#REF!)</f>
        <v>#REF!</v>
      </c>
      <c r="P106">
        <f>IFERROR(SEARCH(search!$B$6,samples!#REF!,1),0)</f>
        <v>0</v>
      </c>
      <c r="Q106" t="e">
        <f>IF(samples!#REF!=0,"",samples!#REF!)</f>
        <v>#REF!</v>
      </c>
      <c r="R106">
        <f>IFERROR(SEARCH(search!$B$6,samples!#REF!,1),0)</f>
        <v>0</v>
      </c>
      <c r="S106" t="e">
        <f>IF(samples!#REF!=0,"",samples!#REF!)</f>
        <v>#REF!</v>
      </c>
      <c r="T106">
        <f>IFERROR(SEARCH(search!$B$6,samples!#REF!,1),0)</f>
        <v>0</v>
      </c>
      <c r="U106" t="e">
        <f>IF(samples!#REF!=0,"",samples!#REF!)</f>
        <v>#REF!</v>
      </c>
      <c r="V106">
        <f>IFERROR(SEARCH(search!$B$6,samples!#REF!,1),0)</f>
        <v>0</v>
      </c>
      <c r="W106" t="e">
        <f>IF(samples!#REF!=0,"",samples!#REF!)</f>
        <v>#REF!</v>
      </c>
      <c r="X106">
        <f>IFERROR(SEARCH(search!$B$6,samples!#REF!,1),0)</f>
        <v>0</v>
      </c>
      <c r="Y106" t="e">
        <f>IF(samples!#REF!=0,"",samples!#REF!)</f>
        <v>#REF!</v>
      </c>
      <c r="Z106">
        <f>IFERROR(SEARCH(search!$B$6,samples!#REF!,1),0)</f>
        <v>0</v>
      </c>
      <c r="AA106" t="e">
        <f>IF(samples!#REF!=0,"",samples!#REF!)</f>
        <v>#REF!</v>
      </c>
      <c r="AB106">
        <f>IFERROR(SEARCH(search!$B$6,samples!#REF!,1),0)</f>
        <v>0</v>
      </c>
      <c r="AC106" t="e">
        <f>IF(samples!#REF!=0,"",samples!#REF!)</f>
        <v>#REF!</v>
      </c>
      <c r="AD106">
        <f>IFERROR(SEARCH(search!$B$6,samples!#REF!,1),0)</f>
        <v>0</v>
      </c>
    </row>
    <row r="107" spans="1:30">
      <c r="A107">
        <f t="shared" si="1"/>
        <v>0</v>
      </c>
      <c r="B107">
        <f>IF(SUM(D107,F107,H107,J107,L107,N107,P107,R107,T107,V107,X107,Z107,AB107,AD107)&gt;0,SUM($A$2:A107),0)</f>
        <v>0</v>
      </c>
      <c r="C107" t="e">
        <f>samples!#REF!</f>
        <v>#REF!</v>
      </c>
      <c r="D107">
        <f>IFERROR(SEARCH(search!$B$6,samples!#REF!,1),0)</f>
        <v>0</v>
      </c>
      <c r="E107" t="e">
        <f>IF(samples!#REF!=0,"",samples!#REF!)</f>
        <v>#REF!</v>
      </c>
      <c r="F107">
        <f>IFERROR(SEARCH(search!$B$6,samples!#REF!,1),0)</f>
        <v>0</v>
      </c>
      <c r="G107" t="e">
        <f>IF(samples!#REF!=0,"",samples!#REF!)</f>
        <v>#REF!</v>
      </c>
      <c r="H107">
        <f>IFERROR(SEARCH(search!$B$6,samples!#REF!,1),0)</f>
        <v>0</v>
      </c>
      <c r="I107" t="e">
        <f>IF(samples!#REF!=0,"",samples!#REF!)</f>
        <v>#REF!</v>
      </c>
      <c r="J107">
        <f>IFERROR(SEARCH(search!$B$6,samples!#REF!,1),0)</f>
        <v>0</v>
      </c>
      <c r="K107" t="e">
        <f>IF(samples!#REF!=0,"",samples!#REF!)</f>
        <v>#REF!</v>
      </c>
      <c r="L107">
        <f>IFERROR(SEARCH(search!$B$6,samples!#REF!,1),0)</f>
        <v>0</v>
      </c>
      <c r="M107" t="e">
        <f>IF(samples!#REF!=0,"",samples!#REF!)</f>
        <v>#REF!</v>
      </c>
      <c r="N107">
        <f>IFERROR(SEARCH(search!$B$6,samples!#REF!,1),0)</f>
        <v>0</v>
      </c>
      <c r="O107" t="e">
        <f>IF(samples!#REF!=0,"",samples!#REF!)</f>
        <v>#REF!</v>
      </c>
      <c r="P107">
        <f>IFERROR(SEARCH(search!$B$6,samples!#REF!,1),0)</f>
        <v>0</v>
      </c>
      <c r="Q107" t="e">
        <f>IF(samples!#REF!=0,"",samples!#REF!)</f>
        <v>#REF!</v>
      </c>
      <c r="R107">
        <f>IFERROR(SEARCH(search!$B$6,samples!#REF!,1),0)</f>
        <v>0</v>
      </c>
      <c r="S107" t="e">
        <f>IF(samples!#REF!=0,"",samples!#REF!)</f>
        <v>#REF!</v>
      </c>
      <c r="T107">
        <f>IFERROR(SEARCH(search!$B$6,samples!#REF!,1),0)</f>
        <v>0</v>
      </c>
      <c r="U107" t="e">
        <f>IF(samples!#REF!=0,"",samples!#REF!)</f>
        <v>#REF!</v>
      </c>
      <c r="V107">
        <f>IFERROR(SEARCH(search!$B$6,samples!#REF!,1),0)</f>
        <v>0</v>
      </c>
      <c r="W107" t="e">
        <f>IF(samples!#REF!=0,"",samples!#REF!)</f>
        <v>#REF!</v>
      </c>
      <c r="X107">
        <f>IFERROR(SEARCH(search!$B$6,samples!#REF!,1),0)</f>
        <v>0</v>
      </c>
      <c r="Y107" t="e">
        <f>IF(samples!#REF!=0,"",samples!#REF!)</f>
        <v>#REF!</v>
      </c>
      <c r="Z107">
        <f>IFERROR(SEARCH(search!$B$6,samples!#REF!,1),0)</f>
        <v>0</v>
      </c>
      <c r="AA107" t="e">
        <f>IF(samples!#REF!=0,"",samples!#REF!)</f>
        <v>#REF!</v>
      </c>
      <c r="AB107">
        <f>IFERROR(SEARCH(search!$B$6,samples!#REF!,1),0)</f>
        <v>0</v>
      </c>
      <c r="AC107" t="e">
        <f>IF(samples!#REF!=0,"",samples!#REF!)</f>
        <v>#REF!</v>
      </c>
      <c r="AD107">
        <f>IFERROR(SEARCH(search!$B$6,samples!#REF!,1),0)</f>
        <v>0</v>
      </c>
    </row>
    <row r="108" spans="1:30">
      <c r="A108">
        <f t="shared" si="1"/>
        <v>0</v>
      </c>
      <c r="B108">
        <f>IF(SUM(D108,F108,H108,J108,L108,N108,P108,R108,T108,V108,X108,Z108,AB108,AD108)&gt;0,SUM($A$2:A108),0)</f>
        <v>0</v>
      </c>
      <c r="C108" t="e">
        <f>samples!#REF!</f>
        <v>#REF!</v>
      </c>
      <c r="D108">
        <f>IFERROR(SEARCH(search!$B$6,samples!#REF!,1),0)</f>
        <v>0</v>
      </c>
      <c r="E108" t="e">
        <f>IF(samples!#REF!=0,"",samples!#REF!)</f>
        <v>#REF!</v>
      </c>
      <c r="F108">
        <f>IFERROR(SEARCH(search!$B$6,samples!#REF!,1),0)</f>
        <v>0</v>
      </c>
      <c r="G108" t="e">
        <f>IF(samples!#REF!=0,"",samples!#REF!)</f>
        <v>#REF!</v>
      </c>
      <c r="H108">
        <f>IFERROR(SEARCH(search!$B$6,samples!#REF!,1),0)</f>
        <v>0</v>
      </c>
      <c r="I108" t="e">
        <f>IF(samples!#REF!=0,"",samples!#REF!)</f>
        <v>#REF!</v>
      </c>
      <c r="J108">
        <f>IFERROR(SEARCH(search!$B$6,samples!#REF!,1),0)</f>
        <v>0</v>
      </c>
      <c r="K108" t="e">
        <f>IF(samples!#REF!=0,"",samples!#REF!)</f>
        <v>#REF!</v>
      </c>
      <c r="L108">
        <f>IFERROR(SEARCH(search!$B$6,samples!#REF!,1),0)</f>
        <v>0</v>
      </c>
      <c r="M108" t="e">
        <f>IF(samples!#REF!=0,"",samples!#REF!)</f>
        <v>#REF!</v>
      </c>
      <c r="N108">
        <f>IFERROR(SEARCH(search!$B$6,samples!#REF!,1),0)</f>
        <v>0</v>
      </c>
      <c r="O108" t="e">
        <f>IF(samples!#REF!=0,"",samples!#REF!)</f>
        <v>#REF!</v>
      </c>
      <c r="P108">
        <f>IFERROR(SEARCH(search!$B$6,samples!#REF!,1),0)</f>
        <v>0</v>
      </c>
      <c r="Q108" t="e">
        <f>IF(samples!#REF!=0,"",samples!#REF!)</f>
        <v>#REF!</v>
      </c>
      <c r="R108">
        <f>IFERROR(SEARCH(search!$B$6,samples!#REF!,1),0)</f>
        <v>0</v>
      </c>
      <c r="S108" t="e">
        <f>IF(samples!#REF!=0,"",samples!#REF!)</f>
        <v>#REF!</v>
      </c>
      <c r="T108">
        <f>IFERROR(SEARCH(search!$B$6,samples!#REF!,1),0)</f>
        <v>0</v>
      </c>
      <c r="U108" t="e">
        <f>IF(samples!#REF!=0,"",samples!#REF!)</f>
        <v>#REF!</v>
      </c>
      <c r="V108">
        <f>IFERROR(SEARCH(search!$B$6,samples!#REF!,1),0)</f>
        <v>0</v>
      </c>
      <c r="W108" t="e">
        <f>IF(samples!#REF!=0,"",samples!#REF!)</f>
        <v>#REF!</v>
      </c>
      <c r="X108">
        <f>IFERROR(SEARCH(search!$B$6,samples!#REF!,1),0)</f>
        <v>0</v>
      </c>
      <c r="Y108" t="e">
        <f>IF(samples!#REF!=0,"",samples!#REF!)</f>
        <v>#REF!</v>
      </c>
      <c r="Z108">
        <f>IFERROR(SEARCH(search!$B$6,samples!#REF!,1),0)</f>
        <v>0</v>
      </c>
      <c r="AA108" t="e">
        <f>IF(samples!#REF!=0,"",samples!#REF!)</f>
        <v>#REF!</v>
      </c>
      <c r="AB108">
        <f>IFERROR(SEARCH(search!$B$6,samples!#REF!,1),0)</f>
        <v>0</v>
      </c>
      <c r="AC108" t="e">
        <f>IF(samples!#REF!=0,"",samples!#REF!)</f>
        <v>#REF!</v>
      </c>
      <c r="AD108">
        <f>IFERROR(SEARCH(search!$B$6,samples!#REF!,1),0)</f>
        <v>0</v>
      </c>
    </row>
    <row r="109" spans="1:30">
      <c r="A109">
        <f t="shared" si="1"/>
        <v>0</v>
      </c>
      <c r="B109">
        <f>IF(SUM(D109,F109,H109,J109,L109,N109,P109,R109,T109,V109,X109,Z109,AB109,AD109)&gt;0,SUM($A$2:A109),0)</f>
        <v>0</v>
      </c>
      <c r="C109" t="e">
        <f>samples!#REF!</f>
        <v>#REF!</v>
      </c>
      <c r="D109">
        <f>IFERROR(SEARCH(search!$B$6,samples!#REF!,1),0)</f>
        <v>0</v>
      </c>
      <c r="E109" t="e">
        <f>IF(samples!#REF!=0,"",samples!#REF!)</f>
        <v>#REF!</v>
      </c>
      <c r="F109">
        <f>IFERROR(SEARCH(search!$B$6,samples!#REF!,1),0)</f>
        <v>0</v>
      </c>
      <c r="G109" t="e">
        <f>IF(samples!#REF!=0,"",samples!#REF!)</f>
        <v>#REF!</v>
      </c>
      <c r="H109">
        <f>IFERROR(SEARCH(search!$B$6,samples!#REF!,1),0)</f>
        <v>0</v>
      </c>
      <c r="I109" t="e">
        <f>IF(samples!#REF!=0,"",samples!#REF!)</f>
        <v>#REF!</v>
      </c>
      <c r="J109">
        <f>IFERROR(SEARCH(search!$B$6,samples!#REF!,1),0)</f>
        <v>0</v>
      </c>
      <c r="K109" t="e">
        <f>IF(samples!#REF!=0,"",samples!#REF!)</f>
        <v>#REF!</v>
      </c>
      <c r="L109">
        <f>IFERROR(SEARCH(search!$B$6,samples!#REF!,1),0)</f>
        <v>0</v>
      </c>
      <c r="M109" t="e">
        <f>IF(samples!#REF!=0,"",samples!#REF!)</f>
        <v>#REF!</v>
      </c>
      <c r="N109">
        <f>IFERROR(SEARCH(search!$B$6,samples!#REF!,1),0)</f>
        <v>0</v>
      </c>
      <c r="O109" t="e">
        <f>IF(samples!#REF!=0,"",samples!#REF!)</f>
        <v>#REF!</v>
      </c>
      <c r="P109">
        <f>IFERROR(SEARCH(search!$B$6,samples!#REF!,1),0)</f>
        <v>0</v>
      </c>
      <c r="Q109" t="e">
        <f>IF(samples!#REF!=0,"",samples!#REF!)</f>
        <v>#REF!</v>
      </c>
      <c r="R109">
        <f>IFERROR(SEARCH(search!$B$6,samples!#REF!,1),0)</f>
        <v>0</v>
      </c>
      <c r="S109" t="e">
        <f>IF(samples!#REF!=0,"",samples!#REF!)</f>
        <v>#REF!</v>
      </c>
      <c r="T109">
        <f>IFERROR(SEARCH(search!$B$6,samples!#REF!,1),0)</f>
        <v>0</v>
      </c>
      <c r="U109" t="e">
        <f>IF(samples!#REF!=0,"",samples!#REF!)</f>
        <v>#REF!</v>
      </c>
      <c r="V109">
        <f>IFERROR(SEARCH(search!$B$6,samples!#REF!,1),0)</f>
        <v>0</v>
      </c>
      <c r="W109" t="e">
        <f>IF(samples!#REF!=0,"",samples!#REF!)</f>
        <v>#REF!</v>
      </c>
      <c r="X109">
        <f>IFERROR(SEARCH(search!$B$6,samples!#REF!,1),0)</f>
        <v>0</v>
      </c>
      <c r="Y109" t="e">
        <f>IF(samples!#REF!=0,"",samples!#REF!)</f>
        <v>#REF!</v>
      </c>
      <c r="Z109">
        <f>IFERROR(SEARCH(search!$B$6,samples!#REF!,1),0)</f>
        <v>0</v>
      </c>
      <c r="AA109" t="e">
        <f>IF(samples!#REF!=0,"",samples!#REF!)</f>
        <v>#REF!</v>
      </c>
      <c r="AB109">
        <f>IFERROR(SEARCH(search!$B$6,samples!#REF!,1),0)</f>
        <v>0</v>
      </c>
      <c r="AC109" t="e">
        <f>IF(samples!#REF!=0,"",samples!#REF!)</f>
        <v>#REF!</v>
      </c>
      <c r="AD109">
        <f>IFERROR(SEARCH(search!$B$6,samples!#REF!,1),0)</f>
        <v>0</v>
      </c>
    </row>
    <row r="110" spans="1:30">
      <c r="A110">
        <f t="shared" si="1"/>
        <v>0</v>
      </c>
      <c r="B110">
        <f>IF(SUM(D110,F110,H110,J110,L110,N110,P110,R110,T110,V110,X110,Z110,AB110,AD110)&gt;0,SUM($A$2:A110),0)</f>
        <v>0</v>
      </c>
      <c r="C110" t="e">
        <f>samples!#REF!</f>
        <v>#REF!</v>
      </c>
      <c r="D110">
        <f>IFERROR(SEARCH(search!$B$6,samples!#REF!,1),0)</f>
        <v>0</v>
      </c>
      <c r="E110" t="e">
        <f>IF(samples!#REF!=0,"",samples!#REF!)</f>
        <v>#REF!</v>
      </c>
      <c r="F110">
        <f>IFERROR(SEARCH(search!$B$6,samples!#REF!,1),0)</f>
        <v>0</v>
      </c>
      <c r="G110" t="e">
        <f>IF(samples!#REF!=0,"",samples!#REF!)</f>
        <v>#REF!</v>
      </c>
      <c r="H110">
        <f>IFERROR(SEARCH(search!$B$6,samples!#REF!,1),0)</f>
        <v>0</v>
      </c>
      <c r="I110" t="e">
        <f>IF(samples!#REF!=0,"",samples!#REF!)</f>
        <v>#REF!</v>
      </c>
      <c r="J110">
        <f>IFERROR(SEARCH(search!$B$6,samples!#REF!,1),0)</f>
        <v>0</v>
      </c>
      <c r="K110" t="e">
        <f>IF(samples!#REF!=0,"",samples!#REF!)</f>
        <v>#REF!</v>
      </c>
      <c r="L110">
        <f>IFERROR(SEARCH(search!$B$6,samples!#REF!,1),0)</f>
        <v>0</v>
      </c>
      <c r="M110" t="e">
        <f>IF(samples!#REF!=0,"",samples!#REF!)</f>
        <v>#REF!</v>
      </c>
      <c r="N110">
        <f>IFERROR(SEARCH(search!$B$6,samples!#REF!,1),0)</f>
        <v>0</v>
      </c>
      <c r="O110" t="e">
        <f>IF(samples!#REF!=0,"",samples!#REF!)</f>
        <v>#REF!</v>
      </c>
      <c r="P110">
        <f>IFERROR(SEARCH(search!$B$6,samples!#REF!,1),0)</f>
        <v>0</v>
      </c>
      <c r="Q110" t="e">
        <f>IF(samples!#REF!=0,"",samples!#REF!)</f>
        <v>#REF!</v>
      </c>
      <c r="R110">
        <f>IFERROR(SEARCH(search!$B$6,samples!#REF!,1),0)</f>
        <v>0</v>
      </c>
      <c r="S110" t="e">
        <f>IF(samples!#REF!=0,"",samples!#REF!)</f>
        <v>#REF!</v>
      </c>
      <c r="T110">
        <f>IFERROR(SEARCH(search!$B$6,samples!#REF!,1),0)</f>
        <v>0</v>
      </c>
      <c r="U110" t="e">
        <f>IF(samples!#REF!=0,"",samples!#REF!)</f>
        <v>#REF!</v>
      </c>
      <c r="V110">
        <f>IFERROR(SEARCH(search!$B$6,samples!#REF!,1),0)</f>
        <v>0</v>
      </c>
      <c r="W110" t="e">
        <f>IF(samples!#REF!=0,"",samples!#REF!)</f>
        <v>#REF!</v>
      </c>
      <c r="X110">
        <f>IFERROR(SEARCH(search!$B$6,samples!#REF!,1),0)</f>
        <v>0</v>
      </c>
      <c r="Y110" t="e">
        <f>IF(samples!#REF!=0,"",samples!#REF!)</f>
        <v>#REF!</v>
      </c>
      <c r="Z110">
        <f>IFERROR(SEARCH(search!$B$6,samples!#REF!,1),0)</f>
        <v>0</v>
      </c>
      <c r="AA110" t="e">
        <f>IF(samples!#REF!=0,"",samples!#REF!)</f>
        <v>#REF!</v>
      </c>
      <c r="AB110">
        <f>IFERROR(SEARCH(search!$B$6,samples!#REF!,1),0)</f>
        <v>0</v>
      </c>
      <c r="AC110" t="e">
        <f>IF(samples!#REF!=0,"",samples!#REF!)</f>
        <v>#REF!</v>
      </c>
      <c r="AD110">
        <f>IFERROR(SEARCH(search!$B$6,samples!#REF!,1),0)</f>
        <v>0</v>
      </c>
    </row>
    <row r="111" spans="1:30">
      <c r="A111">
        <f t="shared" si="1"/>
        <v>0</v>
      </c>
      <c r="B111">
        <f>IF(SUM(D111,F111,H111,J111,L111,N111,P111,R111,T111,V111,X111,Z111,AB111,AD111)&gt;0,SUM($A$2:A111),0)</f>
        <v>0</v>
      </c>
      <c r="C111" t="e">
        <f>samples!#REF!</f>
        <v>#REF!</v>
      </c>
      <c r="D111">
        <f>IFERROR(SEARCH(search!$B$6,samples!#REF!,1),0)</f>
        <v>0</v>
      </c>
      <c r="E111" t="e">
        <f>IF(samples!#REF!=0,"",samples!#REF!)</f>
        <v>#REF!</v>
      </c>
      <c r="F111">
        <f>IFERROR(SEARCH(search!$B$6,samples!#REF!,1),0)</f>
        <v>0</v>
      </c>
      <c r="G111" t="e">
        <f>IF(samples!#REF!=0,"",samples!#REF!)</f>
        <v>#REF!</v>
      </c>
      <c r="H111">
        <f>IFERROR(SEARCH(search!$B$6,samples!#REF!,1),0)</f>
        <v>0</v>
      </c>
      <c r="I111" t="e">
        <f>IF(samples!#REF!=0,"",samples!#REF!)</f>
        <v>#REF!</v>
      </c>
      <c r="J111">
        <f>IFERROR(SEARCH(search!$B$6,samples!#REF!,1),0)</f>
        <v>0</v>
      </c>
      <c r="K111" t="e">
        <f>IF(samples!#REF!=0,"",samples!#REF!)</f>
        <v>#REF!</v>
      </c>
      <c r="L111">
        <f>IFERROR(SEARCH(search!$B$6,samples!#REF!,1),0)</f>
        <v>0</v>
      </c>
      <c r="M111" t="e">
        <f>IF(samples!#REF!=0,"",samples!#REF!)</f>
        <v>#REF!</v>
      </c>
      <c r="N111">
        <f>IFERROR(SEARCH(search!$B$6,samples!#REF!,1),0)</f>
        <v>0</v>
      </c>
      <c r="O111" t="e">
        <f>IF(samples!#REF!=0,"",samples!#REF!)</f>
        <v>#REF!</v>
      </c>
      <c r="P111">
        <f>IFERROR(SEARCH(search!$B$6,samples!#REF!,1),0)</f>
        <v>0</v>
      </c>
      <c r="Q111" t="e">
        <f>IF(samples!#REF!=0,"",samples!#REF!)</f>
        <v>#REF!</v>
      </c>
      <c r="R111">
        <f>IFERROR(SEARCH(search!$B$6,samples!#REF!,1),0)</f>
        <v>0</v>
      </c>
      <c r="S111" t="e">
        <f>IF(samples!#REF!=0,"",samples!#REF!)</f>
        <v>#REF!</v>
      </c>
      <c r="T111">
        <f>IFERROR(SEARCH(search!$B$6,samples!#REF!,1),0)</f>
        <v>0</v>
      </c>
      <c r="U111" t="e">
        <f>IF(samples!#REF!=0,"",samples!#REF!)</f>
        <v>#REF!</v>
      </c>
      <c r="V111">
        <f>IFERROR(SEARCH(search!$B$6,samples!#REF!,1),0)</f>
        <v>0</v>
      </c>
      <c r="W111" t="e">
        <f>IF(samples!#REF!=0,"",samples!#REF!)</f>
        <v>#REF!</v>
      </c>
      <c r="X111">
        <f>IFERROR(SEARCH(search!$B$6,samples!#REF!,1),0)</f>
        <v>0</v>
      </c>
      <c r="Y111" t="e">
        <f>IF(samples!#REF!=0,"",samples!#REF!)</f>
        <v>#REF!</v>
      </c>
      <c r="Z111">
        <f>IFERROR(SEARCH(search!$B$6,samples!#REF!,1),0)</f>
        <v>0</v>
      </c>
      <c r="AA111" t="e">
        <f>IF(samples!#REF!=0,"",samples!#REF!)</f>
        <v>#REF!</v>
      </c>
      <c r="AB111">
        <f>IFERROR(SEARCH(search!$B$6,samples!#REF!,1),0)</f>
        <v>0</v>
      </c>
      <c r="AC111" t="e">
        <f>IF(samples!#REF!=0,"",samples!#REF!)</f>
        <v>#REF!</v>
      </c>
      <c r="AD111">
        <f>IFERROR(SEARCH(search!$B$6,samples!#REF!,1),0)</f>
        <v>0</v>
      </c>
    </row>
    <row r="112" spans="1:30">
      <c r="A112">
        <f t="shared" si="1"/>
        <v>0</v>
      </c>
      <c r="B112">
        <f>IF(SUM(D112,F112,H112,J112,L112,N112,P112,R112,T112,V112,X112,Z112,AB112,AD112)&gt;0,SUM($A$2:A112),0)</f>
        <v>0</v>
      </c>
      <c r="C112" t="e">
        <f>samples!#REF!</f>
        <v>#REF!</v>
      </c>
      <c r="D112">
        <f>IFERROR(SEARCH(search!$B$6,samples!#REF!,1),0)</f>
        <v>0</v>
      </c>
      <c r="E112" t="e">
        <f>IF(samples!#REF!=0,"",samples!#REF!)</f>
        <v>#REF!</v>
      </c>
      <c r="F112">
        <f>IFERROR(SEARCH(search!$B$6,samples!#REF!,1),0)</f>
        <v>0</v>
      </c>
      <c r="G112" t="e">
        <f>IF(samples!#REF!=0,"",samples!#REF!)</f>
        <v>#REF!</v>
      </c>
      <c r="H112">
        <f>IFERROR(SEARCH(search!$B$6,samples!#REF!,1),0)</f>
        <v>0</v>
      </c>
      <c r="I112" t="e">
        <f>IF(samples!#REF!=0,"",samples!#REF!)</f>
        <v>#REF!</v>
      </c>
      <c r="J112">
        <f>IFERROR(SEARCH(search!$B$6,samples!#REF!,1),0)</f>
        <v>0</v>
      </c>
      <c r="K112" t="e">
        <f>IF(samples!#REF!=0,"",samples!#REF!)</f>
        <v>#REF!</v>
      </c>
      <c r="L112">
        <f>IFERROR(SEARCH(search!$B$6,samples!#REF!,1),0)</f>
        <v>0</v>
      </c>
      <c r="M112" t="e">
        <f>IF(samples!#REF!=0,"",samples!#REF!)</f>
        <v>#REF!</v>
      </c>
      <c r="N112">
        <f>IFERROR(SEARCH(search!$B$6,samples!#REF!,1),0)</f>
        <v>0</v>
      </c>
      <c r="O112" t="e">
        <f>IF(samples!#REF!=0,"",samples!#REF!)</f>
        <v>#REF!</v>
      </c>
      <c r="P112">
        <f>IFERROR(SEARCH(search!$B$6,samples!#REF!,1),0)</f>
        <v>0</v>
      </c>
      <c r="Q112" t="e">
        <f>IF(samples!#REF!=0,"",samples!#REF!)</f>
        <v>#REF!</v>
      </c>
      <c r="R112">
        <f>IFERROR(SEARCH(search!$B$6,samples!#REF!,1),0)</f>
        <v>0</v>
      </c>
      <c r="S112" t="e">
        <f>IF(samples!#REF!=0,"",samples!#REF!)</f>
        <v>#REF!</v>
      </c>
      <c r="T112">
        <f>IFERROR(SEARCH(search!$B$6,samples!#REF!,1),0)</f>
        <v>0</v>
      </c>
      <c r="U112" t="e">
        <f>IF(samples!#REF!=0,"",samples!#REF!)</f>
        <v>#REF!</v>
      </c>
      <c r="V112">
        <f>IFERROR(SEARCH(search!$B$6,samples!#REF!,1),0)</f>
        <v>0</v>
      </c>
      <c r="W112" t="e">
        <f>IF(samples!#REF!=0,"",samples!#REF!)</f>
        <v>#REF!</v>
      </c>
      <c r="X112">
        <f>IFERROR(SEARCH(search!$B$6,samples!#REF!,1),0)</f>
        <v>0</v>
      </c>
      <c r="Y112" t="e">
        <f>IF(samples!#REF!=0,"",samples!#REF!)</f>
        <v>#REF!</v>
      </c>
      <c r="Z112">
        <f>IFERROR(SEARCH(search!$B$6,samples!#REF!,1),0)</f>
        <v>0</v>
      </c>
      <c r="AA112" t="e">
        <f>IF(samples!#REF!=0,"",samples!#REF!)</f>
        <v>#REF!</v>
      </c>
      <c r="AB112">
        <f>IFERROR(SEARCH(search!$B$6,samples!#REF!,1),0)</f>
        <v>0</v>
      </c>
      <c r="AC112" t="e">
        <f>IF(samples!#REF!=0,"",samples!#REF!)</f>
        <v>#REF!</v>
      </c>
      <c r="AD112">
        <f>IFERROR(SEARCH(search!$B$6,samples!#REF!,1),0)</f>
        <v>0</v>
      </c>
    </row>
    <row r="113" spans="1:30">
      <c r="A113">
        <f t="shared" si="1"/>
        <v>0</v>
      </c>
      <c r="B113">
        <f>IF(SUM(D113,F113,H113,J113,L113,N113,P113,R113,T113,V113,X113,Z113,AB113,AD113)&gt;0,SUM($A$2:A113),0)</f>
        <v>0</v>
      </c>
      <c r="C113" t="e">
        <f>samples!#REF!</f>
        <v>#REF!</v>
      </c>
      <c r="D113">
        <f>IFERROR(SEARCH(search!$B$6,samples!#REF!,1),0)</f>
        <v>0</v>
      </c>
      <c r="E113" t="e">
        <f>IF(samples!#REF!=0,"",samples!#REF!)</f>
        <v>#REF!</v>
      </c>
      <c r="F113">
        <f>IFERROR(SEARCH(search!$B$6,samples!#REF!,1),0)</f>
        <v>0</v>
      </c>
      <c r="G113" t="e">
        <f>IF(samples!#REF!=0,"",samples!#REF!)</f>
        <v>#REF!</v>
      </c>
      <c r="H113">
        <f>IFERROR(SEARCH(search!$B$6,samples!#REF!,1),0)</f>
        <v>0</v>
      </c>
      <c r="I113" t="e">
        <f>IF(samples!#REF!=0,"",samples!#REF!)</f>
        <v>#REF!</v>
      </c>
      <c r="J113">
        <f>IFERROR(SEARCH(search!$B$6,samples!#REF!,1),0)</f>
        <v>0</v>
      </c>
      <c r="K113" t="e">
        <f>IF(samples!#REF!=0,"",samples!#REF!)</f>
        <v>#REF!</v>
      </c>
      <c r="L113">
        <f>IFERROR(SEARCH(search!$B$6,samples!#REF!,1),0)</f>
        <v>0</v>
      </c>
      <c r="M113" t="e">
        <f>IF(samples!#REF!=0,"",samples!#REF!)</f>
        <v>#REF!</v>
      </c>
      <c r="N113">
        <f>IFERROR(SEARCH(search!$B$6,samples!#REF!,1),0)</f>
        <v>0</v>
      </c>
      <c r="O113" t="e">
        <f>IF(samples!#REF!=0,"",samples!#REF!)</f>
        <v>#REF!</v>
      </c>
      <c r="P113">
        <f>IFERROR(SEARCH(search!$B$6,samples!#REF!,1),0)</f>
        <v>0</v>
      </c>
      <c r="Q113" t="e">
        <f>IF(samples!#REF!=0,"",samples!#REF!)</f>
        <v>#REF!</v>
      </c>
      <c r="R113">
        <f>IFERROR(SEARCH(search!$B$6,samples!#REF!,1),0)</f>
        <v>0</v>
      </c>
      <c r="S113" t="e">
        <f>IF(samples!#REF!=0,"",samples!#REF!)</f>
        <v>#REF!</v>
      </c>
      <c r="T113">
        <f>IFERROR(SEARCH(search!$B$6,samples!#REF!,1),0)</f>
        <v>0</v>
      </c>
      <c r="U113" t="e">
        <f>IF(samples!#REF!=0,"",samples!#REF!)</f>
        <v>#REF!</v>
      </c>
      <c r="V113">
        <f>IFERROR(SEARCH(search!$B$6,samples!#REF!,1),0)</f>
        <v>0</v>
      </c>
      <c r="W113" t="e">
        <f>IF(samples!#REF!=0,"",samples!#REF!)</f>
        <v>#REF!</v>
      </c>
      <c r="X113">
        <f>IFERROR(SEARCH(search!$B$6,samples!#REF!,1),0)</f>
        <v>0</v>
      </c>
      <c r="Y113" t="e">
        <f>IF(samples!#REF!=0,"",samples!#REF!)</f>
        <v>#REF!</v>
      </c>
      <c r="Z113">
        <f>IFERROR(SEARCH(search!$B$6,samples!#REF!,1),0)</f>
        <v>0</v>
      </c>
      <c r="AA113" t="e">
        <f>IF(samples!#REF!=0,"",samples!#REF!)</f>
        <v>#REF!</v>
      </c>
      <c r="AB113">
        <f>IFERROR(SEARCH(search!$B$6,samples!#REF!,1),0)</f>
        <v>0</v>
      </c>
      <c r="AC113" t="e">
        <f>IF(samples!#REF!=0,"",samples!#REF!)</f>
        <v>#REF!</v>
      </c>
      <c r="AD113">
        <f>IFERROR(SEARCH(search!$B$6,samples!#REF!,1),0)</f>
        <v>0</v>
      </c>
    </row>
    <row r="114" spans="1:30">
      <c r="A114">
        <f t="shared" si="1"/>
        <v>0</v>
      </c>
      <c r="B114">
        <f>IF(SUM(D114,F114,H114,J114,L114,N114,P114,R114,T114,V114,X114,Z114,AB114,AD114)&gt;0,SUM($A$2:A114),0)</f>
        <v>0</v>
      </c>
      <c r="C114" t="e">
        <f>samples!#REF!</f>
        <v>#REF!</v>
      </c>
      <c r="D114">
        <f>IFERROR(SEARCH(search!$B$6,samples!#REF!,1),0)</f>
        <v>0</v>
      </c>
      <c r="E114" t="e">
        <f>IF(samples!#REF!=0,"",samples!#REF!)</f>
        <v>#REF!</v>
      </c>
      <c r="F114">
        <f>IFERROR(SEARCH(search!$B$6,samples!#REF!,1),0)</f>
        <v>0</v>
      </c>
      <c r="G114" t="e">
        <f>IF(samples!#REF!=0,"",samples!#REF!)</f>
        <v>#REF!</v>
      </c>
      <c r="H114">
        <f>IFERROR(SEARCH(search!$B$6,samples!#REF!,1),0)</f>
        <v>0</v>
      </c>
      <c r="I114" t="e">
        <f>IF(samples!#REF!=0,"",samples!#REF!)</f>
        <v>#REF!</v>
      </c>
      <c r="J114">
        <f>IFERROR(SEARCH(search!$B$6,samples!#REF!,1),0)</f>
        <v>0</v>
      </c>
      <c r="K114" t="e">
        <f>IF(samples!#REF!=0,"",samples!#REF!)</f>
        <v>#REF!</v>
      </c>
      <c r="L114">
        <f>IFERROR(SEARCH(search!$B$6,samples!#REF!,1),0)</f>
        <v>0</v>
      </c>
      <c r="M114" t="e">
        <f>IF(samples!#REF!=0,"",samples!#REF!)</f>
        <v>#REF!</v>
      </c>
      <c r="N114">
        <f>IFERROR(SEARCH(search!$B$6,samples!#REF!,1),0)</f>
        <v>0</v>
      </c>
      <c r="O114" t="e">
        <f>IF(samples!#REF!=0,"",samples!#REF!)</f>
        <v>#REF!</v>
      </c>
      <c r="P114">
        <f>IFERROR(SEARCH(search!$B$6,samples!#REF!,1),0)</f>
        <v>0</v>
      </c>
      <c r="Q114" t="e">
        <f>IF(samples!#REF!=0,"",samples!#REF!)</f>
        <v>#REF!</v>
      </c>
      <c r="R114">
        <f>IFERROR(SEARCH(search!$B$6,samples!#REF!,1),0)</f>
        <v>0</v>
      </c>
      <c r="S114" t="e">
        <f>IF(samples!#REF!=0,"",samples!#REF!)</f>
        <v>#REF!</v>
      </c>
      <c r="T114">
        <f>IFERROR(SEARCH(search!$B$6,samples!#REF!,1),0)</f>
        <v>0</v>
      </c>
      <c r="U114" t="e">
        <f>IF(samples!#REF!=0,"",samples!#REF!)</f>
        <v>#REF!</v>
      </c>
      <c r="V114">
        <f>IFERROR(SEARCH(search!$B$6,samples!#REF!,1),0)</f>
        <v>0</v>
      </c>
      <c r="W114" t="e">
        <f>IF(samples!#REF!=0,"",samples!#REF!)</f>
        <v>#REF!</v>
      </c>
      <c r="X114">
        <f>IFERROR(SEARCH(search!$B$6,samples!#REF!,1),0)</f>
        <v>0</v>
      </c>
      <c r="Y114" t="e">
        <f>IF(samples!#REF!=0,"",samples!#REF!)</f>
        <v>#REF!</v>
      </c>
      <c r="Z114">
        <f>IFERROR(SEARCH(search!$B$6,samples!#REF!,1),0)</f>
        <v>0</v>
      </c>
      <c r="AA114" t="e">
        <f>IF(samples!#REF!=0,"",samples!#REF!)</f>
        <v>#REF!</v>
      </c>
      <c r="AB114">
        <f>IFERROR(SEARCH(search!$B$6,samples!#REF!,1),0)</f>
        <v>0</v>
      </c>
      <c r="AC114" t="e">
        <f>IF(samples!#REF!=0,"",samples!#REF!)</f>
        <v>#REF!</v>
      </c>
      <c r="AD114">
        <f>IFERROR(SEARCH(search!$B$6,samples!#REF!,1),0)</f>
        <v>0</v>
      </c>
    </row>
    <row r="115" spans="1:30">
      <c r="A115">
        <f t="shared" si="1"/>
        <v>0</v>
      </c>
      <c r="B115">
        <f>IF(SUM(D115,F115,H115,J115,L115,N115,P115,R115,T115,V115,X115,Z115,AB115,AD115)&gt;0,SUM($A$2:A115),0)</f>
        <v>0</v>
      </c>
      <c r="C115" t="e">
        <f>samples!#REF!</f>
        <v>#REF!</v>
      </c>
      <c r="D115">
        <f>IFERROR(SEARCH(search!$B$6,samples!#REF!,1),0)</f>
        <v>0</v>
      </c>
      <c r="E115" t="e">
        <f>IF(samples!#REF!=0,"",samples!#REF!)</f>
        <v>#REF!</v>
      </c>
      <c r="F115">
        <f>IFERROR(SEARCH(search!$B$6,samples!#REF!,1),0)</f>
        <v>0</v>
      </c>
      <c r="G115" t="e">
        <f>IF(samples!#REF!=0,"",samples!#REF!)</f>
        <v>#REF!</v>
      </c>
      <c r="H115">
        <f>IFERROR(SEARCH(search!$B$6,samples!#REF!,1),0)</f>
        <v>0</v>
      </c>
      <c r="I115" t="e">
        <f>IF(samples!#REF!=0,"",samples!#REF!)</f>
        <v>#REF!</v>
      </c>
      <c r="J115">
        <f>IFERROR(SEARCH(search!$B$6,samples!#REF!,1),0)</f>
        <v>0</v>
      </c>
      <c r="K115" t="e">
        <f>IF(samples!#REF!=0,"",samples!#REF!)</f>
        <v>#REF!</v>
      </c>
      <c r="L115">
        <f>IFERROR(SEARCH(search!$B$6,samples!#REF!,1),0)</f>
        <v>0</v>
      </c>
      <c r="M115" t="e">
        <f>IF(samples!#REF!=0,"",samples!#REF!)</f>
        <v>#REF!</v>
      </c>
      <c r="N115">
        <f>IFERROR(SEARCH(search!$B$6,samples!#REF!,1),0)</f>
        <v>0</v>
      </c>
      <c r="O115" t="e">
        <f>IF(samples!#REF!=0,"",samples!#REF!)</f>
        <v>#REF!</v>
      </c>
      <c r="P115">
        <f>IFERROR(SEARCH(search!$B$6,samples!#REF!,1),0)</f>
        <v>0</v>
      </c>
      <c r="Q115" t="e">
        <f>IF(samples!#REF!=0,"",samples!#REF!)</f>
        <v>#REF!</v>
      </c>
      <c r="R115">
        <f>IFERROR(SEARCH(search!$B$6,samples!#REF!,1),0)</f>
        <v>0</v>
      </c>
      <c r="S115" t="e">
        <f>IF(samples!#REF!=0,"",samples!#REF!)</f>
        <v>#REF!</v>
      </c>
      <c r="T115">
        <f>IFERROR(SEARCH(search!$B$6,samples!#REF!,1),0)</f>
        <v>0</v>
      </c>
      <c r="U115" t="e">
        <f>IF(samples!#REF!=0,"",samples!#REF!)</f>
        <v>#REF!</v>
      </c>
      <c r="V115">
        <f>IFERROR(SEARCH(search!$B$6,samples!#REF!,1),0)</f>
        <v>0</v>
      </c>
      <c r="W115" t="e">
        <f>IF(samples!#REF!=0,"",samples!#REF!)</f>
        <v>#REF!</v>
      </c>
      <c r="X115">
        <f>IFERROR(SEARCH(search!$B$6,samples!#REF!,1),0)</f>
        <v>0</v>
      </c>
      <c r="Y115" t="e">
        <f>IF(samples!#REF!=0,"",samples!#REF!)</f>
        <v>#REF!</v>
      </c>
      <c r="Z115">
        <f>IFERROR(SEARCH(search!$B$6,samples!#REF!,1),0)</f>
        <v>0</v>
      </c>
      <c r="AA115" t="e">
        <f>IF(samples!#REF!=0,"",samples!#REF!)</f>
        <v>#REF!</v>
      </c>
      <c r="AB115">
        <f>IFERROR(SEARCH(search!$B$6,samples!#REF!,1),0)</f>
        <v>0</v>
      </c>
      <c r="AC115" t="e">
        <f>IF(samples!#REF!=0,"",samples!#REF!)</f>
        <v>#REF!</v>
      </c>
      <c r="AD115">
        <f>IFERROR(SEARCH(search!$B$6,samples!#REF!,1),0)</f>
        <v>0</v>
      </c>
    </row>
    <row r="116" spans="1:30">
      <c r="A116">
        <f t="shared" si="1"/>
        <v>0</v>
      </c>
      <c r="B116">
        <f>IF(SUM(D116,F116,H116,J116,L116,N116,P116,R116,T116,V116,X116,Z116,AB116,AD116)&gt;0,SUM($A$2:A116),0)</f>
        <v>0</v>
      </c>
      <c r="C116" t="e">
        <f>samples!#REF!</f>
        <v>#REF!</v>
      </c>
      <c r="D116">
        <f>IFERROR(SEARCH(search!$B$6,samples!#REF!,1),0)</f>
        <v>0</v>
      </c>
      <c r="E116" t="e">
        <f>IF(samples!#REF!=0,"",samples!#REF!)</f>
        <v>#REF!</v>
      </c>
      <c r="F116">
        <f>IFERROR(SEARCH(search!$B$6,samples!#REF!,1),0)</f>
        <v>0</v>
      </c>
      <c r="G116" t="e">
        <f>IF(samples!#REF!=0,"",samples!#REF!)</f>
        <v>#REF!</v>
      </c>
      <c r="H116">
        <f>IFERROR(SEARCH(search!$B$6,samples!#REF!,1),0)</f>
        <v>0</v>
      </c>
      <c r="I116" t="e">
        <f>IF(samples!#REF!=0,"",samples!#REF!)</f>
        <v>#REF!</v>
      </c>
      <c r="J116">
        <f>IFERROR(SEARCH(search!$B$6,samples!#REF!,1),0)</f>
        <v>0</v>
      </c>
      <c r="K116" t="e">
        <f>IF(samples!#REF!=0,"",samples!#REF!)</f>
        <v>#REF!</v>
      </c>
      <c r="L116">
        <f>IFERROR(SEARCH(search!$B$6,samples!#REF!,1),0)</f>
        <v>0</v>
      </c>
      <c r="M116" t="e">
        <f>IF(samples!#REF!=0,"",samples!#REF!)</f>
        <v>#REF!</v>
      </c>
      <c r="N116">
        <f>IFERROR(SEARCH(search!$B$6,samples!#REF!,1),0)</f>
        <v>0</v>
      </c>
      <c r="O116" t="e">
        <f>IF(samples!#REF!=0,"",samples!#REF!)</f>
        <v>#REF!</v>
      </c>
      <c r="P116">
        <f>IFERROR(SEARCH(search!$B$6,samples!#REF!,1),0)</f>
        <v>0</v>
      </c>
      <c r="Q116" t="e">
        <f>IF(samples!#REF!=0,"",samples!#REF!)</f>
        <v>#REF!</v>
      </c>
      <c r="R116">
        <f>IFERROR(SEARCH(search!$B$6,samples!#REF!,1),0)</f>
        <v>0</v>
      </c>
      <c r="S116" t="e">
        <f>IF(samples!#REF!=0,"",samples!#REF!)</f>
        <v>#REF!</v>
      </c>
      <c r="T116">
        <f>IFERROR(SEARCH(search!$B$6,samples!#REF!,1),0)</f>
        <v>0</v>
      </c>
      <c r="U116" t="e">
        <f>IF(samples!#REF!=0,"",samples!#REF!)</f>
        <v>#REF!</v>
      </c>
      <c r="V116">
        <f>IFERROR(SEARCH(search!$B$6,samples!#REF!,1),0)</f>
        <v>0</v>
      </c>
      <c r="W116" t="e">
        <f>IF(samples!#REF!=0,"",samples!#REF!)</f>
        <v>#REF!</v>
      </c>
      <c r="X116">
        <f>IFERROR(SEARCH(search!$B$6,samples!#REF!,1),0)</f>
        <v>0</v>
      </c>
      <c r="Y116" t="e">
        <f>IF(samples!#REF!=0,"",samples!#REF!)</f>
        <v>#REF!</v>
      </c>
      <c r="Z116">
        <f>IFERROR(SEARCH(search!$B$6,samples!#REF!,1),0)</f>
        <v>0</v>
      </c>
      <c r="AA116" t="e">
        <f>IF(samples!#REF!=0,"",samples!#REF!)</f>
        <v>#REF!</v>
      </c>
      <c r="AB116">
        <f>IFERROR(SEARCH(search!$B$6,samples!#REF!,1),0)</f>
        <v>0</v>
      </c>
      <c r="AC116" t="e">
        <f>IF(samples!#REF!=0,"",samples!#REF!)</f>
        <v>#REF!</v>
      </c>
      <c r="AD116">
        <f>IFERROR(SEARCH(search!$B$6,samples!#REF!,1),0)</f>
        <v>0</v>
      </c>
    </row>
    <row r="117" spans="1:30">
      <c r="A117">
        <f t="shared" si="1"/>
        <v>0</v>
      </c>
      <c r="B117">
        <f>IF(SUM(D117,F117,H117,J117,L117,N117,P117,R117,T117,V117,X117,Z117,AB117,AD117)&gt;0,SUM($A$2:A117),0)</f>
        <v>0</v>
      </c>
      <c r="C117" t="e">
        <f>samples!#REF!</f>
        <v>#REF!</v>
      </c>
      <c r="D117">
        <f>IFERROR(SEARCH(search!$B$6,samples!#REF!,1),0)</f>
        <v>0</v>
      </c>
      <c r="E117" t="e">
        <f>IF(samples!#REF!=0,"",samples!#REF!)</f>
        <v>#REF!</v>
      </c>
      <c r="F117">
        <f>IFERROR(SEARCH(search!$B$6,samples!#REF!,1),0)</f>
        <v>0</v>
      </c>
      <c r="G117" t="e">
        <f>IF(samples!#REF!=0,"",samples!#REF!)</f>
        <v>#REF!</v>
      </c>
      <c r="H117">
        <f>IFERROR(SEARCH(search!$B$6,samples!#REF!,1),0)</f>
        <v>0</v>
      </c>
      <c r="I117" t="e">
        <f>IF(samples!#REF!=0,"",samples!#REF!)</f>
        <v>#REF!</v>
      </c>
      <c r="J117">
        <f>IFERROR(SEARCH(search!$B$6,samples!#REF!,1),0)</f>
        <v>0</v>
      </c>
      <c r="K117" t="e">
        <f>IF(samples!#REF!=0,"",samples!#REF!)</f>
        <v>#REF!</v>
      </c>
      <c r="L117">
        <f>IFERROR(SEARCH(search!$B$6,samples!#REF!,1),0)</f>
        <v>0</v>
      </c>
      <c r="M117" t="e">
        <f>IF(samples!#REF!=0,"",samples!#REF!)</f>
        <v>#REF!</v>
      </c>
      <c r="N117">
        <f>IFERROR(SEARCH(search!$B$6,samples!#REF!,1),0)</f>
        <v>0</v>
      </c>
      <c r="O117" t="e">
        <f>IF(samples!#REF!=0,"",samples!#REF!)</f>
        <v>#REF!</v>
      </c>
      <c r="P117">
        <f>IFERROR(SEARCH(search!$B$6,samples!#REF!,1),0)</f>
        <v>0</v>
      </c>
      <c r="Q117" t="e">
        <f>IF(samples!#REF!=0,"",samples!#REF!)</f>
        <v>#REF!</v>
      </c>
      <c r="R117">
        <f>IFERROR(SEARCH(search!$B$6,samples!#REF!,1),0)</f>
        <v>0</v>
      </c>
      <c r="S117" t="e">
        <f>IF(samples!#REF!=0,"",samples!#REF!)</f>
        <v>#REF!</v>
      </c>
      <c r="T117">
        <f>IFERROR(SEARCH(search!$B$6,samples!#REF!,1),0)</f>
        <v>0</v>
      </c>
      <c r="U117" t="e">
        <f>IF(samples!#REF!=0,"",samples!#REF!)</f>
        <v>#REF!</v>
      </c>
      <c r="V117">
        <f>IFERROR(SEARCH(search!$B$6,samples!#REF!,1),0)</f>
        <v>0</v>
      </c>
      <c r="W117" t="e">
        <f>IF(samples!#REF!=0,"",samples!#REF!)</f>
        <v>#REF!</v>
      </c>
      <c r="X117">
        <f>IFERROR(SEARCH(search!$B$6,samples!#REF!,1),0)</f>
        <v>0</v>
      </c>
      <c r="Y117" t="e">
        <f>IF(samples!#REF!=0,"",samples!#REF!)</f>
        <v>#REF!</v>
      </c>
      <c r="Z117">
        <f>IFERROR(SEARCH(search!$B$6,samples!#REF!,1),0)</f>
        <v>0</v>
      </c>
      <c r="AA117" t="e">
        <f>IF(samples!#REF!=0,"",samples!#REF!)</f>
        <v>#REF!</v>
      </c>
      <c r="AB117">
        <f>IFERROR(SEARCH(search!$B$6,samples!#REF!,1),0)</f>
        <v>0</v>
      </c>
      <c r="AC117" t="e">
        <f>IF(samples!#REF!=0,"",samples!#REF!)</f>
        <v>#REF!</v>
      </c>
      <c r="AD117">
        <f>IFERROR(SEARCH(search!$B$6,samples!#REF!,1),0)</f>
        <v>0</v>
      </c>
    </row>
    <row r="118" spans="1:30">
      <c r="A118">
        <f t="shared" si="1"/>
        <v>0</v>
      </c>
      <c r="B118">
        <f>IF(SUM(D118,F118,H118,J118,L118,N118,P118,R118,T118,V118,X118,Z118,AB118,AD118)&gt;0,SUM($A$2:A118),0)</f>
        <v>0</v>
      </c>
      <c r="C118" t="e">
        <f>samples!#REF!</f>
        <v>#REF!</v>
      </c>
      <c r="D118">
        <f>IFERROR(SEARCH(search!$B$6,samples!#REF!,1),0)</f>
        <v>0</v>
      </c>
      <c r="E118" t="e">
        <f>IF(samples!#REF!=0,"",samples!#REF!)</f>
        <v>#REF!</v>
      </c>
      <c r="F118">
        <f>IFERROR(SEARCH(search!$B$6,samples!#REF!,1),0)</f>
        <v>0</v>
      </c>
      <c r="G118" t="e">
        <f>IF(samples!#REF!=0,"",samples!#REF!)</f>
        <v>#REF!</v>
      </c>
      <c r="H118">
        <f>IFERROR(SEARCH(search!$B$6,samples!#REF!,1),0)</f>
        <v>0</v>
      </c>
      <c r="I118" t="e">
        <f>IF(samples!#REF!=0,"",samples!#REF!)</f>
        <v>#REF!</v>
      </c>
      <c r="J118">
        <f>IFERROR(SEARCH(search!$B$6,samples!#REF!,1),0)</f>
        <v>0</v>
      </c>
      <c r="K118" t="e">
        <f>IF(samples!#REF!=0,"",samples!#REF!)</f>
        <v>#REF!</v>
      </c>
      <c r="L118">
        <f>IFERROR(SEARCH(search!$B$6,samples!#REF!,1),0)</f>
        <v>0</v>
      </c>
      <c r="M118" t="e">
        <f>IF(samples!#REF!=0,"",samples!#REF!)</f>
        <v>#REF!</v>
      </c>
      <c r="N118">
        <f>IFERROR(SEARCH(search!$B$6,samples!#REF!,1),0)</f>
        <v>0</v>
      </c>
      <c r="O118" t="e">
        <f>IF(samples!#REF!=0,"",samples!#REF!)</f>
        <v>#REF!</v>
      </c>
      <c r="P118">
        <f>IFERROR(SEARCH(search!$B$6,samples!#REF!,1),0)</f>
        <v>0</v>
      </c>
      <c r="Q118" t="e">
        <f>IF(samples!#REF!=0,"",samples!#REF!)</f>
        <v>#REF!</v>
      </c>
      <c r="R118">
        <f>IFERROR(SEARCH(search!$B$6,samples!#REF!,1),0)</f>
        <v>0</v>
      </c>
      <c r="S118" t="e">
        <f>IF(samples!#REF!=0,"",samples!#REF!)</f>
        <v>#REF!</v>
      </c>
      <c r="T118">
        <f>IFERROR(SEARCH(search!$B$6,samples!#REF!,1),0)</f>
        <v>0</v>
      </c>
      <c r="U118" t="e">
        <f>IF(samples!#REF!=0,"",samples!#REF!)</f>
        <v>#REF!</v>
      </c>
      <c r="V118">
        <f>IFERROR(SEARCH(search!$B$6,samples!#REF!,1),0)</f>
        <v>0</v>
      </c>
      <c r="W118" t="e">
        <f>IF(samples!#REF!=0,"",samples!#REF!)</f>
        <v>#REF!</v>
      </c>
      <c r="X118">
        <f>IFERROR(SEARCH(search!$B$6,samples!#REF!,1),0)</f>
        <v>0</v>
      </c>
      <c r="Y118" t="e">
        <f>IF(samples!#REF!=0,"",samples!#REF!)</f>
        <v>#REF!</v>
      </c>
      <c r="Z118">
        <f>IFERROR(SEARCH(search!$B$6,samples!#REF!,1),0)</f>
        <v>0</v>
      </c>
      <c r="AA118" t="e">
        <f>IF(samples!#REF!=0,"",samples!#REF!)</f>
        <v>#REF!</v>
      </c>
      <c r="AB118">
        <f>IFERROR(SEARCH(search!$B$6,samples!#REF!,1),0)</f>
        <v>0</v>
      </c>
      <c r="AC118" t="e">
        <f>IF(samples!#REF!=0,"",samples!#REF!)</f>
        <v>#REF!</v>
      </c>
      <c r="AD118">
        <f>IFERROR(SEARCH(search!$B$6,samples!#REF!,1),0)</f>
        <v>0</v>
      </c>
    </row>
    <row r="119" spans="1:30">
      <c r="A119">
        <f t="shared" si="1"/>
        <v>0</v>
      </c>
      <c r="B119">
        <f>IF(SUM(D119,F119,H119,J119,L119,N119,P119,R119,T119,V119,X119,Z119,AB119,AD119)&gt;0,SUM($A$2:A119),0)</f>
        <v>0</v>
      </c>
      <c r="C119" t="e">
        <f>samples!#REF!</f>
        <v>#REF!</v>
      </c>
      <c r="D119">
        <f>IFERROR(SEARCH(search!$B$6,samples!#REF!,1),0)</f>
        <v>0</v>
      </c>
      <c r="E119" t="e">
        <f>IF(samples!#REF!=0,"",samples!#REF!)</f>
        <v>#REF!</v>
      </c>
      <c r="F119">
        <f>IFERROR(SEARCH(search!$B$6,samples!#REF!,1),0)</f>
        <v>0</v>
      </c>
      <c r="G119" t="e">
        <f>IF(samples!#REF!=0,"",samples!#REF!)</f>
        <v>#REF!</v>
      </c>
      <c r="H119">
        <f>IFERROR(SEARCH(search!$B$6,samples!#REF!,1),0)</f>
        <v>0</v>
      </c>
      <c r="I119" t="e">
        <f>IF(samples!#REF!=0,"",samples!#REF!)</f>
        <v>#REF!</v>
      </c>
      <c r="J119">
        <f>IFERROR(SEARCH(search!$B$6,samples!#REF!,1),0)</f>
        <v>0</v>
      </c>
      <c r="K119" t="e">
        <f>IF(samples!#REF!=0,"",samples!#REF!)</f>
        <v>#REF!</v>
      </c>
      <c r="L119">
        <f>IFERROR(SEARCH(search!$B$6,samples!#REF!,1),0)</f>
        <v>0</v>
      </c>
      <c r="M119" t="e">
        <f>IF(samples!#REF!=0,"",samples!#REF!)</f>
        <v>#REF!</v>
      </c>
      <c r="N119">
        <f>IFERROR(SEARCH(search!$B$6,samples!#REF!,1),0)</f>
        <v>0</v>
      </c>
      <c r="O119" t="e">
        <f>IF(samples!#REF!=0,"",samples!#REF!)</f>
        <v>#REF!</v>
      </c>
      <c r="P119">
        <f>IFERROR(SEARCH(search!$B$6,samples!#REF!,1),0)</f>
        <v>0</v>
      </c>
      <c r="Q119" t="e">
        <f>IF(samples!#REF!=0,"",samples!#REF!)</f>
        <v>#REF!</v>
      </c>
      <c r="R119">
        <f>IFERROR(SEARCH(search!$B$6,samples!#REF!,1),0)</f>
        <v>0</v>
      </c>
      <c r="S119" t="e">
        <f>IF(samples!#REF!=0,"",samples!#REF!)</f>
        <v>#REF!</v>
      </c>
      <c r="T119">
        <f>IFERROR(SEARCH(search!$B$6,samples!#REF!,1),0)</f>
        <v>0</v>
      </c>
      <c r="U119" t="e">
        <f>IF(samples!#REF!=0,"",samples!#REF!)</f>
        <v>#REF!</v>
      </c>
      <c r="V119">
        <f>IFERROR(SEARCH(search!$B$6,samples!#REF!,1),0)</f>
        <v>0</v>
      </c>
      <c r="W119" t="e">
        <f>IF(samples!#REF!=0,"",samples!#REF!)</f>
        <v>#REF!</v>
      </c>
      <c r="X119">
        <f>IFERROR(SEARCH(search!$B$6,samples!#REF!,1),0)</f>
        <v>0</v>
      </c>
      <c r="Y119" t="e">
        <f>IF(samples!#REF!=0,"",samples!#REF!)</f>
        <v>#REF!</v>
      </c>
      <c r="Z119">
        <f>IFERROR(SEARCH(search!$B$6,samples!#REF!,1),0)</f>
        <v>0</v>
      </c>
      <c r="AA119" t="e">
        <f>IF(samples!#REF!=0,"",samples!#REF!)</f>
        <v>#REF!</v>
      </c>
      <c r="AB119">
        <f>IFERROR(SEARCH(search!$B$6,samples!#REF!,1),0)</f>
        <v>0</v>
      </c>
      <c r="AC119" t="e">
        <f>IF(samples!#REF!=0,"",samples!#REF!)</f>
        <v>#REF!</v>
      </c>
      <c r="AD119">
        <f>IFERROR(SEARCH(search!$B$6,samples!#REF!,1),0)</f>
        <v>0</v>
      </c>
    </row>
    <row r="120" spans="1:30">
      <c r="A120">
        <f t="shared" si="1"/>
        <v>0</v>
      </c>
      <c r="B120">
        <f>IF(SUM(D120,F120,H120,J120,L120,N120,P120,R120,T120,V120,X120,Z120,AB120,AD120)&gt;0,SUM($A$2:A120),0)</f>
        <v>0</v>
      </c>
      <c r="C120" t="e">
        <f>samples!#REF!</f>
        <v>#REF!</v>
      </c>
      <c r="D120">
        <f>IFERROR(SEARCH(search!$B$6,samples!#REF!,1),0)</f>
        <v>0</v>
      </c>
      <c r="E120" t="e">
        <f>IF(samples!#REF!=0,"",samples!#REF!)</f>
        <v>#REF!</v>
      </c>
      <c r="F120">
        <f>IFERROR(SEARCH(search!$B$6,samples!#REF!,1),0)</f>
        <v>0</v>
      </c>
      <c r="G120" t="e">
        <f>IF(samples!#REF!=0,"",samples!#REF!)</f>
        <v>#REF!</v>
      </c>
      <c r="H120">
        <f>IFERROR(SEARCH(search!$B$6,samples!#REF!,1),0)</f>
        <v>0</v>
      </c>
      <c r="I120" t="e">
        <f>IF(samples!#REF!=0,"",samples!#REF!)</f>
        <v>#REF!</v>
      </c>
      <c r="J120">
        <f>IFERROR(SEARCH(search!$B$6,samples!#REF!,1),0)</f>
        <v>0</v>
      </c>
      <c r="K120" t="e">
        <f>IF(samples!#REF!=0,"",samples!#REF!)</f>
        <v>#REF!</v>
      </c>
      <c r="L120">
        <f>IFERROR(SEARCH(search!$B$6,samples!#REF!,1),0)</f>
        <v>0</v>
      </c>
      <c r="M120" t="e">
        <f>IF(samples!#REF!=0,"",samples!#REF!)</f>
        <v>#REF!</v>
      </c>
      <c r="N120">
        <f>IFERROR(SEARCH(search!$B$6,samples!#REF!,1),0)</f>
        <v>0</v>
      </c>
      <c r="O120" t="e">
        <f>IF(samples!#REF!=0,"",samples!#REF!)</f>
        <v>#REF!</v>
      </c>
      <c r="P120">
        <f>IFERROR(SEARCH(search!$B$6,samples!#REF!,1),0)</f>
        <v>0</v>
      </c>
      <c r="Q120" t="e">
        <f>IF(samples!#REF!=0,"",samples!#REF!)</f>
        <v>#REF!</v>
      </c>
      <c r="R120">
        <f>IFERROR(SEARCH(search!$B$6,samples!#REF!,1),0)</f>
        <v>0</v>
      </c>
      <c r="S120" t="e">
        <f>IF(samples!#REF!=0,"",samples!#REF!)</f>
        <v>#REF!</v>
      </c>
      <c r="T120">
        <f>IFERROR(SEARCH(search!$B$6,samples!#REF!,1),0)</f>
        <v>0</v>
      </c>
      <c r="U120" t="e">
        <f>IF(samples!#REF!=0,"",samples!#REF!)</f>
        <v>#REF!</v>
      </c>
      <c r="V120">
        <f>IFERROR(SEARCH(search!$B$6,samples!#REF!,1),0)</f>
        <v>0</v>
      </c>
      <c r="W120" t="e">
        <f>IF(samples!#REF!=0,"",samples!#REF!)</f>
        <v>#REF!</v>
      </c>
      <c r="X120">
        <f>IFERROR(SEARCH(search!$B$6,samples!#REF!,1),0)</f>
        <v>0</v>
      </c>
      <c r="Y120" t="e">
        <f>IF(samples!#REF!=0,"",samples!#REF!)</f>
        <v>#REF!</v>
      </c>
      <c r="Z120">
        <f>IFERROR(SEARCH(search!$B$6,samples!#REF!,1),0)</f>
        <v>0</v>
      </c>
      <c r="AA120" t="e">
        <f>IF(samples!#REF!=0,"",samples!#REF!)</f>
        <v>#REF!</v>
      </c>
      <c r="AB120">
        <f>IFERROR(SEARCH(search!$B$6,samples!#REF!,1),0)</f>
        <v>0</v>
      </c>
      <c r="AC120" t="e">
        <f>IF(samples!#REF!=0,"",samples!#REF!)</f>
        <v>#REF!</v>
      </c>
      <c r="AD120">
        <f>IFERROR(SEARCH(search!$B$6,samples!#REF!,1),0)</f>
        <v>0</v>
      </c>
    </row>
    <row r="121" spans="1:30">
      <c r="A121">
        <f t="shared" si="1"/>
        <v>0</v>
      </c>
      <c r="B121">
        <f>IF(SUM(D121,F121,H121,J121,L121,N121,P121,R121,T121,V121,X121,Z121,AB121,AD121)&gt;0,SUM($A$2:A121),0)</f>
        <v>0</v>
      </c>
      <c r="C121" t="e">
        <f>samples!#REF!</f>
        <v>#REF!</v>
      </c>
      <c r="D121">
        <f>IFERROR(SEARCH(search!$B$6,samples!#REF!,1),0)</f>
        <v>0</v>
      </c>
      <c r="E121" t="e">
        <f>IF(samples!#REF!=0,"",samples!#REF!)</f>
        <v>#REF!</v>
      </c>
      <c r="F121">
        <f>IFERROR(SEARCH(search!$B$6,samples!#REF!,1),0)</f>
        <v>0</v>
      </c>
      <c r="G121" t="e">
        <f>IF(samples!#REF!=0,"",samples!#REF!)</f>
        <v>#REF!</v>
      </c>
      <c r="H121">
        <f>IFERROR(SEARCH(search!$B$6,samples!#REF!,1),0)</f>
        <v>0</v>
      </c>
      <c r="I121" t="e">
        <f>IF(samples!#REF!=0,"",samples!#REF!)</f>
        <v>#REF!</v>
      </c>
      <c r="J121">
        <f>IFERROR(SEARCH(search!$B$6,samples!#REF!,1),0)</f>
        <v>0</v>
      </c>
      <c r="K121" t="e">
        <f>IF(samples!#REF!=0,"",samples!#REF!)</f>
        <v>#REF!</v>
      </c>
      <c r="L121">
        <f>IFERROR(SEARCH(search!$B$6,samples!#REF!,1),0)</f>
        <v>0</v>
      </c>
      <c r="M121" t="e">
        <f>IF(samples!#REF!=0,"",samples!#REF!)</f>
        <v>#REF!</v>
      </c>
      <c r="N121">
        <f>IFERROR(SEARCH(search!$B$6,samples!#REF!,1),0)</f>
        <v>0</v>
      </c>
      <c r="O121" t="e">
        <f>IF(samples!#REF!=0,"",samples!#REF!)</f>
        <v>#REF!</v>
      </c>
      <c r="P121">
        <f>IFERROR(SEARCH(search!$B$6,samples!#REF!,1),0)</f>
        <v>0</v>
      </c>
      <c r="Q121" t="e">
        <f>IF(samples!#REF!=0,"",samples!#REF!)</f>
        <v>#REF!</v>
      </c>
      <c r="R121">
        <f>IFERROR(SEARCH(search!$B$6,samples!#REF!,1),0)</f>
        <v>0</v>
      </c>
      <c r="S121" t="e">
        <f>IF(samples!#REF!=0,"",samples!#REF!)</f>
        <v>#REF!</v>
      </c>
      <c r="T121">
        <f>IFERROR(SEARCH(search!$B$6,samples!#REF!,1),0)</f>
        <v>0</v>
      </c>
      <c r="U121" t="e">
        <f>IF(samples!#REF!=0,"",samples!#REF!)</f>
        <v>#REF!</v>
      </c>
      <c r="V121">
        <f>IFERROR(SEARCH(search!$B$6,samples!#REF!,1),0)</f>
        <v>0</v>
      </c>
      <c r="W121" t="e">
        <f>IF(samples!#REF!=0,"",samples!#REF!)</f>
        <v>#REF!</v>
      </c>
      <c r="X121">
        <f>IFERROR(SEARCH(search!$B$6,samples!#REF!,1),0)</f>
        <v>0</v>
      </c>
      <c r="Y121" t="e">
        <f>IF(samples!#REF!=0,"",samples!#REF!)</f>
        <v>#REF!</v>
      </c>
      <c r="Z121">
        <f>IFERROR(SEARCH(search!$B$6,samples!#REF!,1),0)</f>
        <v>0</v>
      </c>
      <c r="AA121" t="e">
        <f>IF(samples!#REF!=0,"",samples!#REF!)</f>
        <v>#REF!</v>
      </c>
      <c r="AB121">
        <f>IFERROR(SEARCH(search!$B$6,samples!#REF!,1),0)</f>
        <v>0</v>
      </c>
      <c r="AC121" t="e">
        <f>IF(samples!#REF!=0,"",samples!#REF!)</f>
        <v>#REF!</v>
      </c>
      <c r="AD121">
        <f>IFERROR(SEARCH(search!$B$6,samples!#REF!,1),0)</f>
        <v>0</v>
      </c>
    </row>
    <row r="122" spans="1:30">
      <c r="A122">
        <f t="shared" si="1"/>
        <v>0</v>
      </c>
      <c r="B122">
        <f>IF(SUM(D122,F122,H122,J122,L122,N122,P122,R122,T122,V122,X122,Z122,AB122,AD122)&gt;0,SUM($A$2:A122),0)</f>
        <v>0</v>
      </c>
      <c r="C122" t="e">
        <f>samples!#REF!</f>
        <v>#REF!</v>
      </c>
      <c r="D122">
        <f>IFERROR(SEARCH(search!$B$6,samples!#REF!,1),0)</f>
        <v>0</v>
      </c>
      <c r="E122" t="e">
        <f>IF(samples!#REF!=0,"",samples!#REF!)</f>
        <v>#REF!</v>
      </c>
      <c r="F122">
        <f>IFERROR(SEARCH(search!$B$6,samples!#REF!,1),0)</f>
        <v>0</v>
      </c>
      <c r="G122" t="e">
        <f>IF(samples!#REF!=0,"",samples!#REF!)</f>
        <v>#REF!</v>
      </c>
      <c r="H122">
        <f>IFERROR(SEARCH(search!$B$6,samples!#REF!,1),0)</f>
        <v>0</v>
      </c>
      <c r="I122" t="e">
        <f>IF(samples!#REF!=0,"",samples!#REF!)</f>
        <v>#REF!</v>
      </c>
      <c r="J122">
        <f>IFERROR(SEARCH(search!$B$6,samples!#REF!,1),0)</f>
        <v>0</v>
      </c>
      <c r="K122" t="e">
        <f>IF(samples!#REF!=0,"",samples!#REF!)</f>
        <v>#REF!</v>
      </c>
      <c r="L122">
        <f>IFERROR(SEARCH(search!$B$6,samples!#REF!,1),0)</f>
        <v>0</v>
      </c>
      <c r="M122" t="e">
        <f>IF(samples!#REF!=0,"",samples!#REF!)</f>
        <v>#REF!</v>
      </c>
      <c r="N122">
        <f>IFERROR(SEARCH(search!$B$6,samples!#REF!,1),0)</f>
        <v>0</v>
      </c>
      <c r="O122" t="e">
        <f>IF(samples!#REF!=0,"",samples!#REF!)</f>
        <v>#REF!</v>
      </c>
      <c r="P122">
        <f>IFERROR(SEARCH(search!$B$6,samples!#REF!,1),0)</f>
        <v>0</v>
      </c>
      <c r="Q122" t="e">
        <f>IF(samples!#REF!=0,"",samples!#REF!)</f>
        <v>#REF!</v>
      </c>
      <c r="R122">
        <f>IFERROR(SEARCH(search!$B$6,samples!#REF!,1),0)</f>
        <v>0</v>
      </c>
      <c r="S122" t="e">
        <f>IF(samples!#REF!=0,"",samples!#REF!)</f>
        <v>#REF!</v>
      </c>
      <c r="T122">
        <f>IFERROR(SEARCH(search!$B$6,samples!#REF!,1),0)</f>
        <v>0</v>
      </c>
      <c r="U122" t="e">
        <f>IF(samples!#REF!=0,"",samples!#REF!)</f>
        <v>#REF!</v>
      </c>
      <c r="V122">
        <f>IFERROR(SEARCH(search!$B$6,samples!#REF!,1),0)</f>
        <v>0</v>
      </c>
      <c r="W122" t="e">
        <f>IF(samples!#REF!=0,"",samples!#REF!)</f>
        <v>#REF!</v>
      </c>
      <c r="X122">
        <f>IFERROR(SEARCH(search!$B$6,samples!#REF!,1),0)</f>
        <v>0</v>
      </c>
      <c r="Y122" t="e">
        <f>IF(samples!#REF!=0,"",samples!#REF!)</f>
        <v>#REF!</v>
      </c>
      <c r="Z122">
        <f>IFERROR(SEARCH(search!$B$6,samples!#REF!,1),0)</f>
        <v>0</v>
      </c>
      <c r="AA122" t="e">
        <f>IF(samples!#REF!=0,"",samples!#REF!)</f>
        <v>#REF!</v>
      </c>
      <c r="AB122">
        <f>IFERROR(SEARCH(search!$B$6,samples!#REF!,1),0)</f>
        <v>0</v>
      </c>
      <c r="AC122" t="e">
        <f>IF(samples!#REF!=0,"",samples!#REF!)</f>
        <v>#REF!</v>
      </c>
      <c r="AD122">
        <f>IFERROR(SEARCH(search!$B$6,samples!#REF!,1),0)</f>
        <v>0</v>
      </c>
    </row>
    <row r="123" spans="1:30">
      <c r="A123">
        <f t="shared" si="1"/>
        <v>0</v>
      </c>
      <c r="B123">
        <f>IF(SUM(D123,F123,H123,J123,L123,N123,P123,R123,T123,V123,X123,Z123,AB123,AD123)&gt;0,SUM($A$2:A123),0)</f>
        <v>0</v>
      </c>
      <c r="C123" t="e">
        <f>samples!#REF!</f>
        <v>#REF!</v>
      </c>
      <c r="D123">
        <f>IFERROR(SEARCH(search!$B$6,samples!#REF!,1),0)</f>
        <v>0</v>
      </c>
      <c r="E123" t="e">
        <f>IF(samples!#REF!=0,"",samples!#REF!)</f>
        <v>#REF!</v>
      </c>
      <c r="F123">
        <f>IFERROR(SEARCH(search!$B$6,samples!#REF!,1),0)</f>
        <v>0</v>
      </c>
      <c r="G123" t="e">
        <f>IF(samples!#REF!=0,"",samples!#REF!)</f>
        <v>#REF!</v>
      </c>
      <c r="H123">
        <f>IFERROR(SEARCH(search!$B$6,samples!#REF!,1),0)</f>
        <v>0</v>
      </c>
      <c r="I123" t="e">
        <f>IF(samples!#REF!=0,"",samples!#REF!)</f>
        <v>#REF!</v>
      </c>
      <c r="J123">
        <f>IFERROR(SEARCH(search!$B$6,samples!#REF!,1),0)</f>
        <v>0</v>
      </c>
      <c r="K123" t="e">
        <f>IF(samples!#REF!=0,"",samples!#REF!)</f>
        <v>#REF!</v>
      </c>
      <c r="L123">
        <f>IFERROR(SEARCH(search!$B$6,samples!#REF!,1),0)</f>
        <v>0</v>
      </c>
      <c r="M123" t="e">
        <f>IF(samples!#REF!=0,"",samples!#REF!)</f>
        <v>#REF!</v>
      </c>
      <c r="N123">
        <f>IFERROR(SEARCH(search!$B$6,samples!#REF!,1),0)</f>
        <v>0</v>
      </c>
      <c r="O123" t="e">
        <f>IF(samples!#REF!=0,"",samples!#REF!)</f>
        <v>#REF!</v>
      </c>
      <c r="P123">
        <f>IFERROR(SEARCH(search!$B$6,samples!#REF!,1),0)</f>
        <v>0</v>
      </c>
      <c r="Q123" t="e">
        <f>IF(samples!#REF!=0,"",samples!#REF!)</f>
        <v>#REF!</v>
      </c>
      <c r="R123">
        <f>IFERROR(SEARCH(search!$B$6,samples!#REF!,1),0)</f>
        <v>0</v>
      </c>
      <c r="S123" t="e">
        <f>IF(samples!#REF!=0,"",samples!#REF!)</f>
        <v>#REF!</v>
      </c>
      <c r="T123">
        <f>IFERROR(SEARCH(search!$B$6,samples!#REF!,1),0)</f>
        <v>0</v>
      </c>
      <c r="U123" t="e">
        <f>IF(samples!#REF!=0,"",samples!#REF!)</f>
        <v>#REF!</v>
      </c>
      <c r="V123">
        <f>IFERROR(SEARCH(search!$B$6,samples!#REF!,1),0)</f>
        <v>0</v>
      </c>
      <c r="W123" t="e">
        <f>IF(samples!#REF!=0,"",samples!#REF!)</f>
        <v>#REF!</v>
      </c>
      <c r="X123">
        <f>IFERROR(SEARCH(search!$B$6,samples!#REF!,1),0)</f>
        <v>0</v>
      </c>
      <c r="Y123" t="e">
        <f>IF(samples!#REF!=0,"",samples!#REF!)</f>
        <v>#REF!</v>
      </c>
      <c r="Z123">
        <f>IFERROR(SEARCH(search!$B$6,samples!#REF!,1),0)</f>
        <v>0</v>
      </c>
      <c r="AA123" t="e">
        <f>IF(samples!#REF!=0,"",samples!#REF!)</f>
        <v>#REF!</v>
      </c>
      <c r="AB123">
        <f>IFERROR(SEARCH(search!$B$6,samples!#REF!,1),0)</f>
        <v>0</v>
      </c>
      <c r="AC123" t="e">
        <f>IF(samples!#REF!=0,"",samples!#REF!)</f>
        <v>#REF!</v>
      </c>
      <c r="AD123">
        <f>IFERROR(SEARCH(search!$B$6,samples!#REF!,1),0)</f>
        <v>0</v>
      </c>
    </row>
    <row r="124" spans="1:30">
      <c r="A124">
        <f t="shared" si="1"/>
        <v>0</v>
      </c>
      <c r="B124">
        <f>IF(SUM(D124,F124,H124,J124,L124,N124,P124,R124,T124,V124,X124,Z124,AB124,AD124)&gt;0,SUM($A$2:A124),0)</f>
        <v>0</v>
      </c>
      <c r="C124" t="e">
        <f>samples!#REF!</f>
        <v>#REF!</v>
      </c>
      <c r="D124">
        <f>IFERROR(SEARCH(search!$B$6,samples!#REF!,1),0)</f>
        <v>0</v>
      </c>
      <c r="E124" t="e">
        <f>IF(samples!#REF!=0,"",samples!#REF!)</f>
        <v>#REF!</v>
      </c>
      <c r="F124">
        <f>IFERROR(SEARCH(search!$B$6,samples!#REF!,1),0)</f>
        <v>0</v>
      </c>
      <c r="G124" t="e">
        <f>IF(samples!#REF!=0,"",samples!#REF!)</f>
        <v>#REF!</v>
      </c>
      <c r="H124">
        <f>IFERROR(SEARCH(search!$B$6,samples!#REF!,1),0)</f>
        <v>0</v>
      </c>
      <c r="I124" t="e">
        <f>IF(samples!#REF!=0,"",samples!#REF!)</f>
        <v>#REF!</v>
      </c>
      <c r="J124">
        <f>IFERROR(SEARCH(search!$B$6,samples!#REF!,1),0)</f>
        <v>0</v>
      </c>
      <c r="K124" t="e">
        <f>IF(samples!#REF!=0,"",samples!#REF!)</f>
        <v>#REF!</v>
      </c>
      <c r="L124">
        <f>IFERROR(SEARCH(search!$B$6,samples!#REF!,1),0)</f>
        <v>0</v>
      </c>
      <c r="M124" t="e">
        <f>IF(samples!#REF!=0,"",samples!#REF!)</f>
        <v>#REF!</v>
      </c>
      <c r="N124">
        <f>IFERROR(SEARCH(search!$B$6,samples!#REF!,1),0)</f>
        <v>0</v>
      </c>
      <c r="O124" t="e">
        <f>IF(samples!#REF!=0,"",samples!#REF!)</f>
        <v>#REF!</v>
      </c>
      <c r="P124">
        <f>IFERROR(SEARCH(search!$B$6,samples!#REF!,1),0)</f>
        <v>0</v>
      </c>
      <c r="Q124" t="e">
        <f>IF(samples!#REF!=0,"",samples!#REF!)</f>
        <v>#REF!</v>
      </c>
      <c r="R124">
        <f>IFERROR(SEARCH(search!$B$6,samples!#REF!,1),0)</f>
        <v>0</v>
      </c>
      <c r="S124" t="e">
        <f>IF(samples!#REF!=0,"",samples!#REF!)</f>
        <v>#REF!</v>
      </c>
      <c r="T124">
        <f>IFERROR(SEARCH(search!$B$6,samples!#REF!,1),0)</f>
        <v>0</v>
      </c>
      <c r="U124" t="e">
        <f>IF(samples!#REF!=0,"",samples!#REF!)</f>
        <v>#REF!</v>
      </c>
      <c r="V124">
        <f>IFERROR(SEARCH(search!$B$6,samples!#REF!,1),0)</f>
        <v>0</v>
      </c>
      <c r="W124" t="e">
        <f>IF(samples!#REF!=0,"",samples!#REF!)</f>
        <v>#REF!</v>
      </c>
      <c r="X124">
        <f>IFERROR(SEARCH(search!$B$6,samples!#REF!,1),0)</f>
        <v>0</v>
      </c>
      <c r="Y124" t="e">
        <f>IF(samples!#REF!=0,"",samples!#REF!)</f>
        <v>#REF!</v>
      </c>
      <c r="Z124">
        <f>IFERROR(SEARCH(search!$B$6,samples!#REF!,1),0)</f>
        <v>0</v>
      </c>
      <c r="AA124" t="e">
        <f>IF(samples!#REF!=0,"",samples!#REF!)</f>
        <v>#REF!</v>
      </c>
      <c r="AB124">
        <f>IFERROR(SEARCH(search!$B$6,samples!#REF!,1),0)</f>
        <v>0</v>
      </c>
      <c r="AC124" t="e">
        <f>IF(samples!#REF!=0,"",samples!#REF!)</f>
        <v>#REF!</v>
      </c>
      <c r="AD124">
        <f>IFERROR(SEARCH(search!$B$6,samples!#REF!,1),0)</f>
        <v>0</v>
      </c>
    </row>
    <row r="125" spans="1:30">
      <c r="A125">
        <f t="shared" si="1"/>
        <v>0</v>
      </c>
      <c r="B125">
        <f>IF(SUM(D125,F125,H125,J125,L125,N125,P125,R125,T125,V125,X125,Z125,AB125,AD125)&gt;0,SUM($A$2:A125),0)</f>
        <v>0</v>
      </c>
      <c r="C125" t="e">
        <f>samples!#REF!</f>
        <v>#REF!</v>
      </c>
      <c r="D125">
        <f>IFERROR(SEARCH(search!$B$6,samples!#REF!,1),0)</f>
        <v>0</v>
      </c>
      <c r="E125" t="e">
        <f>IF(samples!#REF!=0,"",samples!#REF!)</f>
        <v>#REF!</v>
      </c>
      <c r="F125">
        <f>IFERROR(SEARCH(search!$B$6,samples!#REF!,1),0)</f>
        <v>0</v>
      </c>
      <c r="G125" t="e">
        <f>IF(samples!#REF!=0,"",samples!#REF!)</f>
        <v>#REF!</v>
      </c>
      <c r="H125">
        <f>IFERROR(SEARCH(search!$B$6,samples!#REF!,1),0)</f>
        <v>0</v>
      </c>
      <c r="I125" t="e">
        <f>IF(samples!#REF!=0,"",samples!#REF!)</f>
        <v>#REF!</v>
      </c>
      <c r="J125">
        <f>IFERROR(SEARCH(search!$B$6,samples!#REF!,1),0)</f>
        <v>0</v>
      </c>
      <c r="K125" t="e">
        <f>IF(samples!#REF!=0,"",samples!#REF!)</f>
        <v>#REF!</v>
      </c>
      <c r="L125">
        <f>IFERROR(SEARCH(search!$B$6,samples!#REF!,1),0)</f>
        <v>0</v>
      </c>
      <c r="M125" t="e">
        <f>IF(samples!#REF!=0,"",samples!#REF!)</f>
        <v>#REF!</v>
      </c>
      <c r="N125">
        <f>IFERROR(SEARCH(search!$B$6,samples!#REF!,1),0)</f>
        <v>0</v>
      </c>
      <c r="O125" t="e">
        <f>IF(samples!#REF!=0,"",samples!#REF!)</f>
        <v>#REF!</v>
      </c>
      <c r="P125">
        <f>IFERROR(SEARCH(search!$B$6,samples!#REF!,1),0)</f>
        <v>0</v>
      </c>
      <c r="Q125" t="e">
        <f>IF(samples!#REF!=0,"",samples!#REF!)</f>
        <v>#REF!</v>
      </c>
      <c r="R125">
        <f>IFERROR(SEARCH(search!$B$6,samples!#REF!,1),0)</f>
        <v>0</v>
      </c>
      <c r="S125" t="e">
        <f>IF(samples!#REF!=0,"",samples!#REF!)</f>
        <v>#REF!</v>
      </c>
      <c r="T125">
        <f>IFERROR(SEARCH(search!$B$6,samples!#REF!,1),0)</f>
        <v>0</v>
      </c>
      <c r="U125" t="e">
        <f>IF(samples!#REF!=0,"",samples!#REF!)</f>
        <v>#REF!</v>
      </c>
      <c r="V125">
        <f>IFERROR(SEARCH(search!$B$6,samples!#REF!,1),0)</f>
        <v>0</v>
      </c>
      <c r="W125" t="e">
        <f>IF(samples!#REF!=0,"",samples!#REF!)</f>
        <v>#REF!</v>
      </c>
      <c r="X125">
        <f>IFERROR(SEARCH(search!$B$6,samples!#REF!,1),0)</f>
        <v>0</v>
      </c>
      <c r="Y125" t="e">
        <f>IF(samples!#REF!=0,"",samples!#REF!)</f>
        <v>#REF!</v>
      </c>
      <c r="Z125">
        <f>IFERROR(SEARCH(search!$B$6,samples!#REF!,1),0)</f>
        <v>0</v>
      </c>
      <c r="AA125" t="e">
        <f>IF(samples!#REF!=0,"",samples!#REF!)</f>
        <v>#REF!</v>
      </c>
      <c r="AB125">
        <f>IFERROR(SEARCH(search!$B$6,samples!#REF!,1),0)</f>
        <v>0</v>
      </c>
      <c r="AC125" t="e">
        <f>IF(samples!#REF!=0,"",samples!#REF!)</f>
        <v>#REF!</v>
      </c>
      <c r="AD125">
        <f>IFERROR(SEARCH(search!$B$6,samples!#REF!,1),0)</f>
        <v>0</v>
      </c>
    </row>
    <row r="126" spans="1:30">
      <c r="A126">
        <f t="shared" si="1"/>
        <v>0</v>
      </c>
      <c r="B126">
        <f>IF(SUM(D126,F126,H126,J126,L126,N126,P126,R126,T126,V126,X126,Z126,AB126,AD126)&gt;0,SUM($A$2:A126),0)</f>
        <v>0</v>
      </c>
      <c r="C126" t="e">
        <f>samples!#REF!</f>
        <v>#REF!</v>
      </c>
      <c r="D126">
        <f>IFERROR(SEARCH(search!$B$6,samples!#REF!,1),0)</f>
        <v>0</v>
      </c>
      <c r="E126" t="e">
        <f>IF(samples!#REF!=0,"",samples!#REF!)</f>
        <v>#REF!</v>
      </c>
      <c r="F126">
        <f>IFERROR(SEARCH(search!$B$6,samples!#REF!,1),0)</f>
        <v>0</v>
      </c>
      <c r="G126" t="e">
        <f>IF(samples!#REF!=0,"",samples!#REF!)</f>
        <v>#REF!</v>
      </c>
      <c r="H126">
        <f>IFERROR(SEARCH(search!$B$6,samples!#REF!,1),0)</f>
        <v>0</v>
      </c>
      <c r="I126" t="e">
        <f>IF(samples!#REF!=0,"",samples!#REF!)</f>
        <v>#REF!</v>
      </c>
      <c r="J126">
        <f>IFERROR(SEARCH(search!$B$6,samples!#REF!,1),0)</f>
        <v>0</v>
      </c>
      <c r="K126" t="e">
        <f>IF(samples!#REF!=0,"",samples!#REF!)</f>
        <v>#REF!</v>
      </c>
      <c r="L126">
        <f>IFERROR(SEARCH(search!$B$6,samples!#REF!,1),0)</f>
        <v>0</v>
      </c>
      <c r="M126" t="e">
        <f>IF(samples!#REF!=0,"",samples!#REF!)</f>
        <v>#REF!</v>
      </c>
      <c r="N126">
        <f>IFERROR(SEARCH(search!$B$6,samples!#REF!,1),0)</f>
        <v>0</v>
      </c>
      <c r="O126" t="e">
        <f>IF(samples!#REF!=0,"",samples!#REF!)</f>
        <v>#REF!</v>
      </c>
      <c r="P126">
        <f>IFERROR(SEARCH(search!$B$6,samples!#REF!,1),0)</f>
        <v>0</v>
      </c>
      <c r="Q126" t="e">
        <f>IF(samples!#REF!=0,"",samples!#REF!)</f>
        <v>#REF!</v>
      </c>
      <c r="R126">
        <f>IFERROR(SEARCH(search!$B$6,samples!#REF!,1),0)</f>
        <v>0</v>
      </c>
      <c r="S126" t="e">
        <f>IF(samples!#REF!=0,"",samples!#REF!)</f>
        <v>#REF!</v>
      </c>
      <c r="T126">
        <f>IFERROR(SEARCH(search!$B$6,samples!#REF!,1),0)</f>
        <v>0</v>
      </c>
      <c r="U126" t="e">
        <f>IF(samples!#REF!=0,"",samples!#REF!)</f>
        <v>#REF!</v>
      </c>
      <c r="V126">
        <f>IFERROR(SEARCH(search!$B$6,samples!#REF!,1),0)</f>
        <v>0</v>
      </c>
      <c r="W126" t="e">
        <f>IF(samples!#REF!=0,"",samples!#REF!)</f>
        <v>#REF!</v>
      </c>
      <c r="X126">
        <f>IFERROR(SEARCH(search!$B$6,samples!#REF!,1),0)</f>
        <v>0</v>
      </c>
      <c r="Y126" t="e">
        <f>IF(samples!#REF!=0,"",samples!#REF!)</f>
        <v>#REF!</v>
      </c>
      <c r="Z126">
        <f>IFERROR(SEARCH(search!$B$6,samples!#REF!,1),0)</f>
        <v>0</v>
      </c>
      <c r="AA126" t="e">
        <f>IF(samples!#REF!=0,"",samples!#REF!)</f>
        <v>#REF!</v>
      </c>
      <c r="AB126">
        <f>IFERROR(SEARCH(search!$B$6,samples!#REF!,1),0)</f>
        <v>0</v>
      </c>
      <c r="AC126" t="e">
        <f>IF(samples!#REF!=0,"",samples!#REF!)</f>
        <v>#REF!</v>
      </c>
      <c r="AD126">
        <f>IFERROR(SEARCH(search!$B$6,samples!#REF!,1),0)</f>
        <v>0</v>
      </c>
    </row>
    <row r="127" spans="1:30">
      <c r="A127">
        <f t="shared" si="1"/>
        <v>0</v>
      </c>
      <c r="B127">
        <f>IF(SUM(D127,F127,H127,J127,L127,N127,P127,R127,T127,V127,X127,Z127,AB127,AD127)&gt;0,SUM($A$2:A127),0)</f>
        <v>0</v>
      </c>
      <c r="C127" t="e">
        <f>samples!#REF!</f>
        <v>#REF!</v>
      </c>
      <c r="D127">
        <f>IFERROR(SEARCH(search!$B$6,samples!#REF!,1),0)</f>
        <v>0</v>
      </c>
      <c r="E127" t="e">
        <f>IF(samples!#REF!=0,"",samples!#REF!)</f>
        <v>#REF!</v>
      </c>
      <c r="F127">
        <f>IFERROR(SEARCH(search!$B$6,samples!#REF!,1),0)</f>
        <v>0</v>
      </c>
      <c r="G127" t="e">
        <f>IF(samples!#REF!=0,"",samples!#REF!)</f>
        <v>#REF!</v>
      </c>
      <c r="H127">
        <f>IFERROR(SEARCH(search!$B$6,samples!#REF!,1),0)</f>
        <v>0</v>
      </c>
      <c r="I127" t="e">
        <f>IF(samples!#REF!=0,"",samples!#REF!)</f>
        <v>#REF!</v>
      </c>
      <c r="J127">
        <f>IFERROR(SEARCH(search!$B$6,samples!#REF!,1),0)</f>
        <v>0</v>
      </c>
      <c r="K127" t="e">
        <f>IF(samples!#REF!=0,"",samples!#REF!)</f>
        <v>#REF!</v>
      </c>
      <c r="L127">
        <f>IFERROR(SEARCH(search!$B$6,samples!#REF!,1),0)</f>
        <v>0</v>
      </c>
      <c r="M127" t="e">
        <f>IF(samples!#REF!=0,"",samples!#REF!)</f>
        <v>#REF!</v>
      </c>
      <c r="N127">
        <f>IFERROR(SEARCH(search!$B$6,samples!#REF!,1),0)</f>
        <v>0</v>
      </c>
      <c r="O127" t="e">
        <f>IF(samples!#REF!=0,"",samples!#REF!)</f>
        <v>#REF!</v>
      </c>
      <c r="P127">
        <f>IFERROR(SEARCH(search!$B$6,samples!#REF!,1),0)</f>
        <v>0</v>
      </c>
      <c r="Q127" t="e">
        <f>IF(samples!#REF!=0,"",samples!#REF!)</f>
        <v>#REF!</v>
      </c>
      <c r="R127">
        <f>IFERROR(SEARCH(search!$B$6,samples!#REF!,1),0)</f>
        <v>0</v>
      </c>
      <c r="S127" t="e">
        <f>IF(samples!#REF!=0,"",samples!#REF!)</f>
        <v>#REF!</v>
      </c>
      <c r="T127">
        <f>IFERROR(SEARCH(search!$B$6,samples!#REF!,1),0)</f>
        <v>0</v>
      </c>
      <c r="U127" t="e">
        <f>IF(samples!#REF!=0,"",samples!#REF!)</f>
        <v>#REF!</v>
      </c>
      <c r="V127">
        <f>IFERROR(SEARCH(search!$B$6,samples!#REF!,1),0)</f>
        <v>0</v>
      </c>
      <c r="W127" t="e">
        <f>IF(samples!#REF!=0,"",samples!#REF!)</f>
        <v>#REF!</v>
      </c>
      <c r="X127">
        <f>IFERROR(SEARCH(search!$B$6,samples!#REF!,1),0)</f>
        <v>0</v>
      </c>
      <c r="Y127" t="e">
        <f>IF(samples!#REF!=0,"",samples!#REF!)</f>
        <v>#REF!</v>
      </c>
      <c r="Z127">
        <f>IFERROR(SEARCH(search!$B$6,samples!#REF!,1),0)</f>
        <v>0</v>
      </c>
      <c r="AA127" t="e">
        <f>IF(samples!#REF!=0,"",samples!#REF!)</f>
        <v>#REF!</v>
      </c>
      <c r="AB127">
        <f>IFERROR(SEARCH(search!$B$6,samples!#REF!,1),0)</f>
        <v>0</v>
      </c>
      <c r="AC127" t="e">
        <f>IF(samples!#REF!=0,"",samples!#REF!)</f>
        <v>#REF!</v>
      </c>
      <c r="AD127">
        <f>IFERROR(SEARCH(search!$B$6,samples!#REF!,1),0)</f>
        <v>0</v>
      </c>
    </row>
    <row r="128" spans="1:30">
      <c r="A128">
        <f t="shared" si="1"/>
        <v>0</v>
      </c>
      <c r="B128">
        <f>IF(SUM(D128,F128,H128,J128,L128,N128,P128,R128,T128,V128,X128,Z128,AB128,AD128)&gt;0,SUM($A$2:A128),0)</f>
        <v>0</v>
      </c>
      <c r="C128" t="e">
        <f>samples!#REF!</f>
        <v>#REF!</v>
      </c>
      <c r="D128">
        <f>IFERROR(SEARCH(search!$B$6,samples!#REF!,1),0)</f>
        <v>0</v>
      </c>
      <c r="E128" t="e">
        <f>IF(samples!#REF!=0,"",samples!#REF!)</f>
        <v>#REF!</v>
      </c>
      <c r="F128">
        <f>IFERROR(SEARCH(search!$B$6,samples!#REF!,1),0)</f>
        <v>0</v>
      </c>
      <c r="G128" t="e">
        <f>IF(samples!#REF!=0,"",samples!#REF!)</f>
        <v>#REF!</v>
      </c>
      <c r="H128">
        <f>IFERROR(SEARCH(search!$B$6,samples!#REF!,1),0)</f>
        <v>0</v>
      </c>
      <c r="I128" t="e">
        <f>IF(samples!#REF!=0,"",samples!#REF!)</f>
        <v>#REF!</v>
      </c>
      <c r="J128">
        <f>IFERROR(SEARCH(search!$B$6,samples!#REF!,1),0)</f>
        <v>0</v>
      </c>
      <c r="K128" t="e">
        <f>IF(samples!#REF!=0,"",samples!#REF!)</f>
        <v>#REF!</v>
      </c>
      <c r="L128">
        <f>IFERROR(SEARCH(search!$B$6,samples!#REF!,1),0)</f>
        <v>0</v>
      </c>
      <c r="M128" t="e">
        <f>IF(samples!#REF!=0,"",samples!#REF!)</f>
        <v>#REF!</v>
      </c>
      <c r="N128">
        <f>IFERROR(SEARCH(search!$B$6,samples!#REF!,1),0)</f>
        <v>0</v>
      </c>
      <c r="O128" t="e">
        <f>IF(samples!#REF!=0,"",samples!#REF!)</f>
        <v>#REF!</v>
      </c>
      <c r="P128">
        <f>IFERROR(SEARCH(search!$B$6,samples!#REF!,1),0)</f>
        <v>0</v>
      </c>
      <c r="Q128" t="e">
        <f>IF(samples!#REF!=0,"",samples!#REF!)</f>
        <v>#REF!</v>
      </c>
      <c r="R128">
        <f>IFERROR(SEARCH(search!$B$6,samples!#REF!,1),0)</f>
        <v>0</v>
      </c>
      <c r="S128" t="e">
        <f>IF(samples!#REF!=0,"",samples!#REF!)</f>
        <v>#REF!</v>
      </c>
      <c r="T128">
        <f>IFERROR(SEARCH(search!$B$6,samples!#REF!,1),0)</f>
        <v>0</v>
      </c>
      <c r="U128" t="e">
        <f>IF(samples!#REF!=0,"",samples!#REF!)</f>
        <v>#REF!</v>
      </c>
      <c r="V128">
        <f>IFERROR(SEARCH(search!$B$6,samples!#REF!,1),0)</f>
        <v>0</v>
      </c>
      <c r="W128" t="e">
        <f>IF(samples!#REF!=0,"",samples!#REF!)</f>
        <v>#REF!</v>
      </c>
      <c r="X128">
        <f>IFERROR(SEARCH(search!$B$6,samples!#REF!,1),0)</f>
        <v>0</v>
      </c>
      <c r="Y128" t="e">
        <f>IF(samples!#REF!=0,"",samples!#REF!)</f>
        <v>#REF!</v>
      </c>
      <c r="Z128">
        <f>IFERROR(SEARCH(search!$B$6,samples!#REF!,1),0)</f>
        <v>0</v>
      </c>
      <c r="AA128" t="e">
        <f>IF(samples!#REF!=0,"",samples!#REF!)</f>
        <v>#REF!</v>
      </c>
      <c r="AB128">
        <f>IFERROR(SEARCH(search!$B$6,samples!#REF!,1),0)</f>
        <v>0</v>
      </c>
      <c r="AC128" t="e">
        <f>IF(samples!#REF!=0,"",samples!#REF!)</f>
        <v>#REF!</v>
      </c>
      <c r="AD128">
        <f>IFERROR(SEARCH(search!$B$6,samples!#REF!,1),0)</f>
        <v>0</v>
      </c>
    </row>
    <row r="129" spans="1:30">
      <c r="A129">
        <f t="shared" si="1"/>
        <v>0</v>
      </c>
      <c r="B129">
        <f>IF(SUM(D129,F129,H129,J129,L129,N129,P129,R129,T129,V129,X129,Z129,AB129,AD129)&gt;0,SUM($A$2:A129),0)</f>
        <v>0</v>
      </c>
      <c r="C129" t="e">
        <f>samples!#REF!</f>
        <v>#REF!</v>
      </c>
      <c r="D129">
        <f>IFERROR(SEARCH(search!$B$6,samples!#REF!,1),0)</f>
        <v>0</v>
      </c>
      <c r="E129" t="e">
        <f>IF(samples!#REF!=0,"",samples!#REF!)</f>
        <v>#REF!</v>
      </c>
      <c r="F129">
        <f>IFERROR(SEARCH(search!$B$6,samples!#REF!,1),0)</f>
        <v>0</v>
      </c>
      <c r="G129" t="e">
        <f>IF(samples!#REF!=0,"",samples!#REF!)</f>
        <v>#REF!</v>
      </c>
      <c r="H129">
        <f>IFERROR(SEARCH(search!$B$6,samples!#REF!,1),0)</f>
        <v>0</v>
      </c>
      <c r="I129" t="e">
        <f>IF(samples!#REF!=0,"",samples!#REF!)</f>
        <v>#REF!</v>
      </c>
      <c r="J129">
        <f>IFERROR(SEARCH(search!$B$6,samples!#REF!,1),0)</f>
        <v>0</v>
      </c>
      <c r="K129" t="e">
        <f>IF(samples!#REF!=0,"",samples!#REF!)</f>
        <v>#REF!</v>
      </c>
      <c r="L129">
        <f>IFERROR(SEARCH(search!$B$6,samples!#REF!,1),0)</f>
        <v>0</v>
      </c>
      <c r="M129" t="e">
        <f>IF(samples!#REF!=0,"",samples!#REF!)</f>
        <v>#REF!</v>
      </c>
      <c r="N129">
        <f>IFERROR(SEARCH(search!$B$6,samples!#REF!,1),0)</f>
        <v>0</v>
      </c>
      <c r="O129" t="e">
        <f>IF(samples!#REF!=0,"",samples!#REF!)</f>
        <v>#REF!</v>
      </c>
      <c r="P129">
        <f>IFERROR(SEARCH(search!$B$6,samples!#REF!,1),0)</f>
        <v>0</v>
      </c>
      <c r="Q129" t="e">
        <f>IF(samples!#REF!=0,"",samples!#REF!)</f>
        <v>#REF!</v>
      </c>
      <c r="R129">
        <f>IFERROR(SEARCH(search!$B$6,samples!#REF!,1),0)</f>
        <v>0</v>
      </c>
      <c r="S129" t="e">
        <f>IF(samples!#REF!=0,"",samples!#REF!)</f>
        <v>#REF!</v>
      </c>
      <c r="T129">
        <f>IFERROR(SEARCH(search!$B$6,samples!#REF!,1),0)</f>
        <v>0</v>
      </c>
      <c r="U129" t="e">
        <f>IF(samples!#REF!=0,"",samples!#REF!)</f>
        <v>#REF!</v>
      </c>
      <c r="V129">
        <f>IFERROR(SEARCH(search!$B$6,samples!#REF!,1),0)</f>
        <v>0</v>
      </c>
      <c r="W129" t="e">
        <f>IF(samples!#REF!=0,"",samples!#REF!)</f>
        <v>#REF!</v>
      </c>
      <c r="X129">
        <f>IFERROR(SEARCH(search!$B$6,samples!#REF!,1),0)</f>
        <v>0</v>
      </c>
      <c r="Y129" t="e">
        <f>IF(samples!#REF!=0,"",samples!#REF!)</f>
        <v>#REF!</v>
      </c>
      <c r="Z129">
        <f>IFERROR(SEARCH(search!$B$6,samples!#REF!,1),0)</f>
        <v>0</v>
      </c>
      <c r="AA129" t="e">
        <f>IF(samples!#REF!=0,"",samples!#REF!)</f>
        <v>#REF!</v>
      </c>
      <c r="AB129">
        <f>IFERROR(SEARCH(search!$B$6,samples!#REF!,1),0)</f>
        <v>0</v>
      </c>
      <c r="AC129" t="e">
        <f>IF(samples!#REF!=0,"",samples!#REF!)</f>
        <v>#REF!</v>
      </c>
      <c r="AD129">
        <f>IFERROR(SEARCH(search!$B$6,samples!#REF!,1),0)</f>
        <v>0</v>
      </c>
    </row>
    <row r="130" spans="1:30">
      <c r="A130">
        <f t="shared" si="1"/>
        <v>0</v>
      </c>
      <c r="B130">
        <f>IF(SUM(D130,F130,H130,J130,L130,N130,P130,R130,T130,V130,X130,Z130,AB130,AD130)&gt;0,SUM($A$2:A130),0)</f>
        <v>0</v>
      </c>
      <c r="C130" t="e">
        <f>samples!#REF!</f>
        <v>#REF!</v>
      </c>
      <c r="D130">
        <f>IFERROR(SEARCH(search!$B$6,samples!#REF!,1),0)</f>
        <v>0</v>
      </c>
      <c r="E130" t="e">
        <f>IF(samples!#REF!=0,"",samples!#REF!)</f>
        <v>#REF!</v>
      </c>
      <c r="F130">
        <f>IFERROR(SEARCH(search!$B$6,samples!#REF!,1),0)</f>
        <v>0</v>
      </c>
      <c r="G130" t="e">
        <f>IF(samples!#REF!=0,"",samples!#REF!)</f>
        <v>#REF!</v>
      </c>
      <c r="H130">
        <f>IFERROR(SEARCH(search!$B$6,samples!#REF!,1),0)</f>
        <v>0</v>
      </c>
      <c r="I130" t="e">
        <f>IF(samples!#REF!=0,"",samples!#REF!)</f>
        <v>#REF!</v>
      </c>
      <c r="J130">
        <f>IFERROR(SEARCH(search!$B$6,samples!#REF!,1),0)</f>
        <v>0</v>
      </c>
      <c r="K130" t="e">
        <f>IF(samples!#REF!=0,"",samples!#REF!)</f>
        <v>#REF!</v>
      </c>
      <c r="L130">
        <f>IFERROR(SEARCH(search!$B$6,samples!#REF!,1),0)</f>
        <v>0</v>
      </c>
      <c r="M130" t="e">
        <f>IF(samples!#REF!=0,"",samples!#REF!)</f>
        <v>#REF!</v>
      </c>
      <c r="N130">
        <f>IFERROR(SEARCH(search!$B$6,samples!#REF!,1),0)</f>
        <v>0</v>
      </c>
      <c r="O130" t="e">
        <f>IF(samples!#REF!=0,"",samples!#REF!)</f>
        <v>#REF!</v>
      </c>
      <c r="P130">
        <f>IFERROR(SEARCH(search!$B$6,samples!#REF!,1),0)</f>
        <v>0</v>
      </c>
      <c r="Q130" t="e">
        <f>IF(samples!#REF!=0,"",samples!#REF!)</f>
        <v>#REF!</v>
      </c>
      <c r="R130">
        <f>IFERROR(SEARCH(search!$B$6,samples!#REF!,1),0)</f>
        <v>0</v>
      </c>
      <c r="S130" t="e">
        <f>IF(samples!#REF!=0,"",samples!#REF!)</f>
        <v>#REF!</v>
      </c>
      <c r="T130">
        <f>IFERROR(SEARCH(search!$B$6,samples!#REF!,1),0)</f>
        <v>0</v>
      </c>
      <c r="U130" t="e">
        <f>IF(samples!#REF!=0,"",samples!#REF!)</f>
        <v>#REF!</v>
      </c>
      <c r="V130">
        <f>IFERROR(SEARCH(search!$B$6,samples!#REF!,1),0)</f>
        <v>0</v>
      </c>
      <c r="W130" t="e">
        <f>IF(samples!#REF!=0,"",samples!#REF!)</f>
        <v>#REF!</v>
      </c>
      <c r="X130">
        <f>IFERROR(SEARCH(search!$B$6,samples!#REF!,1),0)</f>
        <v>0</v>
      </c>
      <c r="Y130" t="e">
        <f>IF(samples!#REF!=0,"",samples!#REF!)</f>
        <v>#REF!</v>
      </c>
      <c r="Z130">
        <f>IFERROR(SEARCH(search!$B$6,samples!#REF!,1),0)</f>
        <v>0</v>
      </c>
      <c r="AA130" t="e">
        <f>IF(samples!#REF!=0,"",samples!#REF!)</f>
        <v>#REF!</v>
      </c>
      <c r="AB130">
        <f>IFERROR(SEARCH(search!$B$6,samples!#REF!,1),0)</f>
        <v>0</v>
      </c>
      <c r="AC130" t="e">
        <f>IF(samples!#REF!=0,"",samples!#REF!)</f>
        <v>#REF!</v>
      </c>
      <c r="AD130">
        <f>IFERROR(SEARCH(search!$B$6,samples!#REF!,1),0)</f>
        <v>0</v>
      </c>
    </row>
    <row r="131" spans="1:30">
      <c r="A131">
        <f t="shared" ref="A131:A194" si="2">IF(SUM(D131,F131,H131,J131,L131,N131,P131,R131,T131,V131,X131,Z131,AB131,AD131)&gt;0,1,0)</f>
        <v>0</v>
      </c>
      <c r="B131">
        <f>IF(SUM(D131,F131,H131,J131,L131,N131,P131,R131,T131,V131,X131,Z131,AB131,AD131)&gt;0,SUM($A$2:A131),0)</f>
        <v>0</v>
      </c>
      <c r="C131" t="e">
        <f>samples!#REF!</f>
        <v>#REF!</v>
      </c>
      <c r="D131">
        <f>IFERROR(SEARCH(search!$B$6,samples!#REF!,1),0)</f>
        <v>0</v>
      </c>
      <c r="E131" t="e">
        <f>IF(samples!#REF!=0,"",samples!#REF!)</f>
        <v>#REF!</v>
      </c>
      <c r="F131">
        <f>IFERROR(SEARCH(search!$B$6,samples!#REF!,1),0)</f>
        <v>0</v>
      </c>
      <c r="G131" t="e">
        <f>IF(samples!#REF!=0,"",samples!#REF!)</f>
        <v>#REF!</v>
      </c>
      <c r="H131">
        <f>IFERROR(SEARCH(search!$B$6,samples!#REF!,1),0)</f>
        <v>0</v>
      </c>
      <c r="I131" t="e">
        <f>IF(samples!#REF!=0,"",samples!#REF!)</f>
        <v>#REF!</v>
      </c>
      <c r="J131">
        <f>IFERROR(SEARCH(search!$B$6,samples!#REF!,1),0)</f>
        <v>0</v>
      </c>
      <c r="K131" t="e">
        <f>IF(samples!#REF!=0,"",samples!#REF!)</f>
        <v>#REF!</v>
      </c>
      <c r="L131">
        <f>IFERROR(SEARCH(search!$B$6,samples!#REF!,1),0)</f>
        <v>0</v>
      </c>
      <c r="M131" t="e">
        <f>IF(samples!#REF!=0,"",samples!#REF!)</f>
        <v>#REF!</v>
      </c>
      <c r="N131">
        <f>IFERROR(SEARCH(search!$B$6,samples!#REF!,1),0)</f>
        <v>0</v>
      </c>
      <c r="O131" t="e">
        <f>IF(samples!#REF!=0,"",samples!#REF!)</f>
        <v>#REF!</v>
      </c>
      <c r="P131">
        <f>IFERROR(SEARCH(search!$B$6,samples!#REF!,1),0)</f>
        <v>0</v>
      </c>
      <c r="Q131" t="e">
        <f>IF(samples!#REF!=0,"",samples!#REF!)</f>
        <v>#REF!</v>
      </c>
      <c r="R131">
        <f>IFERROR(SEARCH(search!$B$6,samples!#REF!,1),0)</f>
        <v>0</v>
      </c>
      <c r="S131" t="e">
        <f>IF(samples!#REF!=0,"",samples!#REF!)</f>
        <v>#REF!</v>
      </c>
      <c r="T131">
        <f>IFERROR(SEARCH(search!$B$6,samples!#REF!,1),0)</f>
        <v>0</v>
      </c>
      <c r="U131" t="e">
        <f>IF(samples!#REF!=0,"",samples!#REF!)</f>
        <v>#REF!</v>
      </c>
      <c r="V131">
        <f>IFERROR(SEARCH(search!$B$6,samples!#REF!,1),0)</f>
        <v>0</v>
      </c>
      <c r="W131" t="e">
        <f>IF(samples!#REF!=0,"",samples!#REF!)</f>
        <v>#REF!</v>
      </c>
      <c r="X131">
        <f>IFERROR(SEARCH(search!$B$6,samples!#REF!,1),0)</f>
        <v>0</v>
      </c>
      <c r="Y131" t="e">
        <f>IF(samples!#REF!=0,"",samples!#REF!)</f>
        <v>#REF!</v>
      </c>
      <c r="Z131">
        <f>IFERROR(SEARCH(search!$B$6,samples!#REF!,1),0)</f>
        <v>0</v>
      </c>
      <c r="AA131" t="e">
        <f>IF(samples!#REF!=0,"",samples!#REF!)</f>
        <v>#REF!</v>
      </c>
      <c r="AB131">
        <f>IFERROR(SEARCH(search!$B$6,samples!#REF!,1),0)</f>
        <v>0</v>
      </c>
      <c r="AC131" t="e">
        <f>IF(samples!#REF!=0,"",samples!#REF!)</f>
        <v>#REF!</v>
      </c>
      <c r="AD131">
        <f>IFERROR(SEARCH(search!$B$6,samples!#REF!,1),0)</f>
        <v>0</v>
      </c>
    </row>
    <row r="132" spans="1:30">
      <c r="A132">
        <f t="shared" si="2"/>
        <v>0</v>
      </c>
      <c r="B132">
        <f>IF(SUM(D132,F132,H132,J132,L132,N132,P132,R132,T132,V132,X132,Z132,AB132,AD132)&gt;0,SUM($A$2:A132),0)</f>
        <v>0</v>
      </c>
      <c r="C132" t="e">
        <f>samples!#REF!</f>
        <v>#REF!</v>
      </c>
      <c r="D132">
        <f>IFERROR(SEARCH(search!$B$6,samples!#REF!,1),0)</f>
        <v>0</v>
      </c>
      <c r="E132" t="e">
        <f>IF(samples!#REF!=0,"",samples!#REF!)</f>
        <v>#REF!</v>
      </c>
      <c r="F132">
        <f>IFERROR(SEARCH(search!$B$6,samples!#REF!,1),0)</f>
        <v>0</v>
      </c>
      <c r="G132" t="e">
        <f>IF(samples!#REF!=0,"",samples!#REF!)</f>
        <v>#REF!</v>
      </c>
      <c r="H132">
        <f>IFERROR(SEARCH(search!$B$6,samples!#REF!,1),0)</f>
        <v>0</v>
      </c>
      <c r="I132" t="e">
        <f>IF(samples!#REF!=0,"",samples!#REF!)</f>
        <v>#REF!</v>
      </c>
      <c r="J132">
        <f>IFERROR(SEARCH(search!$B$6,samples!#REF!,1),0)</f>
        <v>0</v>
      </c>
      <c r="K132" t="e">
        <f>IF(samples!#REF!=0,"",samples!#REF!)</f>
        <v>#REF!</v>
      </c>
      <c r="L132">
        <f>IFERROR(SEARCH(search!$B$6,samples!#REF!,1),0)</f>
        <v>0</v>
      </c>
      <c r="M132" t="e">
        <f>IF(samples!#REF!=0,"",samples!#REF!)</f>
        <v>#REF!</v>
      </c>
      <c r="N132">
        <f>IFERROR(SEARCH(search!$B$6,samples!#REF!,1),0)</f>
        <v>0</v>
      </c>
      <c r="O132" t="e">
        <f>IF(samples!#REF!=0,"",samples!#REF!)</f>
        <v>#REF!</v>
      </c>
      <c r="P132">
        <f>IFERROR(SEARCH(search!$B$6,samples!#REF!,1),0)</f>
        <v>0</v>
      </c>
      <c r="Q132" t="e">
        <f>IF(samples!#REF!=0,"",samples!#REF!)</f>
        <v>#REF!</v>
      </c>
      <c r="R132">
        <f>IFERROR(SEARCH(search!$B$6,samples!#REF!,1),0)</f>
        <v>0</v>
      </c>
      <c r="S132" t="e">
        <f>IF(samples!#REF!=0,"",samples!#REF!)</f>
        <v>#REF!</v>
      </c>
      <c r="T132">
        <f>IFERROR(SEARCH(search!$B$6,samples!#REF!,1),0)</f>
        <v>0</v>
      </c>
      <c r="U132" t="e">
        <f>IF(samples!#REF!=0,"",samples!#REF!)</f>
        <v>#REF!</v>
      </c>
      <c r="V132">
        <f>IFERROR(SEARCH(search!$B$6,samples!#REF!,1),0)</f>
        <v>0</v>
      </c>
      <c r="W132" t="e">
        <f>IF(samples!#REF!=0,"",samples!#REF!)</f>
        <v>#REF!</v>
      </c>
      <c r="X132">
        <f>IFERROR(SEARCH(search!$B$6,samples!#REF!,1),0)</f>
        <v>0</v>
      </c>
      <c r="Y132" t="e">
        <f>IF(samples!#REF!=0,"",samples!#REF!)</f>
        <v>#REF!</v>
      </c>
      <c r="Z132">
        <f>IFERROR(SEARCH(search!$B$6,samples!#REF!,1),0)</f>
        <v>0</v>
      </c>
      <c r="AA132" t="e">
        <f>IF(samples!#REF!=0,"",samples!#REF!)</f>
        <v>#REF!</v>
      </c>
      <c r="AB132">
        <f>IFERROR(SEARCH(search!$B$6,samples!#REF!,1),0)</f>
        <v>0</v>
      </c>
      <c r="AC132" t="e">
        <f>IF(samples!#REF!=0,"",samples!#REF!)</f>
        <v>#REF!</v>
      </c>
      <c r="AD132">
        <f>IFERROR(SEARCH(search!$B$6,samples!#REF!,1),0)</f>
        <v>0</v>
      </c>
    </row>
    <row r="133" spans="1:30">
      <c r="A133">
        <f t="shared" si="2"/>
        <v>0</v>
      </c>
      <c r="B133">
        <f>IF(SUM(D133,F133,H133,J133,L133,N133,P133,R133,T133,V133,X133,Z133,AB133,AD133)&gt;0,SUM($A$2:A133),0)</f>
        <v>0</v>
      </c>
      <c r="C133" t="e">
        <f>samples!#REF!</f>
        <v>#REF!</v>
      </c>
      <c r="D133">
        <f>IFERROR(SEARCH(search!$B$6,samples!#REF!,1),0)</f>
        <v>0</v>
      </c>
      <c r="E133" t="e">
        <f>IF(samples!#REF!=0,"",samples!#REF!)</f>
        <v>#REF!</v>
      </c>
      <c r="F133">
        <f>IFERROR(SEARCH(search!$B$6,samples!#REF!,1),0)</f>
        <v>0</v>
      </c>
      <c r="G133" t="e">
        <f>IF(samples!#REF!=0,"",samples!#REF!)</f>
        <v>#REF!</v>
      </c>
      <c r="H133">
        <f>IFERROR(SEARCH(search!$B$6,samples!#REF!,1),0)</f>
        <v>0</v>
      </c>
      <c r="I133" t="e">
        <f>IF(samples!#REF!=0,"",samples!#REF!)</f>
        <v>#REF!</v>
      </c>
      <c r="J133">
        <f>IFERROR(SEARCH(search!$B$6,samples!#REF!,1),0)</f>
        <v>0</v>
      </c>
      <c r="K133" t="e">
        <f>IF(samples!#REF!=0,"",samples!#REF!)</f>
        <v>#REF!</v>
      </c>
      <c r="L133">
        <f>IFERROR(SEARCH(search!$B$6,samples!#REF!,1),0)</f>
        <v>0</v>
      </c>
      <c r="M133" t="e">
        <f>IF(samples!#REF!=0,"",samples!#REF!)</f>
        <v>#REF!</v>
      </c>
      <c r="N133">
        <f>IFERROR(SEARCH(search!$B$6,samples!#REF!,1),0)</f>
        <v>0</v>
      </c>
      <c r="O133" t="e">
        <f>IF(samples!#REF!=0,"",samples!#REF!)</f>
        <v>#REF!</v>
      </c>
      <c r="P133">
        <f>IFERROR(SEARCH(search!$B$6,samples!#REF!,1),0)</f>
        <v>0</v>
      </c>
      <c r="Q133" t="e">
        <f>IF(samples!#REF!=0,"",samples!#REF!)</f>
        <v>#REF!</v>
      </c>
      <c r="R133">
        <f>IFERROR(SEARCH(search!$B$6,samples!#REF!,1),0)</f>
        <v>0</v>
      </c>
      <c r="S133" t="e">
        <f>IF(samples!#REF!=0,"",samples!#REF!)</f>
        <v>#REF!</v>
      </c>
      <c r="T133">
        <f>IFERROR(SEARCH(search!$B$6,samples!#REF!,1),0)</f>
        <v>0</v>
      </c>
      <c r="U133" t="e">
        <f>IF(samples!#REF!=0,"",samples!#REF!)</f>
        <v>#REF!</v>
      </c>
      <c r="V133">
        <f>IFERROR(SEARCH(search!$B$6,samples!#REF!,1),0)</f>
        <v>0</v>
      </c>
      <c r="W133" t="e">
        <f>IF(samples!#REF!=0,"",samples!#REF!)</f>
        <v>#REF!</v>
      </c>
      <c r="X133">
        <f>IFERROR(SEARCH(search!$B$6,samples!#REF!,1),0)</f>
        <v>0</v>
      </c>
      <c r="Y133" t="e">
        <f>IF(samples!#REF!=0,"",samples!#REF!)</f>
        <v>#REF!</v>
      </c>
      <c r="Z133">
        <f>IFERROR(SEARCH(search!$B$6,samples!#REF!,1),0)</f>
        <v>0</v>
      </c>
      <c r="AA133" t="e">
        <f>IF(samples!#REF!=0,"",samples!#REF!)</f>
        <v>#REF!</v>
      </c>
      <c r="AB133">
        <f>IFERROR(SEARCH(search!$B$6,samples!#REF!,1),0)</f>
        <v>0</v>
      </c>
      <c r="AC133" t="e">
        <f>IF(samples!#REF!=0,"",samples!#REF!)</f>
        <v>#REF!</v>
      </c>
      <c r="AD133">
        <f>IFERROR(SEARCH(search!$B$6,samples!#REF!,1),0)</f>
        <v>0</v>
      </c>
    </row>
    <row r="134" spans="1:30">
      <c r="A134">
        <f t="shared" si="2"/>
        <v>0</v>
      </c>
      <c r="B134">
        <f>IF(SUM(D134,F134,H134,J134,L134,N134,P134,R134,T134,V134,X134,Z134,AB134,AD134)&gt;0,SUM($A$2:A134),0)</f>
        <v>0</v>
      </c>
      <c r="C134" t="e">
        <f>samples!#REF!</f>
        <v>#REF!</v>
      </c>
      <c r="D134">
        <f>IFERROR(SEARCH(search!$B$6,samples!#REF!,1),0)</f>
        <v>0</v>
      </c>
      <c r="E134" t="e">
        <f>IF(samples!#REF!=0,"",samples!#REF!)</f>
        <v>#REF!</v>
      </c>
      <c r="F134">
        <f>IFERROR(SEARCH(search!$B$6,samples!#REF!,1),0)</f>
        <v>0</v>
      </c>
      <c r="G134" t="e">
        <f>IF(samples!#REF!=0,"",samples!#REF!)</f>
        <v>#REF!</v>
      </c>
      <c r="H134">
        <f>IFERROR(SEARCH(search!$B$6,samples!#REF!,1),0)</f>
        <v>0</v>
      </c>
      <c r="I134" t="e">
        <f>IF(samples!#REF!=0,"",samples!#REF!)</f>
        <v>#REF!</v>
      </c>
      <c r="J134">
        <f>IFERROR(SEARCH(search!$B$6,samples!#REF!,1),0)</f>
        <v>0</v>
      </c>
      <c r="K134" t="e">
        <f>IF(samples!#REF!=0,"",samples!#REF!)</f>
        <v>#REF!</v>
      </c>
      <c r="L134">
        <f>IFERROR(SEARCH(search!$B$6,samples!#REF!,1),0)</f>
        <v>0</v>
      </c>
      <c r="M134" t="e">
        <f>IF(samples!#REF!=0,"",samples!#REF!)</f>
        <v>#REF!</v>
      </c>
      <c r="N134">
        <f>IFERROR(SEARCH(search!$B$6,samples!#REF!,1),0)</f>
        <v>0</v>
      </c>
      <c r="O134" t="e">
        <f>IF(samples!#REF!=0,"",samples!#REF!)</f>
        <v>#REF!</v>
      </c>
      <c r="P134">
        <f>IFERROR(SEARCH(search!$B$6,samples!#REF!,1),0)</f>
        <v>0</v>
      </c>
      <c r="Q134" t="e">
        <f>IF(samples!#REF!=0,"",samples!#REF!)</f>
        <v>#REF!</v>
      </c>
      <c r="R134">
        <f>IFERROR(SEARCH(search!$B$6,samples!#REF!,1),0)</f>
        <v>0</v>
      </c>
      <c r="S134" t="e">
        <f>IF(samples!#REF!=0,"",samples!#REF!)</f>
        <v>#REF!</v>
      </c>
      <c r="T134">
        <f>IFERROR(SEARCH(search!$B$6,samples!#REF!,1),0)</f>
        <v>0</v>
      </c>
      <c r="U134" t="e">
        <f>IF(samples!#REF!=0,"",samples!#REF!)</f>
        <v>#REF!</v>
      </c>
      <c r="V134">
        <f>IFERROR(SEARCH(search!$B$6,samples!#REF!,1),0)</f>
        <v>0</v>
      </c>
      <c r="W134" t="e">
        <f>IF(samples!#REF!=0,"",samples!#REF!)</f>
        <v>#REF!</v>
      </c>
      <c r="X134">
        <f>IFERROR(SEARCH(search!$B$6,samples!#REF!,1),0)</f>
        <v>0</v>
      </c>
      <c r="Y134" t="e">
        <f>IF(samples!#REF!=0,"",samples!#REF!)</f>
        <v>#REF!</v>
      </c>
      <c r="Z134">
        <f>IFERROR(SEARCH(search!$B$6,samples!#REF!,1),0)</f>
        <v>0</v>
      </c>
      <c r="AA134" t="e">
        <f>IF(samples!#REF!=0,"",samples!#REF!)</f>
        <v>#REF!</v>
      </c>
      <c r="AB134">
        <f>IFERROR(SEARCH(search!$B$6,samples!#REF!,1),0)</f>
        <v>0</v>
      </c>
      <c r="AC134" t="e">
        <f>IF(samples!#REF!=0,"",samples!#REF!)</f>
        <v>#REF!</v>
      </c>
      <c r="AD134">
        <f>IFERROR(SEARCH(search!$B$6,samples!#REF!,1),0)</f>
        <v>0</v>
      </c>
    </row>
    <row r="135" spans="1:30">
      <c r="A135">
        <f t="shared" si="2"/>
        <v>0</v>
      </c>
      <c r="B135">
        <f>IF(SUM(D135,F135,H135,J135,L135,N135,P135,R135,T135,V135,X135,Z135,AB135,AD135)&gt;0,SUM($A$2:A135),0)</f>
        <v>0</v>
      </c>
      <c r="C135" t="e">
        <f>samples!#REF!</f>
        <v>#REF!</v>
      </c>
      <c r="D135">
        <f>IFERROR(SEARCH(search!$B$6,samples!#REF!,1),0)</f>
        <v>0</v>
      </c>
      <c r="E135" t="e">
        <f>IF(samples!#REF!=0,"",samples!#REF!)</f>
        <v>#REF!</v>
      </c>
      <c r="F135">
        <f>IFERROR(SEARCH(search!$B$6,samples!#REF!,1),0)</f>
        <v>0</v>
      </c>
      <c r="G135" t="e">
        <f>IF(samples!#REF!=0,"",samples!#REF!)</f>
        <v>#REF!</v>
      </c>
      <c r="H135">
        <f>IFERROR(SEARCH(search!$B$6,samples!#REF!,1),0)</f>
        <v>0</v>
      </c>
      <c r="I135" t="e">
        <f>IF(samples!#REF!=0,"",samples!#REF!)</f>
        <v>#REF!</v>
      </c>
      <c r="J135">
        <f>IFERROR(SEARCH(search!$B$6,samples!#REF!,1),0)</f>
        <v>0</v>
      </c>
      <c r="K135" t="e">
        <f>IF(samples!#REF!=0,"",samples!#REF!)</f>
        <v>#REF!</v>
      </c>
      <c r="L135">
        <f>IFERROR(SEARCH(search!$B$6,samples!#REF!,1),0)</f>
        <v>0</v>
      </c>
      <c r="M135" t="e">
        <f>IF(samples!#REF!=0,"",samples!#REF!)</f>
        <v>#REF!</v>
      </c>
      <c r="N135">
        <f>IFERROR(SEARCH(search!$B$6,samples!#REF!,1),0)</f>
        <v>0</v>
      </c>
      <c r="O135" t="e">
        <f>IF(samples!#REF!=0,"",samples!#REF!)</f>
        <v>#REF!</v>
      </c>
      <c r="P135">
        <f>IFERROR(SEARCH(search!$B$6,samples!#REF!,1),0)</f>
        <v>0</v>
      </c>
      <c r="Q135" t="e">
        <f>IF(samples!#REF!=0,"",samples!#REF!)</f>
        <v>#REF!</v>
      </c>
      <c r="R135">
        <f>IFERROR(SEARCH(search!$B$6,samples!#REF!,1),0)</f>
        <v>0</v>
      </c>
      <c r="S135" t="e">
        <f>IF(samples!#REF!=0,"",samples!#REF!)</f>
        <v>#REF!</v>
      </c>
      <c r="T135">
        <f>IFERROR(SEARCH(search!$B$6,samples!#REF!,1),0)</f>
        <v>0</v>
      </c>
      <c r="U135" t="e">
        <f>IF(samples!#REF!=0,"",samples!#REF!)</f>
        <v>#REF!</v>
      </c>
      <c r="V135">
        <f>IFERROR(SEARCH(search!$B$6,samples!#REF!,1),0)</f>
        <v>0</v>
      </c>
      <c r="W135" t="e">
        <f>IF(samples!#REF!=0,"",samples!#REF!)</f>
        <v>#REF!</v>
      </c>
      <c r="X135">
        <f>IFERROR(SEARCH(search!$B$6,samples!#REF!,1),0)</f>
        <v>0</v>
      </c>
      <c r="Y135" t="e">
        <f>IF(samples!#REF!=0,"",samples!#REF!)</f>
        <v>#REF!</v>
      </c>
      <c r="Z135">
        <f>IFERROR(SEARCH(search!$B$6,samples!#REF!,1),0)</f>
        <v>0</v>
      </c>
      <c r="AA135" t="e">
        <f>IF(samples!#REF!=0,"",samples!#REF!)</f>
        <v>#REF!</v>
      </c>
      <c r="AB135">
        <f>IFERROR(SEARCH(search!$B$6,samples!#REF!,1),0)</f>
        <v>0</v>
      </c>
      <c r="AC135" t="e">
        <f>IF(samples!#REF!=0,"",samples!#REF!)</f>
        <v>#REF!</v>
      </c>
      <c r="AD135">
        <f>IFERROR(SEARCH(search!$B$6,samples!#REF!,1),0)</f>
        <v>0</v>
      </c>
    </row>
    <row r="136" spans="1:30">
      <c r="A136">
        <f t="shared" si="2"/>
        <v>0</v>
      </c>
      <c r="B136">
        <f>IF(SUM(D136,F136,H136,J136,L136,N136,P136,R136,T136,V136,X136,Z136,AB136,AD136)&gt;0,SUM($A$2:A136),0)</f>
        <v>0</v>
      </c>
      <c r="C136" t="e">
        <f>samples!#REF!</f>
        <v>#REF!</v>
      </c>
      <c r="D136">
        <f>IFERROR(SEARCH(search!$B$6,samples!#REF!,1),0)</f>
        <v>0</v>
      </c>
      <c r="E136" t="e">
        <f>IF(samples!#REF!=0,"",samples!#REF!)</f>
        <v>#REF!</v>
      </c>
      <c r="F136">
        <f>IFERROR(SEARCH(search!$B$6,samples!#REF!,1),0)</f>
        <v>0</v>
      </c>
      <c r="G136" t="e">
        <f>IF(samples!#REF!=0,"",samples!#REF!)</f>
        <v>#REF!</v>
      </c>
      <c r="H136">
        <f>IFERROR(SEARCH(search!$B$6,samples!#REF!,1),0)</f>
        <v>0</v>
      </c>
      <c r="I136" t="e">
        <f>IF(samples!#REF!=0,"",samples!#REF!)</f>
        <v>#REF!</v>
      </c>
      <c r="J136">
        <f>IFERROR(SEARCH(search!$B$6,samples!#REF!,1),0)</f>
        <v>0</v>
      </c>
      <c r="K136" t="e">
        <f>IF(samples!#REF!=0,"",samples!#REF!)</f>
        <v>#REF!</v>
      </c>
      <c r="L136">
        <f>IFERROR(SEARCH(search!$B$6,samples!#REF!,1),0)</f>
        <v>0</v>
      </c>
      <c r="M136" t="e">
        <f>IF(samples!#REF!=0,"",samples!#REF!)</f>
        <v>#REF!</v>
      </c>
      <c r="N136">
        <f>IFERROR(SEARCH(search!$B$6,samples!#REF!,1),0)</f>
        <v>0</v>
      </c>
      <c r="O136" t="e">
        <f>IF(samples!#REF!=0,"",samples!#REF!)</f>
        <v>#REF!</v>
      </c>
      <c r="P136">
        <f>IFERROR(SEARCH(search!$B$6,samples!#REF!,1),0)</f>
        <v>0</v>
      </c>
      <c r="Q136" t="e">
        <f>IF(samples!#REF!=0,"",samples!#REF!)</f>
        <v>#REF!</v>
      </c>
      <c r="R136">
        <f>IFERROR(SEARCH(search!$B$6,samples!#REF!,1),0)</f>
        <v>0</v>
      </c>
      <c r="S136" t="e">
        <f>IF(samples!#REF!=0,"",samples!#REF!)</f>
        <v>#REF!</v>
      </c>
      <c r="T136">
        <f>IFERROR(SEARCH(search!$B$6,samples!#REF!,1),0)</f>
        <v>0</v>
      </c>
      <c r="U136" t="e">
        <f>IF(samples!#REF!=0,"",samples!#REF!)</f>
        <v>#REF!</v>
      </c>
      <c r="V136">
        <f>IFERROR(SEARCH(search!$B$6,samples!#REF!,1),0)</f>
        <v>0</v>
      </c>
      <c r="W136" t="e">
        <f>IF(samples!#REF!=0,"",samples!#REF!)</f>
        <v>#REF!</v>
      </c>
      <c r="X136">
        <f>IFERROR(SEARCH(search!$B$6,samples!#REF!,1),0)</f>
        <v>0</v>
      </c>
      <c r="Y136" t="e">
        <f>IF(samples!#REF!=0,"",samples!#REF!)</f>
        <v>#REF!</v>
      </c>
      <c r="Z136">
        <f>IFERROR(SEARCH(search!$B$6,samples!#REF!,1),0)</f>
        <v>0</v>
      </c>
      <c r="AA136" t="e">
        <f>IF(samples!#REF!=0,"",samples!#REF!)</f>
        <v>#REF!</v>
      </c>
      <c r="AB136">
        <f>IFERROR(SEARCH(search!$B$6,samples!#REF!,1),0)</f>
        <v>0</v>
      </c>
      <c r="AC136" t="e">
        <f>IF(samples!#REF!=0,"",samples!#REF!)</f>
        <v>#REF!</v>
      </c>
      <c r="AD136">
        <f>IFERROR(SEARCH(search!$B$6,samples!#REF!,1),0)</f>
        <v>0</v>
      </c>
    </row>
    <row r="137" spans="1:30">
      <c r="A137">
        <f t="shared" si="2"/>
        <v>0</v>
      </c>
      <c r="B137">
        <f>IF(SUM(D137,F137,H137,J137,L137,N137,P137,R137,T137,V137,X137,Z137,AB137,AD137)&gt;0,SUM($A$2:A137),0)</f>
        <v>0</v>
      </c>
      <c r="C137" t="e">
        <f>samples!#REF!</f>
        <v>#REF!</v>
      </c>
      <c r="D137">
        <f>IFERROR(SEARCH(search!$B$6,samples!#REF!,1),0)</f>
        <v>0</v>
      </c>
      <c r="E137" t="e">
        <f>IF(samples!#REF!=0,"",samples!#REF!)</f>
        <v>#REF!</v>
      </c>
      <c r="F137">
        <f>IFERROR(SEARCH(search!$B$6,samples!#REF!,1),0)</f>
        <v>0</v>
      </c>
      <c r="G137" t="e">
        <f>IF(samples!#REF!=0,"",samples!#REF!)</f>
        <v>#REF!</v>
      </c>
      <c r="H137">
        <f>IFERROR(SEARCH(search!$B$6,samples!#REF!,1),0)</f>
        <v>0</v>
      </c>
      <c r="I137" t="e">
        <f>IF(samples!#REF!=0,"",samples!#REF!)</f>
        <v>#REF!</v>
      </c>
      <c r="J137">
        <f>IFERROR(SEARCH(search!$B$6,samples!#REF!,1),0)</f>
        <v>0</v>
      </c>
      <c r="K137" t="e">
        <f>IF(samples!#REF!=0,"",samples!#REF!)</f>
        <v>#REF!</v>
      </c>
      <c r="L137">
        <f>IFERROR(SEARCH(search!$B$6,samples!#REF!,1),0)</f>
        <v>0</v>
      </c>
      <c r="M137" t="e">
        <f>IF(samples!#REF!=0,"",samples!#REF!)</f>
        <v>#REF!</v>
      </c>
      <c r="N137">
        <f>IFERROR(SEARCH(search!$B$6,samples!#REF!,1),0)</f>
        <v>0</v>
      </c>
      <c r="O137" t="e">
        <f>IF(samples!#REF!=0,"",samples!#REF!)</f>
        <v>#REF!</v>
      </c>
      <c r="P137">
        <f>IFERROR(SEARCH(search!$B$6,samples!#REF!,1),0)</f>
        <v>0</v>
      </c>
      <c r="Q137" t="e">
        <f>IF(samples!#REF!=0,"",samples!#REF!)</f>
        <v>#REF!</v>
      </c>
      <c r="R137">
        <f>IFERROR(SEARCH(search!$B$6,samples!#REF!,1),0)</f>
        <v>0</v>
      </c>
      <c r="S137" t="e">
        <f>IF(samples!#REF!=0,"",samples!#REF!)</f>
        <v>#REF!</v>
      </c>
      <c r="T137">
        <f>IFERROR(SEARCH(search!$B$6,samples!#REF!,1),0)</f>
        <v>0</v>
      </c>
      <c r="U137" t="e">
        <f>IF(samples!#REF!=0,"",samples!#REF!)</f>
        <v>#REF!</v>
      </c>
      <c r="V137">
        <f>IFERROR(SEARCH(search!$B$6,samples!#REF!,1),0)</f>
        <v>0</v>
      </c>
      <c r="W137" t="e">
        <f>IF(samples!#REF!=0,"",samples!#REF!)</f>
        <v>#REF!</v>
      </c>
      <c r="X137">
        <f>IFERROR(SEARCH(search!$B$6,samples!#REF!,1),0)</f>
        <v>0</v>
      </c>
      <c r="Y137" t="e">
        <f>IF(samples!#REF!=0,"",samples!#REF!)</f>
        <v>#REF!</v>
      </c>
      <c r="Z137">
        <f>IFERROR(SEARCH(search!$B$6,samples!#REF!,1),0)</f>
        <v>0</v>
      </c>
      <c r="AA137" t="e">
        <f>IF(samples!#REF!=0,"",samples!#REF!)</f>
        <v>#REF!</v>
      </c>
      <c r="AB137">
        <f>IFERROR(SEARCH(search!$B$6,samples!#REF!,1),0)</f>
        <v>0</v>
      </c>
      <c r="AC137" t="e">
        <f>IF(samples!#REF!=0,"",samples!#REF!)</f>
        <v>#REF!</v>
      </c>
      <c r="AD137">
        <f>IFERROR(SEARCH(search!$B$6,samples!#REF!,1),0)</f>
        <v>0</v>
      </c>
    </row>
    <row r="138" spans="1:30">
      <c r="A138">
        <f t="shared" si="2"/>
        <v>0</v>
      </c>
      <c r="B138">
        <f>IF(SUM(D138,F138,H138,J138,L138,N138,P138,R138,T138,V138,X138,Z138,AB138,AD138)&gt;0,SUM($A$2:A138),0)</f>
        <v>0</v>
      </c>
      <c r="C138" t="e">
        <f>samples!#REF!</f>
        <v>#REF!</v>
      </c>
      <c r="D138">
        <f>IFERROR(SEARCH(search!$B$6,samples!#REF!,1),0)</f>
        <v>0</v>
      </c>
      <c r="E138" t="e">
        <f>IF(samples!#REF!=0,"",samples!#REF!)</f>
        <v>#REF!</v>
      </c>
      <c r="F138">
        <f>IFERROR(SEARCH(search!$B$6,samples!#REF!,1),0)</f>
        <v>0</v>
      </c>
      <c r="G138" t="e">
        <f>IF(samples!#REF!=0,"",samples!#REF!)</f>
        <v>#REF!</v>
      </c>
      <c r="H138">
        <f>IFERROR(SEARCH(search!$B$6,samples!#REF!,1),0)</f>
        <v>0</v>
      </c>
      <c r="I138" t="e">
        <f>IF(samples!#REF!=0,"",samples!#REF!)</f>
        <v>#REF!</v>
      </c>
      <c r="J138">
        <f>IFERROR(SEARCH(search!$B$6,samples!#REF!,1),0)</f>
        <v>0</v>
      </c>
      <c r="K138" t="e">
        <f>IF(samples!#REF!=0,"",samples!#REF!)</f>
        <v>#REF!</v>
      </c>
      <c r="L138">
        <f>IFERROR(SEARCH(search!$B$6,samples!#REF!,1),0)</f>
        <v>0</v>
      </c>
      <c r="M138" t="e">
        <f>IF(samples!#REF!=0,"",samples!#REF!)</f>
        <v>#REF!</v>
      </c>
      <c r="N138">
        <f>IFERROR(SEARCH(search!$B$6,samples!#REF!,1),0)</f>
        <v>0</v>
      </c>
      <c r="O138" t="e">
        <f>IF(samples!#REF!=0,"",samples!#REF!)</f>
        <v>#REF!</v>
      </c>
      <c r="P138">
        <f>IFERROR(SEARCH(search!$B$6,samples!#REF!,1),0)</f>
        <v>0</v>
      </c>
      <c r="Q138" t="e">
        <f>IF(samples!#REF!=0,"",samples!#REF!)</f>
        <v>#REF!</v>
      </c>
      <c r="R138">
        <f>IFERROR(SEARCH(search!$B$6,samples!#REF!,1),0)</f>
        <v>0</v>
      </c>
      <c r="S138" t="e">
        <f>IF(samples!#REF!=0,"",samples!#REF!)</f>
        <v>#REF!</v>
      </c>
      <c r="T138">
        <f>IFERROR(SEARCH(search!$B$6,samples!#REF!,1),0)</f>
        <v>0</v>
      </c>
      <c r="U138" t="e">
        <f>IF(samples!#REF!=0,"",samples!#REF!)</f>
        <v>#REF!</v>
      </c>
      <c r="V138">
        <f>IFERROR(SEARCH(search!$B$6,samples!#REF!,1),0)</f>
        <v>0</v>
      </c>
      <c r="W138" t="e">
        <f>IF(samples!#REF!=0,"",samples!#REF!)</f>
        <v>#REF!</v>
      </c>
      <c r="X138">
        <f>IFERROR(SEARCH(search!$B$6,samples!#REF!,1),0)</f>
        <v>0</v>
      </c>
      <c r="Y138" t="e">
        <f>IF(samples!#REF!=0,"",samples!#REF!)</f>
        <v>#REF!</v>
      </c>
      <c r="Z138">
        <f>IFERROR(SEARCH(search!$B$6,samples!#REF!,1),0)</f>
        <v>0</v>
      </c>
      <c r="AA138" t="e">
        <f>IF(samples!#REF!=0,"",samples!#REF!)</f>
        <v>#REF!</v>
      </c>
      <c r="AB138">
        <f>IFERROR(SEARCH(search!$B$6,samples!#REF!,1),0)</f>
        <v>0</v>
      </c>
      <c r="AC138" t="e">
        <f>IF(samples!#REF!=0,"",samples!#REF!)</f>
        <v>#REF!</v>
      </c>
      <c r="AD138">
        <f>IFERROR(SEARCH(search!$B$6,samples!#REF!,1),0)</f>
        <v>0</v>
      </c>
    </row>
    <row r="139" spans="1:30">
      <c r="A139">
        <f t="shared" si="2"/>
        <v>0</v>
      </c>
      <c r="B139">
        <f>IF(SUM(D139,F139,H139,J139,L139,N139,P139,R139,T139,V139,X139,Z139,AB139,AD139)&gt;0,SUM($A$2:A139),0)</f>
        <v>0</v>
      </c>
      <c r="C139" t="e">
        <f>samples!#REF!</f>
        <v>#REF!</v>
      </c>
      <c r="D139">
        <f>IFERROR(SEARCH(search!$B$6,samples!#REF!,1),0)</f>
        <v>0</v>
      </c>
      <c r="E139" t="e">
        <f>IF(samples!#REF!=0,"",samples!#REF!)</f>
        <v>#REF!</v>
      </c>
      <c r="F139">
        <f>IFERROR(SEARCH(search!$B$6,samples!#REF!,1),0)</f>
        <v>0</v>
      </c>
      <c r="G139" t="e">
        <f>IF(samples!#REF!=0,"",samples!#REF!)</f>
        <v>#REF!</v>
      </c>
      <c r="H139">
        <f>IFERROR(SEARCH(search!$B$6,samples!#REF!,1),0)</f>
        <v>0</v>
      </c>
      <c r="I139" t="e">
        <f>IF(samples!#REF!=0,"",samples!#REF!)</f>
        <v>#REF!</v>
      </c>
      <c r="J139">
        <f>IFERROR(SEARCH(search!$B$6,samples!#REF!,1),0)</f>
        <v>0</v>
      </c>
      <c r="K139" t="e">
        <f>IF(samples!#REF!=0,"",samples!#REF!)</f>
        <v>#REF!</v>
      </c>
      <c r="L139">
        <f>IFERROR(SEARCH(search!$B$6,samples!#REF!,1),0)</f>
        <v>0</v>
      </c>
      <c r="M139" t="e">
        <f>IF(samples!#REF!=0,"",samples!#REF!)</f>
        <v>#REF!</v>
      </c>
      <c r="N139">
        <f>IFERROR(SEARCH(search!$B$6,samples!#REF!,1),0)</f>
        <v>0</v>
      </c>
      <c r="O139" t="e">
        <f>IF(samples!#REF!=0,"",samples!#REF!)</f>
        <v>#REF!</v>
      </c>
      <c r="P139">
        <f>IFERROR(SEARCH(search!$B$6,samples!#REF!,1),0)</f>
        <v>0</v>
      </c>
      <c r="Q139" t="e">
        <f>IF(samples!#REF!=0,"",samples!#REF!)</f>
        <v>#REF!</v>
      </c>
      <c r="R139">
        <f>IFERROR(SEARCH(search!$B$6,samples!#REF!,1),0)</f>
        <v>0</v>
      </c>
      <c r="S139" t="e">
        <f>IF(samples!#REF!=0,"",samples!#REF!)</f>
        <v>#REF!</v>
      </c>
      <c r="T139">
        <f>IFERROR(SEARCH(search!$B$6,samples!#REF!,1),0)</f>
        <v>0</v>
      </c>
      <c r="U139" t="e">
        <f>IF(samples!#REF!=0,"",samples!#REF!)</f>
        <v>#REF!</v>
      </c>
      <c r="V139">
        <f>IFERROR(SEARCH(search!$B$6,samples!#REF!,1),0)</f>
        <v>0</v>
      </c>
      <c r="W139" t="e">
        <f>IF(samples!#REF!=0,"",samples!#REF!)</f>
        <v>#REF!</v>
      </c>
      <c r="X139">
        <f>IFERROR(SEARCH(search!$B$6,samples!#REF!,1),0)</f>
        <v>0</v>
      </c>
      <c r="Y139" t="e">
        <f>IF(samples!#REF!=0,"",samples!#REF!)</f>
        <v>#REF!</v>
      </c>
      <c r="Z139">
        <f>IFERROR(SEARCH(search!$B$6,samples!#REF!,1),0)</f>
        <v>0</v>
      </c>
      <c r="AA139" t="e">
        <f>IF(samples!#REF!=0,"",samples!#REF!)</f>
        <v>#REF!</v>
      </c>
      <c r="AB139">
        <f>IFERROR(SEARCH(search!$B$6,samples!#REF!,1),0)</f>
        <v>0</v>
      </c>
      <c r="AC139" t="e">
        <f>IF(samples!#REF!=0,"",samples!#REF!)</f>
        <v>#REF!</v>
      </c>
      <c r="AD139">
        <f>IFERROR(SEARCH(search!$B$6,samples!#REF!,1),0)</f>
        <v>0</v>
      </c>
    </row>
    <row r="140" spans="1:30">
      <c r="A140">
        <f t="shared" si="2"/>
        <v>0</v>
      </c>
      <c r="B140">
        <f>IF(SUM(D140,F140,H140,J140,L140,N140,P140,R140,T140,V140,X140,Z140,AB140,AD140)&gt;0,SUM($A$2:A140),0)</f>
        <v>0</v>
      </c>
      <c r="C140" t="e">
        <f>samples!#REF!</f>
        <v>#REF!</v>
      </c>
      <c r="D140">
        <f>IFERROR(SEARCH(search!$B$6,samples!#REF!,1),0)</f>
        <v>0</v>
      </c>
      <c r="E140" t="e">
        <f>IF(samples!#REF!=0,"",samples!#REF!)</f>
        <v>#REF!</v>
      </c>
      <c r="F140">
        <f>IFERROR(SEARCH(search!$B$6,samples!#REF!,1),0)</f>
        <v>0</v>
      </c>
      <c r="G140" t="e">
        <f>IF(samples!#REF!=0,"",samples!#REF!)</f>
        <v>#REF!</v>
      </c>
      <c r="H140">
        <f>IFERROR(SEARCH(search!$B$6,samples!#REF!,1),0)</f>
        <v>0</v>
      </c>
      <c r="I140" t="e">
        <f>IF(samples!#REF!=0,"",samples!#REF!)</f>
        <v>#REF!</v>
      </c>
      <c r="J140">
        <f>IFERROR(SEARCH(search!$B$6,samples!#REF!,1),0)</f>
        <v>0</v>
      </c>
      <c r="K140" t="e">
        <f>IF(samples!#REF!=0,"",samples!#REF!)</f>
        <v>#REF!</v>
      </c>
      <c r="L140">
        <f>IFERROR(SEARCH(search!$B$6,samples!#REF!,1),0)</f>
        <v>0</v>
      </c>
      <c r="M140" t="e">
        <f>IF(samples!#REF!=0,"",samples!#REF!)</f>
        <v>#REF!</v>
      </c>
      <c r="N140">
        <f>IFERROR(SEARCH(search!$B$6,samples!#REF!,1),0)</f>
        <v>0</v>
      </c>
      <c r="O140" t="e">
        <f>IF(samples!#REF!=0,"",samples!#REF!)</f>
        <v>#REF!</v>
      </c>
      <c r="P140">
        <f>IFERROR(SEARCH(search!$B$6,samples!#REF!,1),0)</f>
        <v>0</v>
      </c>
      <c r="Q140" t="e">
        <f>IF(samples!#REF!=0,"",samples!#REF!)</f>
        <v>#REF!</v>
      </c>
      <c r="R140">
        <f>IFERROR(SEARCH(search!$B$6,samples!#REF!,1),0)</f>
        <v>0</v>
      </c>
      <c r="S140" t="e">
        <f>IF(samples!#REF!=0,"",samples!#REF!)</f>
        <v>#REF!</v>
      </c>
      <c r="T140">
        <f>IFERROR(SEARCH(search!$B$6,samples!#REF!,1),0)</f>
        <v>0</v>
      </c>
      <c r="U140" t="e">
        <f>IF(samples!#REF!=0,"",samples!#REF!)</f>
        <v>#REF!</v>
      </c>
      <c r="V140">
        <f>IFERROR(SEARCH(search!$B$6,samples!#REF!,1),0)</f>
        <v>0</v>
      </c>
      <c r="W140" t="e">
        <f>IF(samples!#REF!=0,"",samples!#REF!)</f>
        <v>#REF!</v>
      </c>
      <c r="X140">
        <f>IFERROR(SEARCH(search!$B$6,samples!#REF!,1),0)</f>
        <v>0</v>
      </c>
      <c r="Y140" t="e">
        <f>IF(samples!#REF!=0,"",samples!#REF!)</f>
        <v>#REF!</v>
      </c>
      <c r="Z140">
        <f>IFERROR(SEARCH(search!$B$6,samples!#REF!,1),0)</f>
        <v>0</v>
      </c>
      <c r="AA140" t="e">
        <f>IF(samples!#REF!=0,"",samples!#REF!)</f>
        <v>#REF!</v>
      </c>
      <c r="AB140">
        <f>IFERROR(SEARCH(search!$B$6,samples!#REF!,1),0)</f>
        <v>0</v>
      </c>
      <c r="AC140" t="e">
        <f>IF(samples!#REF!=0,"",samples!#REF!)</f>
        <v>#REF!</v>
      </c>
      <c r="AD140">
        <f>IFERROR(SEARCH(search!$B$6,samples!#REF!,1),0)</f>
        <v>0</v>
      </c>
    </row>
    <row r="141" spans="1:30">
      <c r="A141">
        <f t="shared" si="2"/>
        <v>0</v>
      </c>
      <c r="B141">
        <f>IF(SUM(D141,F141,H141,J141,L141,N141,P141,R141,T141,V141,X141,Z141,AB141,AD141)&gt;0,SUM($A$2:A141),0)</f>
        <v>0</v>
      </c>
      <c r="C141" t="e">
        <f>samples!#REF!</f>
        <v>#REF!</v>
      </c>
      <c r="D141">
        <f>IFERROR(SEARCH(search!$B$6,samples!#REF!,1),0)</f>
        <v>0</v>
      </c>
      <c r="E141" t="e">
        <f>IF(samples!#REF!=0,"",samples!#REF!)</f>
        <v>#REF!</v>
      </c>
      <c r="F141">
        <f>IFERROR(SEARCH(search!$B$6,samples!#REF!,1),0)</f>
        <v>0</v>
      </c>
      <c r="G141" t="e">
        <f>IF(samples!#REF!=0,"",samples!#REF!)</f>
        <v>#REF!</v>
      </c>
      <c r="H141">
        <f>IFERROR(SEARCH(search!$B$6,samples!#REF!,1),0)</f>
        <v>0</v>
      </c>
      <c r="I141" t="e">
        <f>IF(samples!#REF!=0,"",samples!#REF!)</f>
        <v>#REF!</v>
      </c>
      <c r="J141">
        <f>IFERROR(SEARCH(search!$B$6,samples!#REF!,1),0)</f>
        <v>0</v>
      </c>
      <c r="K141" t="e">
        <f>IF(samples!#REF!=0,"",samples!#REF!)</f>
        <v>#REF!</v>
      </c>
      <c r="L141">
        <f>IFERROR(SEARCH(search!$B$6,samples!#REF!,1),0)</f>
        <v>0</v>
      </c>
      <c r="M141" t="e">
        <f>IF(samples!#REF!=0,"",samples!#REF!)</f>
        <v>#REF!</v>
      </c>
      <c r="N141">
        <f>IFERROR(SEARCH(search!$B$6,samples!#REF!,1),0)</f>
        <v>0</v>
      </c>
      <c r="O141" t="e">
        <f>IF(samples!#REF!=0,"",samples!#REF!)</f>
        <v>#REF!</v>
      </c>
      <c r="P141">
        <f>IFERROR(SEARCH(search!$B$6,samples!#REF!,1),0)</f>
        <v>0</v>
      </c>
      <c r="Q141" t="e">
        <f>IF(samples!#REF!=0,"",samples!#REF!)</f>
        <v>#REF!</v>
      </c>
      <c r="R141">
        <f>IFERROR(SEARCH(search!$B$6,samples!#REF!,1),0)</f>
        <v>0</v>
      </c>
      <c r="S141" t="e">
        <f>IF(samples!#REF!=0,"",samples!#REF!)</f>
        <v>#REF!</v>
      </c>
      <c r="T141">
        <f>IFERROR(SEARCH(search!$B$6,samples!#REF!,1),0)</f>
        <v>0</v>
      </c>
      <c r="U141" t="e">
        <f>IF(samples!#REF!=0,"",samples!#REF!)</f>
        <v>#REF!</v>
      </c>
      <c r="V141">
        <f>IFERROR(SEARCH(search!$B$6,samples!#REF!,1),0)</f>
        <v>0</v>
      </c>
      <c r="W141" t="e">
        <f>IF(samples!#REF!=0,"",samples!#REF!)</f>
        <v>#REF!</v>
      </c>
      <c r="X141">
        <f>IFERROR(SEARCH(search!$B$6,samples!#REF!,1),0)</f>
        <v>0</v>
      </c>
      <c r="Y141" t="e">
        <f>IF(samples!#REF!=0,"",samples!#REF!)</f>
        <v>#REF!</v>
      </c>
      <c r="Z141">
        <f>IFERROR(SEARCH(search!$B$6,samples!#REF!,1),0)</f>
        <v>0</v>
      </c>
      <c r="AA141" t="e">
        <f>IF(samples!#REF!=0,"",samples!#REF!)</f>
        <v>#REF!</v>
      </c>
      <c r="AB141">
        <f>IFERROR(SEARCH(search!$B$6,samples!#REF!,1),0)</f>
        <v>0</v>
      </c>
      <c r="AC141" t="e">
        <f>IF(samples!#REF!=0,"",samples!#REF!)</f>
        <v>#REF!</v>
      </c>
      <c r="AD141">
        <f>IFERROR(SEARCH(search!$B$6,samples!#REF!,1),0)</f>
        <v>0</v>
      </c>
    </row>
    <row r="142" spans="1:30">
      <c r="A142">
        <f t="shared" si="2"/>
        <v>0</v>
      </c>
      <c r="B142">
        <f>IF(SUM(D142,F142,H142,J142,L142,N142,P142,R142,T142,V142,X142,Z142,AB142,AD142)&gt;0,SUM($A$2:A142),0)</f>
        <v>0</v>
      </c>
      <c r="C142" t="e">
        <f>samples!#REF!</f>
        <v>#REF!</v>
      </c>
      <c r="D142">
        <f>IFERROR(SEARCH(search!$B$6,samples!#REF!,1),0)</f>
        <v>0</v>
      </c>
      <c r="E142" t="e">
        <f>IF(samples!#REF!=0,"",samples!#REF!)</f>
        <v>#REF!</v>
      </c>
      <c r="F142">
        <f>IFERROR(SEARCH(search!$B$6,samples!#REF!,1),0)</f>
        <v>0</v>
      </c>
      <c r="G142" t="e">
        <f>IF(samples!#REF!=0,"",samples!#REF!)</f>
        <v>#REF!</v>
      </c>
      <c r="H142">
        <f>IFERROR(SEARCH(search!$B$6,samples!#REF!,1),0)</f>
        <v>0</v>
      </c>
      <c r="I142" t="e">
        <f>IF(samples!#REF!=0,"",samples!#REF!)</f>
        <v>#REF!</v>
      </c>
      <c r="J142">
        <f>IFERROR(SEARCH(search!$B$6,samples!#REF!,1),0)</f>
        <v>0</v>
      </c>
      <c r="K142" t="e">
        <f>IF(samples!#REF!=0,"",samples!#REF!)</f>
        <v>#REF!</v>
      </c>
      <c r="L142">
        <f>IFERROR(SEARCH(search!$B$6,samples!#REF!,1),0)</f>
        <v>0</v>
      </c>
      <c r="M142" t="e">
        <f>IF(samples!#REF!=0,"",samples!#REF!)</f>
        <v>#REF!</v>
      </c>
      <c r="N142">
        <f>IFERROR(SEARCH(search!$B$6,samples!#REF!,1),0)</f>
        <v>0</v>
      </c>
      <c r="O142" t="e">
        <f>IF(samples!#REF!=0,"",samples!#REF!)</f>
        <v>#REF!</v>
      </c>
      <c r="P142">
        <f>IFERROR(SEARCH(search!$B$6,samples!#REF!,1),0)</f>
        <v>0</v>
      </c>
      <c r="Q142" t="e">
        <f>IF(samples!#REF!=0,"",samples!#REF!)</f>
        <v>#REF!</v>
      </c>
      <c r="R142">
        <f>IFERROR(SEARCH(search!$B$6,samples!#REF!,1),0)</f>
        <v>0</v>
      </c>
      <c r="S142" t="e">
        <f>IF(samples!#REF!=0,"",samples!#REF!)</f>
        <v>#REF!</v>
      </c>
      <c r="T142">
        <f>IFERROR(SEARCH(search!$B$6,samples!#REF!,1),0)</f>
        <v>0</v>
      </c>
      <c r="U142" t="e">
        <f>IF(samples!#REF!=0,"",samples!#REF!)</f>
        <v>#REF!</v>
      </c>
      <c r="V142">
        <f>IFERROR(SEARCH(search!$B$6,samples!#REF!,1),0)</f>
        <v>0</v>
      </c>
      <c r="W142" t="e">
        <f>IF(samples!#REF!=0,"",samples!#REF!)</f>
        <v>#REF!</v>
      </c>
      <c r="X142">
        <f>IFERROR(SEARCH(search!$B$6,samples!#REF!,1),0)</f>
        <v>0</v>
      </c>
      <c r="Y142" t="e">
        <f>IF(samples!#REF!=0,"",samples!#REF!)</f>
        <v>#REF!</v>
      </c>
      <c r="Z142">
        <f>IFERROR(SEARCH(search!$B$6,samples!#REF!,1),0)</f>
        <v>0</v>
      </c>
      <c r="AA142" t="e">
        <f>IF(samples!#REF!=0,"",samples!#REF!)</f>
        <v>#REF!</v>
      </c>
      <c r="AB142">
        <f>IFERROR(SEARCH(search!$B$6,samples!#REF!,1),0)</f>
        <v>0</v>
      </c>
      <c r="AC142" t="e">
        <f>IF(samples!#REF!=0,"",samples!#REF!)</f>
        <v>#REF!</v>
      </c>
      <c r="AD142">
        <f>IFERROR(SEARCH(search!$B$6,samples!#REF!,1),0)</f>
        <v>0</v>
      </c>
    </row>
    <row r="143" spans="1:30">
      <c r="A143">
        <f t="shared" si="2"/>
        <v>0</v>
      </c>
      <c r="B143">
        <f>IF(SUM(D143,F143,H143,J143,L143,N143,P143,R143,T143,V143,X143,Z143,AB143,AD143)&gt;0,SUM($A$2:A143),0)</f>
        <v>0</v>
      </c>
      <c r="C143" t="e">
        <f>samples!#REF!</f>
        <v>#REF!</v>
      </c>
      <c r="D143">
        <f>IFERROR(SEARCH(search!$B$6,samples!#REF!,1),0)</f>
        <v>0</v>
      </c>
      <c r="E143" t="e">
        <f>IF(samples!#REF!=0,"",samples!#REF!)</f>
        <v>#REF!</v>
      </c>
      <c r="F143">
        <f>IFERROR(SEARCH(search!$B$6,samples!#REF!,1),0)</f>
        <v>0</v>
      </c>
      <c r="G143" t="e">
        <f>IF(samples!#REF!=0,"",samples!#REF!)</f>
        <v>#REF!</v>
      </c>
      <c r="H143">
        <f>IFERROR(SEARCH(search!$B$6,samples!#REF!,1),0)</f>
        <v>0</v>
      </c>
      <c r="I143" t="e">
        <f>IF(samples!#REF!=0,"",samples!#REF!)</f>
        <v>#REF!</v>
      </c>
      <c r="J143">
        <f>IFERROR(SEARCH(search!$B$6,samples!#REF!,1),0)</f>
        <v>0</v>
      </c>
      <c r="K143" t="e">
        <f>IF(samples!#REF!=0,"",samples!#REF!)</f>
        <v>#REF!</v>
      </c>
      <c r="L143">
        <f>IFERROR(SEARCH(search!$B$6,samples!#REF!,1),0)</f>
        <v>0</v>
      </c>
      <c r="M143" t="e">
        <f>IF(samples!#REF!=0,"",samples!#REF!)</f>
        <v>#REF!</v>
      </c>
      <c r="N143">
        <f>IFERROR(SEARCH(search!$B$6,samples!#REF!,1),0)</f>
        <v>0</v>
      </c>
      <c r="O143" t="e">
        <f>IF(samples!#REF!=0,"",samples!#REF!)</f>
        <v>#REF!</v>
      </c>
      <c r="P143">
        <f>IFERROR(SEARCH(search!$B$6,samples!#REF!,1),0)</f>
        <v>0</v>
      </c>
      <c r="Q143" t="e">
        <f>IF(samples!#REF!=0,"",samples!#REF!)</f>
        <v>#REF!</v>
      </c>
      <c r="R143">
        <f>IFERROR(SEARCH(search!$B$6,samples!#REF!,1),0)</f>
        <v>0</v>
      </c>
      <c r="S143" t="e">
        <f>IF(samples!#REF!=0,"",samples!#REF!)</f>
        <v>#REF!</v>
      </c>
      <c r="T143">
        <f>IFERROR(SEARCH(search!$B$6,samples!#REF!,1),0)</f>
        <v>0</v>
      </c>
      <c r="U143" t="e">
        <f>IF(samples!#REF!=0,"",samples!#REF!)</f>
        <v>#REF!</v>
      </c>
      <c r="V143">
        <f>IFERROR(SEARCH(search!$B$6,samples!#REF!,1),0)</f>
        <v>0</v>
      </c>
      <c r="W143" t="e">
        <f>IF(samples!#REF!=0,"",samples!#REF!)</f>
        <v>#REF!</v>
      </c>
      <c r="X143">
        <f>IFERROR(SEARCH(search!$B$6,samples!#REF!,1),0)</f>
        <v>0</v>
      </c>
      <c r="Y143" t="e">
        <f>IF(samples!#REF!=0,"",samples!#REF!)</f>
        <v>#REF!</v>
      </c>
      <c r="Z143">
        <f>IFERROR(SEARCH(search!$B$6,samples!#REF!,1),0)</f>
        <v>0</v>
      </c>
      <c r="AA143" t="e">
        <f>IF(samples!#REF!=0,"",samples!#REF!)</f>
        <v>#REF!</v>
      </c>
      <c r="AB143">
        <f>IFERROR(SEARCH(search!$B$6,samples!#REF!,1),0)</f>
        <v>0</v>
      </c>
      <c r="AC143" t="e">
        <f>IF(samples!#REF!=0,"",samples!#REF!)</f>
        <v>#REF!</v>
      </c>
      <c r="AD143">
        <f>IFERROR(SEARCH(search!$B$6,samples!#REF!,1),0)</f>
        <v>0</v>
      </c>
    </row>
    <row r="144" spans="1:30">
      <c r="A144">
        <f t="shared" si="2"/>
        <v>0</v>
      </c>
      <c r="B144">
        <f>IF(SUM(D144,F144,H144,J144,L144,N144,P144,R144,T144,V144,X144,Z144,AB144,AD144)&gt;0,SUM($A$2:A144),0)</f>
        <v>0</v>
      </c>
      <c r="C144" t="e">
        <f>samples!#REF!</f>
        <v>#REF!</v>
      </c>
      <c r="D144">
        <f>IFERROR(SEARCH(search!$B$6,samples!#REF!,1),0)</f>
        <v>0</v>
      </c>
      <c r="E144" t="e">
        <f>IF(samples!#REF!=0,"",samples!#REF!)</f>
        <v>#REF!</v>
      </c>
      <c r="F144">
        <f>IFERROR(SEARCH(search!$B$6,samples!#REF!,1),0)</f>
        <v>0</v>
      </c>
      <c r="G144" t="e">
        <f>IF(samples!#REF!=0,"",samples!#REF!)</f>
        <v>#REF!</v>
      </c>
      <c r="H144">
        <f>IFERROR(SEARCH(search!$B$6,samples!#REF!,1),0)</f>
        <v>0</v>
      </c>
      <c r="I144" t="e">
        <f>IF(samples!#REF!=0,"",samples!#REF!)</f>
        <v>#REF!</v>
      </c>
      <c r="J144">
        <f>IFERROR(SEARCH(search!$B$6,samples!#REF!,1),0)</f>
        <v>0</v>
      </c>
      <c r="K144" t="e">
        <f>IF(samples!#REF!=0,"",samples!#REF!)</f>
        <v>#REF!</v>
      </c>
      <c r="L144">
        <f>IFERROR(SEARCH(search!$B$6,samples!#REF!,1),0)</f>
        <v>0</v>
      </c>
      <c r="M144" t="e">
        <f>IF(samples!#REF!=0,"",samples!#REF!)</f>
        <v>#REF!</v>
      </c>
      <c r="N144">
        <f>IFERROR(SEARCH(search!$B$6,samples!#REF!,1),0)</f>
        <v>0</v>
      </c>
      <c r="O144" t="e">
        <f>IF(samples!#REF!=0,"",samples!#REF!)</f>
        <v>#REF!</v>
      </c>
      <c r="P144">
        <f>IFERROR(SEARCH(search!$B$6,samples!#REF!,1),0)</f>
        <v>0</v>
      </c>
      <c r="Q144" t="e">
        <f>IF(samples!#REF!=0,"",samples!#REF!)</f>
        <v>#REF!</v>
      </c>
      <c r="R144">
        <f>IFERROR(SEARCH(search!$B$6,samples!#REF!,1),0)</f>
        <v>0</v>
      </c>
      <c r="S144" t="e">
        <f>IF(samples!#REF!=0,"",samples!#REF!)</f>
        <v>#REF!</v>
      </c>
      <c r="T144">
        <f>IFERROR(SEARCH(search!$B$6,samples!#REF!,1),0)</f>
        <v>0</v>
      </c>
      <c r="U144" t="e">
        <f>IF(samples!#REF!=0,"",samples!#REF!)</f>
        <v>#REF!</v>
      </c>
      <c r="V144">
        <f>IFERROR(SEARCH(search!$B$6,samples!#REF!,1),0)</f>
        <v>0</v>
      </c>
      <c r="W144" t="e">
        <f>IF(samples!#REF!=0,"",samples!#REF!)</f>
        <v>#REF!</v>
      </c>
      <c r="X144">
        <f>IFERROR(SEARCH(search!$B$6,samples!#REF!,1),0)</f>
        <v>0</v>
      </c>
      <c r="Y144" t="e">
        <f>IF(samples!#REF!=0,"",samples!#REF!)</f>
        <v>#REF!</v>
      </c>
      <c r="Z144">
        <f>IFERROR(SEARCH(search!$B$6,samples!#REF!,1),0)</f>
        <v>0</v>
      </c>
      <c r="AA144" t="e">
        <f>IF(samples!#REF!=0,"",samples!#REF!)</f>
        <v>#REF!</v>
      </c>
      <c r="AB144">
        <f>IFERROR(SEARCH(search!$B$6,samples!#REF!,1),0)</f>
        <v>0</v>
      </c>
      <c r="AC144" t="e">
        <f>IF(samples!#REF!=0,"",samples!#REF!)</f>
        <v>#REF!</v>
      </c>
      <c r="AD144">
        <f>IFERROR(SEARCH(search!$B$6,samples!#REF!,1),0)</f>
        <v>0</v>
      </c>
    </row>
    <row r="145" spans="1:30">
      <c r="A145">
        <f t="shared" si="2"/>
        <v>0</v>
      </c>
      <c r="B145">
        <f>IF(SUM(D145,F145,H145,J145,L145,N145,P145,R145,T145,V145,X145,Z145,AB145,AD145)&gt;0,SUM($A$2:A145),0)</f>
        <v>0</v>
      </c>
      <c r="C145" t="e">
        <f>samples!#REF!</f>
        <v>#REF!</v>
      </c>
      <c r="D145">
        <f>IFERROR(SEARCH(search!$B$6,samples!#REF!,1),0)</f>
        <v>0</v>
      </c>
      <c r="E145" t="e">
        <f>IF(samples!#REF!=0,"",samples!#REF!)</f>
        <v>#REF!</v>
      </c>
      <c r="F145">
        <f>IFERROR(SEARCH(search!$B$6,samples!#REF!,1),0)</f>
        <v>0</v>
      </c>
      <c r="G145" t="e">
        <f>IF(samples!#REF!=0,"",samples!#REF!)</f>
        <v>#REF!</v>
      </c>
      <c r="H145">
        <f>IFERROR(SEARCH(search!$B$6,samples!#REF!,1),0)</f>
        <v>0</v>
      </c>
      <c r="I145" t="e">
        <f>IF(samples!#REF!=0,"",samples!#REF!)</f>
        <v>#REF!</v>
      </c>
      <c r="J145">
        <f>IFERROR(SEARCH(search!$B$6,samples!#REF!,1),0)</f>
        <v>0</v>
      </c>
      <c r="K145" t="e">
        <f>IF(samples!#REF!=0,"",samples!#REF!)</f>
        <v>#REF!</v>
      </c>
      <c r="L145">
        <f>IFERROR(SEARCH(search!$B$6,samples!#REF!,1),0)</f>
        <v>0</v>
      </c>
      <c r="M145" t="e">
        <f>IF(samples!#REF!=0,"",samples!#REF!)</f>
        <v>#REF!</v>
      </c>
      <c r="N145">
        <f>IFERROR(SEARCH(search!$B$6,samples!#REF!,1),0)</f>
        <v>0</v>
      </c>
      <c r="O145" t="e">
        <f>IF(samples!#REF!=0,"",samples!#REF!)</f>
        <v>#REF!</v>
      </c>
      <c r="P145">
        <f>IFERROR(SEARCH(search!$B$6,samples!#REF!,1),0)</f>
        <v>0</v>
      </c>
      <c r="Q145" t="e">
        <f>IF(samples!#REF!=0,"",samples!#REF!)</f>
        <v>#REF!</v>
      </c>
      <c r="R145">
        <f>IFERROR(SEARCH(search!$B$6,samples!#REF!,1),0)</f>
        <v>0</v>
      </c>
      <c r="S145" t="e">
        <f>IF(samples!#REF!=0,"",samples!#REF!)</f>
        <v>#REF!</v>
      </c>
      <c r="T145">
        <f>IFERROR(SEARCH(search!$B$6,samples!#REF!,1),0)</f>
        <v>0</v>
      </c>
      <c r="U145" t="e">
        <f>IF(samples!#REF!=0,"",samples!#REF!)</f>
        <v>#REF!</v>
      </c>
      <c r="V145">
        <f>IFERROR(SEARCH(search!$B$6,samples!#REF!,1),0)</f>
        <v>0</v>
      </c>
      <c r="W145" t="e">
        <f>IF(samples!#REF!=0,"",samples!#REF!)</f>
        <v>#REF!</v>
      </c>
      <c r="X145">
        <f>IFERROR(SEARCH(search!$B$6,samples!#REF!,1),0)</f>
        <v>0</v>
      </c>
      <c r="Y145" t="e">
        <f>IF(samples!#REF!=0,"",samples!#REF!)</f>
        <v>#REF!</v>
      </c>
      <c r="Z145">
        <f>IFERROR(SEARCH(search!$B$6,samples!#REF!,1),0)</f>
        <v>0</v>
      </c>
      <c r="AA145" t="e">
        <f>IF(samples!#REF!=0,"",samples!#REF!)</f>
        <v>#REF!</v>
      </c>
      <c r="AB145">
        <f>IFERROR(SEARCH(search!$B$6,samples!#REF!,1),0)</f>
        <v>0</v>
      </c>
      <c r="AC145" t="e">
        <f>IF(samples!#REF!=0,"",samples!#REF!)</f>
        <v>#REF!</v>
      </c>
      <c r="AD145">
        <f>IFERROR(SEARCH(search!$B$6,samples!#REF!,1),0)</f>
        <v>0</v>
      </c>
    </row>
    <row r="146" spans="1:30">
      <c r="A146">
        <f t="shared" si="2"/>
        <v>0</v>
      </c>
      <c r="B146">
        <f>IF(SUM(D146,F146,H146,J146,L146,N146,P146,R146,T146,V146,X146,Z146,AB146,AD146)&gt;0,SUM($A$2:A146),0)</f>
        <v>0</v>
      </c>
      <c r="C146" t="e">
        <f>samples!#REF!</f>
        <v>#REF!</v>
      </c>
      <c r="D146">
        <f>IFERROR(SEARCH(search!$B$6,samples!#REF!,1),0)</f>
        <v>0</v>
      </c>
      <c r="E146" t="e">
        <f>IF(samples!#REF!=0,"",samples!#REF!)</f>
        <v>#REF!</v>
      </c>
      <c r="F146">
        <f>IFERROR(SEARCH(search!$B$6,samples!#REF!,1),0)</f>
        <v>0</v>
      </c>
      <c r="G146" t="e">
        <f>IF(samples!#REF!=0,"",samples!#REF!)</f>
        <v>#REF!</v>
      </c>
      <c r="H146">
        <f>IFERROR(SEARCH(search!$B$6,samples!#REF!,1),0)</f>
        <v>0</v>
      </c>
      <c r="I146" t="e">
        <f>IF(samples!#REF!=0,"",samples!#REF!)</f>
        <v>#REF!</v>
      </c>
      <c r="J146">
        <f>IFERROR(SEARCH(search!$B$6,samples!#REF!,1),0)</f>
        <v>0</v>
      </c>
      <c r="K146" t="e">
        <f>IF(samples!#REF!=0,"",samples!#REF!)</f>
        <v>#REF!</v>
      </c>
      <c r="L146">
        <f>IFERROR(SEARCH(search!$B$6,samples!#REF!,1),0)</f>
        <v>0</v>
      </c>
      <c r="M146" t="e">
        <f>IF(samples!#REF!=0,"",samples!#REF!)</f>
        <v>#REF!</v>
      </c>
      <c r="N146">
        <f>IFERROR(SEARCH(search!$B$6,samples!#REF!,1),0)</f>
        <v>0</v>
      </c>
      <c r="O146" t="e">
        <f>IF(samples!#REF!=0,"",samples!#REF!)</f>
        <v>#REF!</v>
      </c>
      <c r="P146">
        <f>IFERROR(SEARCH(search!$B$6,samples!#REF!,1),0)</f>
        <v>0</v>
      </c>
      <c r="Q146" t="e">
        <f>IF(samples!#REF!=0,"",samples!#REF!)</f>
        <v>#REF!</v>
      </c>
      <c r="R146">
        <f>IFERROR(SEARCH(search!$B$6,samples!#REF!,1),0)</f>
        <v>0</v>
      </c>
      <c r="S146" t="e">
        <f>IF(samples!#REF!=0,"",samples!#REF!)</f>
        <v>#REF!</v>
      </c>
      <c r="T146">
        <f>IFERROR(SEARCH(search!$B$6,samples!#REF!,1),0)</f>
        <v>0</v>
      </c>
      <c r="U146" t="e">
        <f>IF(samples!#REF!=0,"",samples!#REF!)</f>
        <v>#REF!</v>
      </c>
      <c r="V146">
        <f>IFERROR(SEARCH(search!$B$6,samples!#REF!,1),0)</f>
        <v>0</v>
      </c>
      <c r="W146" t="e">
        <f>IF(samples!#REF!=0,"",samples!#REF!)</f>
        <v>#REF!</v>
      </c>
      <c r="X146">
        <f>IFERROR(SEARCH(search!$B$6,samples!#REF!,1),0)</f>
        <v>0</v>
      </c>
      <c r="Y146" t="e">
        <f>IF(samples!#REF!=0,"",samples!#REF!)</f>
        <v>#REF!</v>
      </c>
      <c r="Z146">
        <f>IFERROR(SEARCH(search!$B$6,samples!#REF!,1),0)</f>
        <v>0</v>
      </c>
      <c r="AA146" t="e">
        <f>IF(samples!#REF!=0,"",samples!#REF!)</f>
        <v>#REF!</v>
      </c>
      <c r="AB146">
        <f>IFERROR(SEARCH(search!$B$6,samples!#REF!,1),0)</f>
        <v>0</v>
      </c>
      <c r="AC146" t="e">
        <f>IF(samples!#REF!=0,"",samples!#REF!)</f>
        <v>#REF!</v>
      </c>
      <c r="AD146">
        <f>IFERROR(SEARCH(search!$B$6,samples!#REF!,1),0)</f>
        <v>0</v>
      </c>
    </row>
    <row r="147" spans="1:30">
      <c r="A147">
        <f t="shared" si="2"/>
        <v>0</v>
      </c>
      <c r="B147">
        <f>IF(SUM(D147,F147,H147,J147,L147,N147,P147,R147,T147,V147,X147,Z147,AB147,AD147)&gt;0,SUM($A$2:A147),0)</f>
        <v>0</v>
      </c>
      <c r="C147" t="e">
        <f>samples!#REF!</f>
        <v>#REF!</v>
      </c>
      <c r="D147">
        <f>IFERROR(SEARCH(search!$B$6,samples!#REF!,1),0)</f>
        <v>0</v>
      </c>
      <c r="E147" t="e">
        <f>IF(samples!#REF!=0,"",samples!#REF!)</f>
        <v>#REF!</v>
      </c>
      <c r="F147">
        <f>IFERROR(SEARCH(search!$B$6,samples!#REF!,1),0)</f>
        <v>0</v>
      </c>
      <c r="G147" t="e">
        <f>IF(samples!#REF!=0,"",samples!#REF!)</f>
        <v>#REF!</v>
      </c>
      <c r="H147">
        <f>IFERROR(SEARCH(search!$B$6,samples!#REF!,1),0)</f>
        <v>0</v>
      </c>
      <c r="I147" t="e">
        <f>IF(samples!#REF!=0,"",samples!#REF!)</f>
        <v>#REF!</v>
      </c>
      <c r="J147">
        <f>IFERROR(SEARCH(search!$B$6,samples!#REF!,1),0)</f>
        <v>0</v>
      </c>
      <c r="K147" t="e">
        <f>IF(samples!#REF!=0,"",samples!#REF!)</f>
        <v>#REF!</v>
      </c>
      <c r="L147">
        <f>IFERROR(SEARCH(search!$B$6,samples!#REF!,1),0)</f>
        <v>0</v>
      </c>
      <c r="M147" t="e">
        <f>IF(samples!#REF!=0,"",samples!#REF!)</f>
        <v>#REF!</v>
      </c>
      <c r="N147">
        <f>IFERROR(SEARCH(search!$B$6,samples!#REF!,1),0)</f>
        <v>0</v>
      </c>
      <c r="O147" t="e">
        <f>IF(samples!#REF!=0,"",samples!#REF!)</f>
        <v>#REF!</v>
      </c>
      <c r="P147">
        <f>IFERROR(SEARCH(search!$B$6,samples!#REF!,1),0)</f>
        <v>0</v>
      </c>
      <c r="Q147" t="e">
        <f>IF(samples!#REF!=0,"",samples!#REF!)</f>
        <v>#REF!</v>
      </c>
      <c r="R147">
        <f>IFERROR(SEARCH(search!$B$6,samples!#REF!,1),0)</f>
        <v>0</v>
      </c>
      <c r="S147" t="e">
        <f>IF(samples!#REF!=0,"",samples!#REF!)</f>
        <v>#REF!</v>
      </c>
      <c r="T147">
        <f>IFERROR(SEARCH(search!$B$6,samples!#REF!,1),0)</f>
        <v>0</v>
      </c>
      <c r="U147" t="e">
        <f>IF(samples!#REF!=0,"",samples!#REF!)</f>
        <v>#REF!</v>
      </c>
      <c r="V147">
        <f>IFERROR(SEARCH(search!$B$6,samples!#REF!,1),0)</f>
        <v>0</v>
      </c>
      <c r="W147" t="e">
        <f>IF(samples!#REF!=0,"",samples!#REF!)</f>
        <v>#REF!</v>
      </c>
      <c r="X147">
        <f>IFERROR(SEARCH(search!$B$6,samples!#REF!,1),0)</f>
        <v>0</v>
      </c>
      <c r="Y147" t="e">
        <f>IF(samples!#REF!=0,"",samples!#REF!)</f>
        <v>#REF!</v>
      </c>
      <c r="Z147">
        <f>IFERROR(SEARCH(search!$B$6,samples!#REF!,1),0)</f>
        <v>0</v>
      </c>
      <c r="AA147" t="e">
        <f>IF(samples!#REF!=0,"",samples!#REF!)</f>
        <v>#REF!</v>
      </c>
      <c r="AB147">
        <f>IFERROR(SEARCH(search!$B$6,samples!#REF!,1),0)</f>
        <v>0</v>
      </c>
      <c r="AC147" t="e">
        <f>IF(samples!#REF!=0,"",samples!#REF!)</f>
        <v>#REF!</v>
      </c>
      <c r="AD147">
        <f>IFERROR(SEARCH(search!$B$6,samples!#REF!,1),0)</f>
        <v>0</v>
      </c>
    </row>
    <row r="148" spans="1:30">
      <c r="A148">
        <f t="shared" si="2"/>
        <v>0</v>
      </c>
      <c r="B148">
        <f>IF(SUM(D148,F148,H148,J148,L148,N148,P148,R148,T148,V148,X148,Z148,AB148,AD148)&gt;0,SUM($A$2:A148),0)</f>
        <v>0</v>
      </c>
      <c r="C148" t="e">
        <f>samples!#REF!</f>
        <v>#REF!</v>
      </c>
      <c r="D148">
        <f>IFERROR(SEARCH(search!$B$6,samples!#REF!,1),0)</f>
        <v>0</v>
      </c>
      <c r="E148" t="e">
        <f>IF(samples!#REF!=0,"",samples!#REF!)</f>
        <v>#REF!</v>
      </c>
      <c r="F148">
        <f>IFERROR(SEARCH(search!$B$6,samples!#REF!,1),0)</f>
        <v>0</v>
      </c>
      <c r="G148" t="e">
        <f>IF(samples!#REF!=0,"",samples!#REF!)</f>
        <v>#REF!</v>
      </c>
      <c r="H148">
        <f>IFERROR(SEARCH(search!$B$6,samples!#REF!,1),0)</f>
        <v>0</v>
      </c>
      <c r="I148" t="e">
        <f>IF(samples!#REF!=0,"",samples!#REF!)</f>
        <v>#REF!</v>
      </c>
      <c r="J148">
        <f>IFERROR(SEARCH(search!$B$6,samples!#REF!,1),0)</f>
        <v>0</v>
      </c>
      <c r="K148" t="e">
        <f>IF(samples!#REF!=0,"",samples!#REF!)</f>
        <v>#REF!</v>
      </c>
      <c r="L148">
        <f>IFERROR(SEARCH(search!$B$6,samples!#REF!,1),0)</f>
        <v>0</v>
      </c>
      <c r="M148" t="e">
        <f>IF(samples!#REF!=0,"",samples!#REF!)</f>
        <v>#REF!</v>
      </c>
      <c r="N148">
        <f>IFERROR(SEARCH(search!$B$6,samples!#REF!,1),0)</f>
        <v>0</v>
      </c>
      <c r="O148" t="e">
        <f>IF(samples!#REF!=0,"",samples!#REF!)</f>
        <v>#REF!</v>
      </c>
      <c r="P148">
        <f>IFERROR(SEARCH(search!$B$6,samples!#REF!,1),0)</f>
        <v>0</v>
      </c>
      <c r="Q148" t="e">
        <f>IF(samples!#REF!=0,"",samples!#REF!)</f>
        <v>#REF!</v>
      </c>
      <c r="R148">
        <f>IFERROR(SEARCH(search!$B$6,samples!#REF!,1),0)</f>
        <v>0</v>
      </c>
      <c r="S148" t="e">
        <f>IF(samples!#REF!=0,"",samples!#REF!)</f>
        <v>#REF!</v>
      </c>
      <c r="T148">
        <f>IFERROR(SEARCH(search!$B$6,samples!#REF!,1),0)</f>
        <v>0</v>
      </c>
      <c r="U148" t="e">
        <f>IF(samples!#REF!=0,"",samples!#REF!)</f>
        <v>#REF!</v>
      </c>
      <c r="V148">
        <f>IFERROR(SEARCH(search!$B$6,samples!#REF!,1),0)</f>
        <v>0</v>
      </c>
      <c r="W148" t="e">
        <f>IF(samples!#REF!=0,"",samples!#REF!)</f>
        <v>#REF!</v>
      </c>
      <c r="X148">
        <f>IFERROR(SEARCH(search!$B$6,samples!#REF!,1),0)</f>
        <v>0</v>
      </c>
      <c r="Y148" t="e">
        <f>IF(samples!#REF!=0,"",samples!#REF!)</f>
        <v>#REF!</v>
      </c>
      <c r="Z148">
        <f>IFERROR(SEARCH(search!$B$6,samples!#REF!,1),0)</f>
        <v>0</v>
      </c>
      <c r="AA148" t="e">
        <f>IF(samples!#REF!=0,"",samples!#REF!)</f>
        <v>#REF!</v>
      </c>
      <c r="AB148">
        <f>IFERROR(SEARCH(search!$B$6,samples!#REF!,1),0)</f>
        <v>0</v>
      </c>
      <c r="AC148" t="e">
        <f>IF(samples!#REF!=0,"",samples!#REF!)</f>
        <v>#REF!</v>
      </c>
      <c r="AD148">
        <f>IFERROR(SEARCH(search!$B$6,samples!#REF!,1),0)</f>
        <v>0</v>
      </c>
    </row>
    <row r="149" spans="1:30">
      <c r="A149">
        <f t="shared" si="2"/>
        <v>0</v>
      </c>
      <c r="B149">
        <f>IF(SUM(D149,F149,H149,J149,L149,N149,P149,R149,T149,V149,X149,Z149,AB149,AD149)&gt;0,SUM($A$2:A149),0)</f>
        <v>0</v>
      </c>
      <c r="C149" t="e">
        <f>samples!#REF!</f>
        <v>#REF!</v>
      </c>
      <c r="D149">
        <f>IFERROR(SEARCH(search!$B$6,samples!#REF!,1),0)</f>
        <v>0</v>
      </c>
      <c r="E149" t="e">
        <f>IF(samples!#REF!=0,"",samples!#REF!)</f>
        <v>#REF!</v>
      </c>
      <c r="F149">
        <f>IFERROR(SEARCH(search!$B$6,samples!#REF!,1),0)</f>
        <v>0</v>
      </c>
      <c r="G149" t="e">
        <f>IF(samples!#REF!=0,"",samples!#REF!)</f>
        <v>#REF!</v>
      </c>
      <c r="H149">
        <f>IFERROR(SEARCH(search!$B$6,samples!#REF!,1),0)</f>
        <v>0</v>
      </c>
      <c r="I149" t="e">
        <f>IF(samples!#REF!=0,"",samples!#REF!)</f>
        <v>#REF!</v>
      </c>
      <c r="J149">
        <f>IFERROR(SEARCH(search!$B$6,samples!#REF!,1),0)</f>
        <v>0</v>
      </c>
      <c r="K149" t="e">
        <f>IF(samples!#REF!=0,"",samples!#REF!)</f>
        <v>#REF!</v>
      </c>
      <c r="L149">
        <f>IFERROR(SEARCH(search!$B$6,samples!#REF!,1),0)</f>
        <v>0</v>
      </c>
      <c r="M149" t="e">
        <f>IF(samples!#REF!=0,"",samples!#REF!)</f>
        <v>#REF!</v>
      </c>
      <c r="N149">
        <f>IFERROR(SEARCH(search!$B$6,samples!#REF!,1),0)</f>
        <v>0</v>
      </c>
      <c r="O149" t="e">
        <f>IF(samples!#REF!=0,"",samples!#REF!)</f>
        <v>#REF!</v>
      </c>
      <c r="P149">
        <f>IFERROR(SEARCH(search!$B$6,samples!#REF!,1),0)</f>
        <v>0</v>
      </c>
      <c r="Q149" t="e">
        <f>IF(samples!#REF!=0,"",samples!#REF!)</f>
        <v>#REF!</v>
      </c>
      <c r="R149">
        <f>IFERROR(SEARCH(search!$B$6,samples!#REF!,1),0)</f>
        <v>0</v>
      </c>
      <c r="S149" t="e">
        <f>IF(samples!#REF!=0,"",samples!#REF!)</f>
        <v>#REF!</v>
      </c>
      <c r="T149">
        <f>IFERROR(SEARCH(search!$B$6,samples!#REF!,1),0)</f>
        <v>0</v>
      </c>
      <c r="U149" t="e">
        <f>IF(samples!#REF!=0,"",samples!#REF!)</f>
        <v>#REF!</v>
      </c>
      <c r="V149">
        <f>IFERROR(SEARCH(search!$B$6,samples!#REF!,1),0)</f>
        <v>0</v>
      </c>
      <c r="W149" t="e">
        <f>IF(samples!#REF!=0,"",samples!#REF!)</f>
        <v>#REF!</v>
      </c>
      <c r="X149">
        <f>IFERROR(SEARCH(search!$B$6,samples!#REF!,1),0)</f>
        <v>0</v>
      </c>
      <c r="Y149" t="e">
        <f>IF(samples!#REF!=0,"",samples!#REF!)</f>
        <v>#REF!</v>
      </c>
      <c r="Z149">
        <f>IFERROR(SEARCH(search!$B$6,samples!#REF!,1),0)</f>
        <v>0</v>
      </c>
      <c r="AA149" t="e">
        <f>IF(samples!#REF!=0,"",samples!#REF!)</f>
        <v>#REF!</v>
      </c>
      <c r="AB149">
        <f>IFERROR(SEARCH(search!$B$6,samples!#REF!,1),0)</f>
        <v>0</v>
      </c>
      <c r="AC149" t="e">
        <f>IF(samples!#REF!=0,"",samples!#REF!)</f>
        <v>#REF!</v>
      </c>
      <c r="AD149">
        <f>IFERROR(SEARCH(search!$B$6,samples!#REF!,1),0)</f>
        <v>0</v>
      </c>
    </row>
    <row r="150" spans="1:30">
      <c r="A150">
        <f t="shared" si="2"/>
        <v>0</v>
      </c>
      <c r="B150">
        <f>IF(SUM(D150,F150,H150,J150,L150,N150,P150,R150,T150,V150,X150,Z150,AB150,AD150)&gt;0,SUM($A$2:A150),0)</f>
        <v>0</v>
      </c>
      <c r="C150" t="e">
        <f>samples!#REF!</f>
        <v>#REF!</v>
      </c>
      <c r="D150">
        <f>IFERROR(SEARCH(search!$B$6,samples!#REF!,1),0)</f>
        <v>0</v>
      </c>
      <c r="E150" t="e">
        <f>IF(samples!#REF!=0,"",samples!#REF!)</f>
        <v>#REF!</v>
      </c>
      <c r="F150">
        <f>IFERROR(SEARCH(search!$B$6,samples!#REF!,1),0)</f>
        <v>0</v>
      </c>
      <c r="G150" t="e">
        <f>IF(samples!#REF!=0,"",samples!#REF!)</f>
        <v>#REF!</v>
      </c>
      <c r="H150">
        <f>IFERROR(SEARCH(search!$B$6,samples!#REF!,1),0)</f>
        <v>0</v>
      </c>
      <c r="I150" t="e">
        <f>IF(samples!#REF!=0,"",samples!#REF!)</f>
        <v>#REF!</v>
      </c>
      <c r="J150">
        <f>IFERROR(SEARCH(search!$B$6,samples!#REF!,1),0)</f>
        <v>0</v>
      </c>
      <c r="K150" t="e">
        <f>IF(samples!#REF!=0,"",samples!#REF!)</f>
        <v>#REF!</v>
      </c>
      <c r="L150">
        <f>IFERROR(SEARCH(search!$B$6,samples!#REF!,1),0)</f>
        <v>0</v>
      </c>
      <c r="M150" t="e">
        <f>IF(samples!#REF!=0,"",samples!#REF!)</f>
        <v>#REF!</v>
      </c>
      <c r="N150">
        <f>IFERROR(SEARCH(search!$B$6,samples!#REF!,1),0)</f>
        <v>0</v>
      </c>
      <c r="O150" t="e">
        <f>IF(samples!#REF!=0,"",samples!#REF!)</f>
        <v>#REF!</v>
      </c>
      <c r="P150">
        <f>IFERROR(SEARCH(search!$B$6,samples!#REF!,1),0)</f>
        <v>0</v>
      </c>
      <c r="Q150" t="e">
        <f>IF(samples!#REF!=0,"",samples!#REF!)</f>
        <v>#REF!</v>
      </c>
      <c r="R150">
        <f>IFERROR(SEARCH(search!$B$6,samples!#REF!,1),0)</f>
        <v>0</v>
      </c>
      <c r="S150" t="e">
        <f>IF(samples!#REF!=0,"",samples!#REF!)</f>
        <v>#REF!</v>
      </c>
      <c r="T150">
        <f>IFERROR(SEARCH(search!$B$6,samples!#REF!,1),0)</f>
        <v>0</v>
      </c>
      <c r="U150" t="e">
        <f>IF(samples!#REF!=0,"",samples!#REF!)</f>
        <v>#REF!</v>
      </c>
      <c r="V150">
        <f>IFERROR(SEARCH(search!$B$6,samples!#REF!,1),0)</f>
        <v>0</v>
      </c>
      <c r="W150" t="e">
        <f>IF(samples!#REF!=0,"",samples!#REF!)</f>
        <v>#REF!</v>
      </c>
      <c r="X150">
        <f>IFERROR(SEARCH(search!$B$6,samples!#REF!,1),0)</f>
        <v>0</v>
      </c>
      <c r="Y150" t="e">
        <f>IF(samples!#REF!=0,"",samples!#REF!)</f>
        <v>#REF!</v>
      </c>
      <c r="Z150">
        <f>IFERROR(SEARCH(search!$B$6,samples!#REF!,1),0)</f>
        <v>0</v>
      </c>
      <c r="AA150" t="e">
        <f>IF(samples!#REF!=0,"",samples!#REF!)</f>
        <v>#REF!</v>
      </c>
      <c r="AB150">
        <f>IFERROR(SEARCH(search!$B$6,samples!#REF!,1),0)</f>
        <v>0</v>
      </c>
      <c r="AC150" t="e">
        <f>IF(samples!#REF!=0,"",samples!#REF!)</f>
        <v>#REF!</v>
      </c>
      <c r="AD150">
        <f>IFERROR(SEARCH(search!$B$6,samples!#REF!,1),0)</f>
        <v>0</v>
      </c>
    </row>
    <row r="151" spans="1:30">
      <c r="A151">
        <f t="shared" si="2"/>
        <v>0</v>
      </c>
      <c r="B151">
        <f>IF(SUM(D151,F151,H151,J151,L151,N151,P151,R151,T151,V151,X151,Z151,AB151,AD151)&gt;0,SUM($A$2:A151),0)</f>
        <v>0</v>
      </c>
      <c r="C151" t="e">
        <f>samples!#REF!</f>
        <v>#REF!</v>
      </c>
      <c r="D151">
        <f>IFERROR(SEARCH(search!$B$6,samples!#REF!,1),0)</f>
        <v>0</v>
      </c>
      <c r="E151" t="e">
        <f>IF(samples!#REF!=0,"",samples!#REF!)</f>
        <v>#REF!</v>
      </c>
      <c r="F151">
        <f>IFERROR(SEARCH(search!$B$6,samples!#REF!,1),0)</f>
        <v>0</v>
      </c>
      <c r="G151" t="e">
        <f>IF(samples!#REF!=0,"",samples!#REF!)</f>
        <v>#REF!</v>
      </c>
      <c r="H151">
        <f>IFERROR(SEARCH(search!$B$6,samples!#REF!,1),0)</f>
        <v>0</v>
      </c>
      <c r="I151" t="e">
        <f>IF(samples!#REF!=0,"",samples!#REF!)</f>
        <v>#REF!</v>
      </c>
      <c r="J151">
        <f>IFERROR(SEARCH(search!$B$6,samples!#REF!,1),0)</f>
        <v>0</v>
      </c>
      <c r="K151" t="e">
        <f>IF(samples!#REF!=0,"",samples!#REF!)</f>
        <v>#REF!</v>
      </c>
      <c r="L151">
        <f>IFERROR(SEARCH(search!$B$6,samples!#REF!,1),0)</f>
        <v>0</v>
      </c>
      <c r="M151" t="e">
        <f>IF(samples!#REF!=0,"",samples!#REF!)</f>
        <v>#REF!</v>
      </c>
      <c r="N151">
        <f>IFERROR(SEARCH(search!$B$6,samples!#REF!,1),0)</f>
        <v>0</v>
      </c>
      <c r="O151" t="e">
        <f>IF(samples!#REF!=0,"",samples!#REF!)</f>
        <v>#REF!</v>
      </c>
      <c r="P151">
        <f>IFERROR(SEARCH(search!$B$6,samples!#REF!,1),0)</f>
        <v>0</v>
      </c>
      <c r="Q151" t="e">
        <f>IF(samples!#REF!=0,"",samples!#REF!)</f>
        <v>#REF!</v>
      </c>
      <c r="R151">
        <f>IFERROR(SEARCH(search!$B$6,samples!#REF!,1),0)</f>
        <v>0</v>
      </c>
      <c r="S151" t="e">
        <f>IF(samples!#REF!=0,"",samples!#REF!)</f>
        <v>#REF!</v>
      </c>
      <c r="T151">
        <f>IFERROR(SEARCH(search!$B$6,samples!#REF!,1),0)</f>
        <v>0</v>
      </c>
      <c r="U151" t="e">
        <f>IF(samples!#REF!=0,"",samples!#REF!)</f>
        <v>#REF!</v>
      </c>
      <c r="V151">
        <f>IFERROR(SEARCH(search!$B$6,samples!#REF!,1),0)</f>
        <v>0</v>
      </c>
      <c r="W151" t="e">
        <f>IF(samples!#REF!=0,"",samples!#REF!)</f>
        <v>#REF!</v>
      </c>
      <c r="X151">
        <f>IFERROR(SEARCH(search!$B$6,samples!#REF!,1),0)</f>
        <v>0</v>
      </c>
      <c r="Y151" t="e">
        <f>IF(samples!#REF!=0,"",samples!#REF!)</f>
        <v>#REF!</v>
      </c>
      <c r="Z151">
        <f>IFERROR(SEARCH(search!$B$6,samples!#REF!,1),0)</f>
        <v>0</v>
      </c>
      <c r="AA151" t="e">
        <f>IF(samples!#REF!=0,"",samples!#REF!)</f>
        <v>#REF!</v>
      </c>
      <c r="AB151">
        <f>IFERROR(SEARCH(search!$B$6,samples!#REF!,1),0)</f>
        <v>0</v>
      </c>
      <c r="AC151" t="e">
        <f>IF(samples!#REF!=0,"",samples!#REF!)</f>
        <v>#REF!</v>
      </c>
      <c r="AD151">
        <f>IFERROR(SEARCH(search!$B$6,samples!#REF!,1),0)</f>
        <v>0</v>
      </c>
    </row>
    <row r="152" spans="1:30">
      <c r="A152">
        <f t="shared" si="2"/>
        <v>0</v>
      </c>
      <c r="B152">
        <f>IF(SUM(D152,F152,H152,J152,L152,N152,P152,R152,T152,V152,X152,Z152,AB152,AD152)&gt;0,SUM($A$2:A152),0)</f>
        <v>0</v>
      </c>
      <c r="C152" t="e">
        <f>samples!#REF!</f>
        <v>#REF!</v>
      </c>
      <c r="D152">
        <f>IFERROR(SEARCH(search!$B$6,samples!#REF!,1),0)</f>
        <v>0</v>
      </c>
      <c r="E152" t="e">
        <f>IF(samples!#REF!=0,"",samples!#REF!)</f>
        <v>#REF!</v>
      </c>
      <c r="F152">
        <f>IFERROR(SEARCH(search!$B$6,samples!#REF!,1),0)</f>
        <v>0</v>
      </c>
      <c r="G152" t="e">
        <f>IF(samples!#REF!=0,"",samples!#REF!)</f>
        <v>#REF!</v>
      </c>
      <c r="H152">
        <f>IFERROR(SEARCH(search!$B$6,samples!#REF!,1),0)</f>
        <v>0</v>
      </c>
      <c r="I152" t="e">
        <f>IF(samples!#REF!=0,"",samples!#REF!)</f>
        <v>#REF!</v>
      </c>
      <c r="J152">
        <f>IFERROR(SEARCH(search!$B$6,samples!#REF!,1),0)</f>
        <v>0</v>
      </c>
      <c r="K152" t="e">
        <f>IF(samples!#REF!=0,"",samples!#REF!)</f>
        <v>#REF!</v>
      </c>
      <c r="L152">
        <f>IFERROR(SEARCH(search!$B$6,samples!#REF!,1),0)</f>
        <v>0</v>
      </c>
      <c r="M152" t="e">
        <f>IF(samples!#REF!=0,"",samples!#REF!)</f>
        <v>#REF!</v>
      </c>
      <c r="N152">
        <f>IFERROR(SEARCH(search!$B$6,samples!#REF!,1),0)</f>
        <v>0</v>
      </c>
      <c r="O152" t="e">
        <f>IF(samples!#REF!=0,"",samples!#REF!)</f>
        <v>#REF!</v>
      </c>
      <c r="P152">
        <f>IFERROR(SEARCH(search!$B$6,samples!#REF!,1),0)</f>
        <v>0</v>
      </c>
      <c r="Q152" t="e">
        <f>IF(samples!#REF!=0,"",samples!#REF!)</f>
        <v>#REF!</v>
      </c>
      <c r="R152">
        <f>IFERROR(SEARCH(search!$B$6,samples!#REF!,1),0)</f>
        <v>0</v>
      </c>
      <c r="S152" t="e">
        <f>IF(samples!#REF!=0,"",samples!#REF!)</f>
        <v>#REF!</v>
      </c>
      <c r="T152">
        <f>IFERROR(SEARCH(search!$B$6,samples!#REF!,1),0)</f>
        <v>0</v>
      </c>
      <c r="U152" t="e">
        <f>IF(samples!#REF!=0,"",samples!#REF!)</f>
        <v>#REF!</v>
      </c>
      <c r="V152">
        <f>IFERROR(SEARCH(search!$B$6,samples!#REF!,1),0)</f>
        <v>0</v>
      </c>
      <c r="W152" t="e">
        <f>IF(samples!#REF!=0,"",samples!#REF!)</f>
        <v>#REF!</v>
      </c>
      <c r="X152">
        <f>IFERROR(SEARCH(search!$B$6,samples!#REF!,1),0)</f>
        <v>0</v>
      </c>
      <c r="Y152" t="e">
        <f>IF(samples!#REF!=0,"",samples!#REF!)</f>
        <v>#REF!</v>
      </c>
      <c r="Z152">
        <f>IFERROR(SEARCH(search!$B$6,samples!#REF!,1),0)</f>
        <v>0</v>
      </c>
      <c r="AA152" t="e">
        <f>IF(samples!#REF!=0,"",samples!#REF!)</f>
        <v>#REF!</v>
      </c>
      <c r="AB152">
        <f>IFERROR(SEARCH(search!$B$6,samples!#REF!,1),0)</f>
        <v>0</v>
      </c>
      <c r="AC152" t="e">
        <f>IF(samples!#REF!=0,"",samples!#REF!)</f>
        <v>#REF!</v>
      </c>
      <c r="AD152">
        <f>IFERROR(SEARCH(search!$B$6,samples!#REF!,1),0)</f>
        <v>0</v>
      </c>
    </row>
    <row r="153" spans="1:30">
      <c r="A153">
        <f t="shared" si="2"/>
        <v>0</v>
      </c>
      <c r="B153">
        <f>IF(SUM(D153,F153,H153,J153,L153,N153,P153,R153,T153,V153,X153,Z153,AB153,AD153)&gt;0,SUM($A$2:A153),0)</f>
        <v>0</v>
      </c>
      <c r="C153" t="e">
        <f>samples!#REF!</f>
        <v>#REF!</v>
      </c>
      <c r="D153">
        <f>IFERROR(SEARCH(search!$B$6,samples!#REF!,1),0)</f>
        <v>0</v>
      </c>
      <c r="E153" t="e">
        <f>IF(samples!#REF!=0,"",samples!#REF!)</f>
        <v>#REF!</v>
      </c>
      <c r="F153">
        <f>IFERROR(SEARCH(search!$B$6,samples!#REF!,1),0)</f>
        <v>0</v>
      </c>
      <c r="G153" t="e">
        <f>IF(samples!#REF!=0,"",samples!#REF!)</f>
        <v>#REF!</v>
      </c>
      <c r="H153">
        <f>IFERROR(SEARCH(search!$B$6,samples!#REF!,1),0)</f>
        <v>0</v>
      </c>
      <c r="I153" t="e">
        <f>IF(samples!#REF!=0,"",samples!#REF!)</f>
        <v>#REF!</v>
      </c>
      <c r="J153">
        <f>IFERROR(SEARCH(search!$B$6,samples!#REF!,1),0)</f>
        <v>0</v>
      </c>
      <c r="K153" t="e">
        <f>IF(samples!#REF!=0,"",samples!#REF!)</f>
        <v>#REF!</v>
      </c>
      <c r="L153">
        <f>IFERROR(SEARCH(search!$B$6,samples!#REF!,1),0)</f>
        <v>0</v>
      </c>
      <c r="M153" t="e">
        <f>IF(samples!#REF!=0,"",samples!#REF!)</f>
        <v>#REF!</v>
      </c>
      <c r="N153">
        <f>IFERROR(SEARCH(search!$B$6,samples!#REF!,1),0)</f>
        <v>0</v>
      </c>
      <c r="O153" t="e">
        <f>IF(samples!#REF!=0,"",samples!#REF!)</f>
        <v>#REF!</v>
      </c>
      <c r="P153">
        <f>IFERROR(SEARCH(search!$B$6,samples!#REF!,1),0)</f>
        <v>0</v>
      </c>
      <c r="Q153" t="e">
        <f>IF(samples!#REF!=0,"",samples!#REF!)</f>
        <v>#REF!</v>
      </c>
      <c r="R153">
        <f>IFERROR(SEARCH(search!$B$6,samples!#REF!,1),0)</f>
        <v>0</v>
      </c>
      <c r="S153" t="e">
        <f>IF(samples!#REF!=0,"",samples!#REF!)</f>
        <v>#REF!</v>
      </c>
      <c r="T153">
        <f>IFERROR(SEARCH(search!$B$6,samples!#REF!,1),0)</f>
        <v>0</v>
      </c>
      <c r="U153" t="e">
        <f>IF(samples!#REF!=0,"",samples!#REF!)</f>
        <v>#REF!</v>
      </c>
      <c r="V153">
        <f>IFERROR(SEARCH(search!$B$6,samples!#REF!,1),0)</f>
        <v>0</v>
      </c>
      <c r="W153" t="e">
        <f>IF(samples!#REF!=0,"",samples!#REF!)</f>
        <v>#REF!</v>
      </c>
      <c r="X153">
        <f>IFERROR(SEARCH(search!$B$6,samples!#REF!,1),0)</f>
        <v>0</v>
      </c>
      <c r="Y153" t="e">
        <f>IF(samples!#REF!=0,"",samples!#REF!)</f>
        <v>#REF!</v>
      </c>
      <c r="Z153">
        <f>IFERROR(SEARCH(search!$B$6,samples!#REF!,1),0)</f>
        <v>0</v>
      </c>
      <c r="AA153" t="e">
        <f>IF(samples!#REF!=0,"",samples!#REF!)</f>
        <v>#REF!</v>
      </c>
      <c r="AB153">
        <f>IFERROR(SEARCH(search!$B$6,samples!#REF!,1),0)</f>
        <v>0</v>
      </c>
      <c r="AC153" t="e">
        <f>IF(samples!#REF!=0,"",samples!#REF!)</f>
        <v>#REF!</v>
      </c>
      <c r="AD153">
        <f>IFERROR(SEARCH(search!$B$6,samples!#REF!,1),0)</f>
        <v>0</v>
      </c>
    </row>
    <row r="154" spans="1:30">
      <c r="A154">
        <f t="shared" si="2"/>
        <v>0</v>
      </c>
      <c r="B154">
        <f>IF(SUM(D154,F154,H154,J154,L154,N154,P154,R154,T154,V154,X154,Z154,AB154,AD154)&gt;0,SUM($A$2:A154),0)</f>
        <v>0</v>
      </c>
      <c r="C154" t="e">
        <f>samples!#REF!</f>
        <v>#REF!</v>
      </c>
      <c r="D154">
        <f>IFERROR(SEARCH(search!$B$6,samples!#REF!,1),0)</f>
        <v>0</v>
      </c>
      <c r="E154" t="e">
        <f>IF(samples!#REF!=0,"",samples!#REF!)</f>
        <v>#REF!</v>
      </c>
      <c r="F154">
        <f>IFERROR(SEARCH(search!$B$6,samples!#REF!,1),0)</f>
        <v>0</v>
      </c>
      <c r="G154" t="e">
        <f>IF(samples!#REF!=0,"",samples!#REF!)</f>
        <v>#REF!</v>
      </c>
      <c r="H154">
        <f>IFERROR(SEARCH(search!$B$6,samples!#REF!,1),0)</f>
        <v>0</v>
      </c>
      <c r="I154" t="e">
        <f>IF(samples!#REF!=0,"",samples!#REF!)</f>
        <v>#REF!</v>
      </c>
      <c r="J154">
        <f>IFERROR(SEARCH(search!$B$6,samples!#REF!,1),0)</f>
        <v>0</v>
      </c>
      <c r="K154" t="e">
        <f>IF(samples!#REF!=0,"",samples!#REF!)</f>
        <v>#REF!</v>
      </c>
      <c r="L154">
        <f>IFERROR(SEARCH(search!$B$6,samples!#REF!,1),0)</f>
        <v>0</v>
      </c>
      <c r="M154" t="e">
        <f>IF(samples!#REF!=0,"",samples!#REF!)</f>
        <v>#REF!</v>
      </c>
      <c r="N154">
        <f>IFERROR(SEARCH(search!$B$6,samples!#REF!,1),0)</f>
        <v>0</v>
      </c>
      <c r="O154" t="e">
        <f>IF(samples!#REF!=0,"",samples!#REF!)</f>
        <v>#REF!</v>
      </c>
      <c r="P154">
        <f>IFERROR(SEARCH(search!$B$6,samples!#REF!,1),0)</f>
        <v>0</v>
      </c>
      <c r="Q154" t="e">
        <f>IF(samples!#REF!=0,"",samples!#REF!)</f>
        <v>#REF!</v>
      </c>
      <c r="R154">
        <f>IFERROR(SEARCH(search!$B$6,samples!#REF!,1),0)</f>
        <v>0</v>
      </c>
      <c r="S154" t="e">
        <f>IF(samples!#REF!=0,"",samples!#REF!)</f>
        <v>#REF!</v>
      </c>
      <c r="T154">
        <f>IFERROR(SEARCH(search!$B$6,samples!#REF!,1),0)</f>
        <v>0</v>
      </c>
      <c r="U154" t="e">
        <f>IF(samples!#REF!=0,"",samples!#REF!)</f>
        <v>#REF!</v>
      </c>
      <c r="V154">
        <f>IFERROR(SEARCH(search!$B$6,samples!#REF!,1),0)</f>
        <v>0</v>
      </c>
      <c r="W154" t="e">
        <f>IF(samples!#REF!=0,"",samples!#REF!)</f>
        <v>#REF!</v>
      </c>
      <c r="X154">
        <f>IFERROR(SEARCH(search!$B$6,samples!#REF!,1),0)</f>
        <v>0</v>
      </c>
      <c r="Y154" t="e">
        <f>IF(samples!#REF!=0,"",samples!#REF!)</f>
        <v>#REF!</v>
      </c>
      <c r="Z154">
        <f>IFERROR(SEARCH(search!$B$6,samples!#REF!,1),0)</f>
        <v>0</v>
      </c>
      <c r="AA154" t="e">
        <f>IF(samples!#REF!=0,"",samples!#REF!)</f>
        <v>#REF!</v>
      </c>
      <c r="AB154">
        <f>IFERROR(SEARCH(search!$B$6,samples!#REF!,1),0)</f>
        <v>0</v>
      </c>
      <c r="AC154" t="e">
        <f>IF(samples!#REF!=0,"",samples!#REF!)</f>
        <v>#REF!</v>
      </c>
      <c r="AD154">
        <f>IFERROR(SEARCH(search!$B$6,samples!#REF!,1),0)</f>
        <v>0</v>
      </c>
    </row>
    <row r="155" spans="1:30">
      <c r="A155">
        <f t="shared" si="2"/>
        <v>0</v>
      </c>
      <c r="B155">
        <f>IF(SUM(D155,F155,H155,J155,L155,N155,P155,R155,T155,V155,X155,Z155,AB155,AD155)&gt;0,SUM($A$2:A155),0)</f>
        <v>0</v>
      </c>
      <c r="C155" t="e">
        <f>samples!#REF!</f>
        <v>#REF!</v>
      </c>
      <c r="D155">
        <f>IFERROR(SEARCH(search!$B$6,samples!#REF!,1),0)</f>
        <v>0</v>
      </c>
      <c r="E155" t="e">
        <f>IF(samples!#REF!=0,"",samples!#REF!)</f>
        <v>#REF!</v>
      </c>
      <c r="F155">
        <f>IFERROR(SEARCH(search!$B$6,samples!#REF!,1),0)</f>
        <v>0</v>
      </c>
      <c r="G155" t="e">
        <f>IF(samples!#REF!=0,"",samples!#REF!)</f>
        <v>#REF!</v>
      </c>
      <c r="H155">
        <f>IFERROR(SEARCH(search!$B$6,samples!#REF!,1),0)</f>
        <v>0</v>
      </c>
      <c r="I155" t="e">
        <f>IF(samples!#REF!=0,"",samples!#REF!)</f>
        <v>#REF!</v>
      </c>
      <c r="J155">
        <f>IFERROR(SEARCH(search!$B$6,samples!#REF!,1),0)</f>
        <v>0</v>
      </c>
      <c r="K155" t="e">
        <f>IF(samples!#REF!=0,"",samples!#REF!)</f>
        <v>#REF!</v>
      </c>
      <c r="L155">
        <f>IFERROR(SEARCH(search!$B$6,samples!#REF!,1),0)</f>
        <v>0</v>
      </c>
      <c r="M155" t="e">
        <f>IF(samples!#REF!=0,"",samples!#REF!)</f>
        <v>#REF!</v>
      </c>
      <c r="N155">
        <f>IFERROR(SEARCH(search!$B$6,samples!#REF!,1),0)</f>
        <v>0</v>
      </c>
      <c r="O155" t="e">
        <f>IF(samples!#REF!=0,"",samples!#REF!)</f>
        <v>#REF!</v>
      </c>
      <c r="P155">
        <f>IFERROR(SEARCH(search!$B$6,samples!#REF!,1),0)</f>
        <v>0</v>
      </c>
      <c r="Q155" t="e">
        <f>IF(samples!#REF!=0,"",samples!#REF!)</f>
        <v>#REF!</v>
      </c>
      <c r="R155">
        <f>IFERROR(SEARCH(search!$B$6,samples!#REF!,1),0)</f>
        <v>0</v>
      </c>
      <c r="S155" t="e">
        <f>IF(samples!#REF!=0,"",samples!#REF!)</f>
        <v>#REF!</v>
      </c>
      <c r="T155">
        <f>IFERROR(SEARCH(search!$B$6,samples!#REF!,1),0)</f>
        <v>0</v>
      </c>
      <c r="U155" t="e">
        <f>IF(samples!#REF!=0,"",samples!#REF!)</f>
        <v>#REF!</v>
      </c>
      <c r="V155">
        <f>IFERROR(SEARCH(search!$B$6,samples!#REF!,1),0)</f>
        <v>0</v>
      </c>
      <c r="W155" t="e">
        <f>IF(samples!#REF!=0,"",samples!#REF!)</f>
        <v>#REF!</v>
      </c>
      <c r="X155">
        <f>IFERROR(SEARCH(search!$B$6,samples!#REF!,1),0)</f>
        <v>0</v>
      </c>
      <c r="Y155" t="e">
        <f>IF(samples!#REF!=0,"",samples!#REF!)</f>
        <v>#REF!</v>
      </c>
      <c r="Z155">
        <f>IFERROR(SEARCH(search!$B$6,samples!#REF!,1),0)</f>
        <v>0</v>
      </c>
      <c r="AA155" t="e">
        <f>IF(samples!#REF!=0,"",samples!#REF!)</f>
        <v>#REF!</v>
      </c>
      <c r="AB155">
        <f>IFERROR(SEARCH(search!$B$6,samples!#REF!,1),0)</f>
        <v>0</v>
      </c>
      <c r="AC155" t="e">
        <f>IF(samples!#REF!=0,"",samples!#REF!)</f>
        <v>#REF!</v>
      </c>
      <c r="AD155">
        <f>IFERROR(SEARCH(search!$B$6,samples!#REF!,1),0)</f>
        <v>0</v>
      </c>
    </row>
    <row r="156" spans="1:30">
      <c r="A156">
        <f t="shared" si="2"/>
        <v>0</v>
      </c>
      <c r="B156">
        <f>IF(SUM(D156,F156,H156,J156,L156,N156,P156,R156,T156,V156,X156,Z156,AB156,AD156)&gt;0,SUM($A$2:A156),0)</f>
        <v>0</v>
      </c>
      <c r="C156" t="e">
        <f>samples!#REF!</f>
        <v>#REF!</v>
      </c>
      <c r="D156">
        <f>IFERROR(SEARCH(search!$B$6,samples!#REF!,1),0)</f>
        <v>0</v>
      </c>
      <c r="E156" t="e">
        <f>IF(samples!#REF!=0,"",samples!#REF!)</f>
        <v>#REF!</v>
      </c>
      <c r="F156">
        <f>IFERROR(SEARCH(search!$B$6,samples!#REF!,1),0)</f>
        <v>0</v>
      </c>
      <c r="G156" t="e">
        <f>IF(samples!#REF!=0,"",samples!#REF!)</f>
        <v>#REF!</v>
      </c>
      <c r="H156">
        <f>IFERROR(SEARCH(search!$B$6,samples!#REF!,1),0)</f>
        <v>0</v>
      </c>
      <c r="I156" t="e">
        <f>IF(samples!#REF!=0,"",samples!#REF!)</f>
        <v>#REF!</v>
      </c>
      <c r="J156">
        <f>IFERROR(SEARCH(search!$B$6,samples!#REF!,1),0)</f>
        <v>0</v>
      </c>
      <c r="K156" t="e">
        <f>IF(samples!#REF!=0,"",samples!#REF!)</f>
        <v>#REF!</v>
      </c>
      <c r="L156">
        <f>IFERROR(SEARCH(search!$B$6,samples!#REF!,1),0)</f>
        <v>0</v>
      </c>
      <c r="M156" t="e">
        <f>IF(samples!#REF!=0,"",samples!#REF!)</f>
        <v>#REF!</v>
      </c>
      <c r="N156">
        <f>IFERROR(SEARCH(search!$B$6,samples!#REF!,1),0)</f>
        <v>0</v>
      </c>
      <c r="O156" t="e">
        <f>IF(samples!#REF!=0,"",samples!#REF!)</f>
        <v>#REF!</v>
      </c>
      <c r="P156">
        <f>IFERROR(SEARCH(search!$B$6,samples!#REF!,1),0)</f>
        <v>0</v>
      </c>
      <c r="Q156" t="e">
        <f>IF(samples!#REF!=0,"",samples!#REF!)</f>
        <v>#REF!</v>
      </c>
      <c r="R156">
        <f>IFERROR(SEARCH(search!$B$6,samples!#REF!,1),0)</f>
        <v>0</v>
      </c>
      <c r="S156" t="e">
        <f>IF(samples!#REF!=0,"",samples!#REF!)</f>
        <v>#REF!</v>
      </c>
      <c r="T156">
        <f>IFERROR(SEARCH(search!$B$6,samples!#REF!,1),0)</f>
        <v>0</v>
      </c>
      <c r="U156" t="e">
        <f>IF(samples!#REF!=0,"",samples!#REF!)</f>
        <v>#REF!</v>
      </c>
      <c r="V156">
        <f>IFERROR(SEARCH(search!$B$6,samples!#REF!,1),0)</f>
        <v>0</v>
      </c>
      <c r="W156" t="e">
        <f>IF(samples!#REF!=0,"",samples!#REF!)</f>
        <v>#REF!</v>
      </c>
      <c r="X156">
        <f>IFERROR(SEARCH(search!$B$6,samples!#REF!,1),0)</f>
        <v>0</v>
      </c>
      <c r="Y156" t="e">
        <f>IF(samples!#REF!=0,"",samples!#REF!)</f>
        <v>#REF!</v>
      </c>
      <c r="Z156">
        <f>IFERROR(SEARCH(search!$B$6,samples!#REF!,1),0)</f>
        <v>0</v>
      </c>
      <c r="AA156" t="e">
        <f>IF(samples!#REF!=0,"",samples!#REF!)</f>
        <v>#REF!</v>
      </c>
      <c r="AB156">
        <f>IFERROR(SEARCH(search!$B$6,samples!#REF!,1),0)</f>
        <v>0</v>
      </c>
      <c r="AC156" t="e">
        <f>IF(samples!#REF!=0,"",samples!#REF!)</f>
        <v>#REF!</v>
      </c>
      <c r="AD156">
        <f>IFERROR(SEARCH(search!$B$6,samples!#REF!,1),0)</f>
        <v>0</v>
      </c>
    </row>
    <row r="157" spans="1:30">
      <c r="A157">
        <f t="shared" si="2"/>
        <v>0</v>
      </c>
      <c r="B157">
        <f>IF(SUM(D157,F157,H157,J157,L157,N157,P157,R157,T157,V157,X157,Z157,AB157,AD157)&gt;0,SUM($A$2:A157),0)</f>
        <v>0</v>
      </c>
      <c r="C157" t="e">
        <f>samples!#REF!</f>
        <v>#REF!</v>
      </c>
      <c r="D157">
        <f>IFERROR(SEARCH(search!$B$6,samples!#REF!,1),0)</f>
        <v>0</v>
      </c>
      <c r="E157" t="e">
        <f>IF(samples!#REF!=0,"",samples!#REF!)</f>
        <v>#REF!</v>
      </c>
      <c r="F157">
        <f>IFERROR(SEARCH(search!$B$6,samples!#REF!,1),0)</f>
        <v>0</v>
      </c>
      <c r="G157" t="e">
        <f>IF(samples!#REF!=0,"",samples!#REF!)</f>
        <v>#REF!</v>
      </c>
      <c r="H157">
        <f>IFERROR(SEARCH(search!$B$6,samples!#REF!,1),0)</f>
        <v>0</v>
      </c>
      <c r="I157" t="e">
        <f>IF(samples!#REF!=0,"",samples!#REF!)</f>
        <v>#REF!</v>
      </c>
      <c r="J157">
        <f>IFERROR(SEARCH(search!$B$6,samples!#REF!,1),0)</f>
        <v>0</v>
      </c>
      <c r="K157" t="e">
        <f>IF(samples!#REF!=0,"",samples!#REF!)</f>
        <v>#REF!</v>
      </c>
      <c r="L157">
        <f>IFERROR(SEARCH(search!$B$6,samples!#REF!,1),0)</f>
        <v>0</v>
      </c>
      <c r="M157" t="e">
        <f>IF(samples!#REF!=0,"",samples!#REF!)</f>
        <v>#REF!</v>
      </c>
      <c r="N157">
        <f>IFERROR(SEARCH(search!$B$6,samples!#REF!,1),0)</f>
        <v>0</v>
      </c>
      <c r="O157" t="e">
        <f>IF(samples!#REF!=0,"",samples!#REF!)</f>
        <v>#REF!</v>
      </c>
      <c r="P157">
        <f>IFERROR(SEARCH(search!$B$6,samples!#REF!,1),0)</f>
        <v>0</v>
      </c>
      <c r="Q157" t="e">
        <f>IF(samples!#REF!=0,"",samples!#REF!)</f>
        <v>#REF!</v>
      </c>
      <c r="R157">
        <f>IFERROR(SEARCH(search!$B$6,samples!#REF!,1),0)</f>
        <v>0</v>
      </c>
      <c r="S157" t="e">
        <f>IF(samples!#REF!=0,"",samples!#REF!)</f>
        <v>#REF!</v>
      </c>
      <c r="T157">
        <f>IFERROR(SEARCH(search!$B$6,samples!#REF!,1),0)</f>
        <v>0</v>
      </c>
      <c r="U157" t="e">
        <f>IF(samples!#REF!=0,"",samples!#REF!)</f>
        <v>#REF!</v>
      </c>
      <c r="V157">
        <f>IFERROR(SEARCH(search!$B$6,samples!#REF!,1),0)</f>
        <v>0</v>
      </c>
      <c r="W157" t="e">
        <f>IF(samples!#REF!=0,"",samples!#REF!)</f>
        <v>#REF!</v>
      </c>
      <c r="X157">
        <f>IFERROR(SEARCH(search!$B$6,samples!#REF!,1),0)</f>
        <v>0</v>
      </c>
      <c r="Y157" t="e">
        <f>IF(samples!#REF!=0,"",samples!#REF!)</f>
        <v>#REF!</v>
      </c>
      <c r="Z157">
        <f>IFERROR(SEARCH(search!$B$6,samples!#REF!,1),0)</f>
        <v>0</v>
      </c>
      <c r="AA157" t="e">
        <f>IF(samples!#REF!=0,"",samples!#REF!)</f>
        <v>#REF!</v>
      </c>
      <c r="AB157">
        <f>IFERROR(SEARCH(search!$B$6,samples!#REF!,1),0)</f>
        <v>0</v>
      </c>
      <c r="AC157" t="e">
        <f>IF(samples!#REF!=0,"",samples!#REF!)</f>
        <v>#REF!</v>
      </c>
      <c r="AD157">
        <f>IFERROR(SEARCH(search!$B$6,samples!#REF!,1),0)</f>
        <v>0</v>
      </c>
    </row>
    <row r="158" spans="1:30">
      <c r="A158">
        <f t="shared" si="2"/>
        <v>0</v>
      </c>
      <c r="B158">
        <f>IF(SUM(D158,F158,H158,J158,L158,N158,P158,R158,T158,V158,X158,Z158,AB158,AD158)&gt;0,SUM($A$2:A158),0)</f>
        <v>0</v>
      </c>
      <c r="C158" t="e">
        <f>samples!#REF!</f>
        <v>#REF!</v>
      </c>
      <c r="D158">
        <f>IFERROR(SEARCH(search!$B$6,samples!#REF!,1),0)</f>
        <v>0</v>
      </c>
      <c r="E158" t="e">
        <f>IF(samples!#REF!=0,"",samples!#REF!)</f>
        <v>#REF!</v>
      </c>
      <c r="F158">
        <f>IFERROR(SEARCH(search!$B$6,samples!#REF!,1),0)</f>
        <v>0</v>
      </c>
      <c r="G158" t="e">
        <f>IF(samples!#REF!=0,"",samples!#REF!)</f>
        <v>#REF!</v>
      </c>
      <c r="H158">
        <f>IFERROR(SEARCH(search!$B$6,samples!#REF!,1),0)</f>
        <v>0</v>
      </c>
      <c r="I158" t="e">
        <f>IF(samples!#REF!=0,"",samples!#REF!)</f>
        <v>#REF!</v>
      </c>
      <c r="J158">
        <f>IFERROR(SEARCH(search!$B$6,samples!#REF!,1),0)</f>
        <v>0</v>
      </c>
      <c r="K158" t="e">
        <f>IF(samples!#REF!=0,"",samples!#REF!)</f>
        <v>#REF!</v>
      </c>
      <c r="L158">
        <f>IFERROR(SEARCH(search!$B$6,samples!#REF!,1),0)</f>
        <v>0</v>
      </c>
      <c r="M158" t="e">
        <f>IF(samples!#REF!=0,"",samples!#REF!)</f>
        <v>#REF!</v>
      </c>
      <c r="N158">
        <f>IFERROR(SEARCH(search!$B$6,samples!#REF!,1),0)</f>
        <v>0</v>
      </c>
      <c r="O158" t="e">
        <f>IF(samples!#REF!=0,"",samples!#REF!)</f>
        <v>#REF!</v>
      </c>
      <c r="P158">
        <f>IFERROR(SEARCH(search!$B$6,samples!#REF!,1),0)</f>
        <v>0</v>
      </c>
      <c r="Q158" t="e">
        <f>IF(samples!#REF!=0,"",samples!#REF!)</f>
        <v>#REF!</v>
      </c>
      <c r="R158">
        <f>IFERROR(SEARCH(search!$B$6,samples!#REF!,1),0)</f>
        <v>0</v>
      </c>
      <c r="S158" t="e">
        <f>IF(samples!#REF!=0,"",samples!#REF!)</f>
        <v>#REF!</v>
      </c>
      <c r="T158">
        <f>IFERROR(SEARCH(search!$B$6,samples!#REF!,1),0)</f>
        <v>0</v>
      </c>
      <c r="U158" t="e">
        <f>IF(samples!#REF!=0,"",samples!#REF!)</f>
        <v>#REF!</v>
      </c>
      <c r="V158">
        <f>IFERROR(SEARCH(search!$B$6,samples!#REF!,1),0)</f>
        <v>0</v>
      </c>
      <c r="W158" t="e">
        <f>IF(samples!#REF!=0,"",samples!#REF!)</f>
        <v>#REF!</v>
      </c>
      <c r="X158">
        <f>IFERROR(SEARCH(search!$B$6,samples!#REF!,1),0)</f>
        <v>0</v>
      </c>
      <c r="Y158" t="e">
        <f>IF(samples!#REF!=0,"",samples!#REF!)</f>
        <v>#REF!</v>
      </c>
      <c r="Z158">
        <f>IFERROR(SEARCH(search!$B$6,samples!#REF!,1),0)</f>
        <v>0</v>
      </c>
      <c r="AA158" t="e">
        <f>IF(samples!#REF!=0,"",samples!#REF!)</f>
        <v>#REF!</v>
      </c>
      <c r="AB158">
        <f>IFERROR(SEARCH(search!$B$6,samples!#REF!,1),0)</f>
        <v>0</v>
      </c>
      <c r="AC158" t="e">
        <f>IF(samples!#REF!=0,"",samples!#REF!)</f>
        <v>#REF!</v>
      </c>
      <c r="AD158">
        <f>IFERROR(SEARCH(search!$B$6,samples!#REF!,1),0)</f>
        <v>0</v>
      </c>
    </row>
    <row r="159" spans="1:30">
      <c r="A159">
        <f t="shared" si="2"/>
        <v>0</v>
      </c>
      <c r="B159">
        <f>IF(SUM(D159,F159,H159,J159,L159,N159,P159,R159,T159,V159,X159,Z159,AB159,AD159)&gt;0,SUM($A$2:A159),0)</f>
        <v>0</v>
      </c>
      <c r="C159" t="e">
        <f>samples!#REF!</f>
        <v>#REF!</v>
      </c>
      <c r="D159">
        <f>IFERROR(SEARCH(search!$B$6,samples!#REF!,1),0)</f>
        <v>0</v>
      </c>
      <c r="E159" t="e">
        <f>IF(samples!#REF!=0,"",samples!#REF!)</f>
        <v>#REF!</v>
      </c>
      <c r="F159">
        <f>IFERROR(SEARCH(search!$B$6,samples!#REF!,1),0)</f>
        <v>0</v>
      </c>
      <c r="G159" t="e">
        <f>IF(samples!#REF!=0,"",samples!#REF!)</f>
        <v>#REF!</v>
      </c>
      <c r="H159">
        <f>IFERROR(SEARCH(search!$B$6,samples!#REF!,1),0)</f>
        <v>0</v>
      </c>
      <c r="I159" t="e">
        <f>IF(samples!#REF!=0,"",samples!#REF!)</f>
        <v>#REF!</v>
      </c>
      <c r="J159">
        <f>IFERROR(SEARCH(search!$B$6,samples!#REF!,1),0)</f>
        <v>0</v>
      </c>
      <c r="K159" t="e">
        <f>IF(samples!#REF!=0,"",samples!#REF!)</f>
        <v>#REF!</v>
      </c>
      <c r="L159">
        <f>IFERROR(SEARCH(search!$B$6,samples!#REF!,1),0)</f>
        <v>0</v>
      </c>
      <c r="M159" t="e">
        <f>IF(samples!#REF!=0,"",samples!#REF!)</f>
        <v>#REF!</v>
      </c>
      <c r="N159">
        <f>IFERROR(SEARCH(search!$B$6,samples!#REF!,1),0)</f>
        <v>0</v>
      </c>
      <c r="O159" t="e">
        <f>IF(samples!#REF!=0,"",samples!#REF!)</f>
        <v>#REF!</v>
      </c>
      <c r="P159">
        <f>IFERROR(SEARCH(search!$B$6,samples!#REF!,1),0)</f>
        <v>0</v>
      </c>
      <c r="Q159" t="e">
        <f>IF(samples!#REF!=0,"",samples!#REF!)</f>
        <v>#REF!</v>
      </c>
      <c r="R159">
        <f>IFERROR(SEARCH(search!$B$6,samples!#REF!,1),0)</f>
        <v>0</v>
      </c>
      <c r="S159" t="e">
        <f>IF(samples!#REF!=0,"",samples!#REF!)</f>
        <v>#REF!</v>
      </c>
      <c r="T159">
        <f>IFERROR(SEARCH(search!$B$6,samples!#REF!,1),0)</f>
        <v>0</v>
      </c>
      <c r="U159" t="e">
        <f>IF(samples!#REF!=0,"",samples!#REF!)</f>
        <v>#REF!</v>
      </c>
      <c r="V159">
        <f>IFERROR(SEARCH(search!$B$6,samples!#REF!,1),0)</f>
        <v>0</v>
      </c>
      <c r="W159" t="e">
        <f>IF(samples!#REF!=0,"",samples!#REF!)</f>
        <v>#REF!</v>
      </c>
      <c r="X159">
        <f>IFERROR(SEARCH(search!$B$6,samples!#REF!,1),0)</f>
        <v>0</v>
      </c>
      <c r="Y159" t="e">
        <f>IF(samples!#REF!=0,"",samples!#REF!)</f>
        <v>#REF!</v>
      </c>
      <c r="Z159">
        <f>IFERROR(SEARCH(search!$B$6,samples!#REF!,1),0)</f>
        <v>0</v>
      </c>
      <c r="AA159" t="e">
        <f>IF(samples!#REF!=0,"",samples!#REF!)</f>
        <v>#REF!</v>
      </c>
      <c r="AB159">
        <f>IFERROR(SEARCH(search!$B$6,samples!#REF!,1),0)</f>
        <v>0</v>
      </c>
      <c r="AC159" t="e">
        <f>IF(samples!#REF!=0,"",samples!#REF!)</f>
        <v>#REF!</v>
      </c>
      <c r="AD159">
        <f>IFERROR(SEARCH(search!$B$6,samples!#REF!,1),0)</f>
        <v>0</v>
      </c>
    </row>
    <row r="160" spans="1:30">
      <c r="A160">
        <f t="shared" si="2"/>
        <v>0</v>
      </c>
      <c r="B160">
        <f>IF(SUM(D160,F160,H160,J160,L160,N160,P160,R160,T160,V160,X160,Z160,AB160,AD160)&gt;0,SUM($A$2:A160),0)</f>
        <v>0</v>
      </c>
      <c r="C160" t="e">
        <f>samples!#REF!</f>
        <v>#REF!</v>
      </c>
      <c r="D160">
        <f>IFERROR(SEARCH(search!$B$6,samples!#REF!,1),0)</f>
        <v>0</v>
      </c>
      <c r="E160" t="e">
        <f>IF(samples!#REF!=0,"",samples!#REF!)</f>
        <v>#REF!</v>
      </c>
      <c r="F160">
        <f>IFERROR(SEARCH(search!$B$6,samples!#REF!,1),0)</f>
        <v>0</v>
      </c>
      <c r="G160" t="e">
        <f>IF(samples!#REF!=0,"",samples!#REF!)</f>
        <v>#REF!</v>
      </c>
      <c r="H160">
        <f>IFERROR(SEARCH(search!$B$6,samples!#REF!,1),0)</f>
        <v>0</v>
      </c>
      <c r="I160" t="e">
        <f>IF(samples!#REF!=0,"",samples!#REF!)</f>
        <v>#REF!</v>
      </c>
      <c r="J160">
        <f>IFERROR(SEARCH(search!$B$6,samples!#REF!,1),0)</f>
        <v>0</v>
      </c>
      <c r="K160" t="e">
        <f>IF(samples!#REF!=0,"",samples!#REF!)</f>
        <v>#REF!</v>
      </c>
      <c r="L160">
        <f>IFERROR(SEARCH(search!$B$6,samples!#REF!,1),0)</f>
        <v>0</v>
      </c>
      <c r="M160" t="e">
        <f>IF(samples!#REF!=0,"",samples!#REF!)</f>
        <v>#REF!</v>
      </c>
      <c r="N160">
        <f>IFERROR(SEARCH(search!$B$6,samples!#REF!,1),0)</f>
        <v>0</v>
      </c>
      <c r="O160" t="e">
        <f>IF(samples!#REF!=0,"",samples!#REF!)</f>
        <v>#REF!</v>
      </c>
      <c r="P160">
        <f>IFERROR(SEARCH(search!$B$6,samples!#REF!,1),0)</f>
        <v>0</v>
      </c>
      <c r="Q160" t="e">
        <f>IF(samples!#REF!=0,"",samples!#REF!)</f>
        <v>#REF!</v>
      </c>
      <c r="R160">
        <f>IFERROR(SEARCH(search!$B$6,samples!#REF!,1),0)</f>
        <v>0</v>
      </c>
      <c r="S160" t="e">
        <f>IF(samples!#REF!=0,"",samples!#REF!)</f>
        <v>#REF!</v>
      </c>
      <c r="T160">
        <f>IFERROR(SEARCH(search!$B$6,samples!#REF!,1),0)</f>
        <v>0</v>
      </c>
      <c r="U160" t="e">
        <f>IF(samples!#REF!=0,"",samples!#REF!)</f>
        <v>#REF!</v>
      </c>
      <c r="V160">
        <f>IFERROR(SEARCH(search!$B$6,samples!#REF!,1),0)</f>
        <v>0</v>
      </c>
      <c r="W160" t="e">
        <f>IF(samples!#REF!=0,"",samples!#REF!)</f>
        <v>#REF!</v>
      </c>
      <c r="X160">
        <f>IFERROR(SEARCH(search!$B$6,samples!#REF!,1),0)</f>
        <v>0</v>
      </c>
      <c r="Y160" t="e">
        <f>IF(samples!#REF!=0,"",samples!#REF!)</f>
        <v>#REF!</v>
      </c>
      <c r="Z160">
        <f>IFERROR(SEARCH(search!$B$6,samples!#REF!,1),0)</f>
        <v>0</v>
      </c>
      <c r="AA160" t="e">
        <f>IF(samples!#REF!=0,"",samples!#REF!)</f>
        <v>#REF!</v>
      </c>
      <c r="AB160">
        <f>IFERROR(SEARCH(search!$B$6,samples!#REF!,1),0)</f>
        <v>0</v>
      </c>
      <c r="AC160" t="e">
        <f>IF(samples!#REF!=0,"",samples!#REF!)</f>
        <v>#REF!</v>
      </c>
      <c r="AD160">
        <f>IFERROR(SEARCH(search!$B$6,samples!#REF!,1),0)</f>
        <v>0</v>
      </c>
    </row>
    <row r="161" spans="1:30">
      <c r="A161">
        <f t="shared" si="2"/>
        <v>0</v>
      </c>
      <c r="B161">
        <f>IF(SUM(D161,F161,H161,J161,L161,N161,P161,R161,T161,V161,X161,Z161,AB161,AD161)&gt;0,SUM($A$2:A161),0)</f>
        <v>0</v>
      </c>
      <c r="C161" t="e">
        <f>samples!#REF!</f>
        <v>#REF!</v>
      </c>
      <c r="D161">
        <f>IFERROR(SEARCH(search!$B$6,samples!#REF!,1),0)</f>
        <v>0</v>
      </c>
      <c r="E161" t="e">
        <f>IF(samples!#REF!=0,"",samples!#REF!)</f>
        <v>#REF!</v>
      </c>
      <c r="F161">
        <f>IFERROR(SEARCH(search!$B$6,samples!#REF!,1),0)</f>
        <v>0</v>
      </c>
      <c r="G161" t="e">
        <f>IF(samples!#REF!=0,"",samples!#REF!)</f>
        <v>#REF!</v>
      </c>
      <c r="H161">
        <f>IFERROR(SEARCH(search!$B$6,samples!#REF!,1),0)</f>
        <v>0</v>
      </c>
      <c r="I161" t="e">
        <f>IF(samples!#REF!=0,"",samples!#REF!)</f>
        <v>#REF!</v>
      </c>
      <c r="J161">
        <f>IFERROR(SEARCH(search!$B$6,samples!#REF!,1),0)</f>
        <v>0</v>
      </c>
      <c r="K161" t="e">
        <f>IF(samples!#REF!=0,"",samples!#REF!)</f>
        <v>#REF!</v>
      </c>
      <c r="L161">
        <f>IFERROR(SEARCH(search!$B$6,samples!#REF!,1),0)</f>
        <v>0</v>
      </c>
      <c r="M161" t="e">
        <f>IF(samples!#REF!=0,"",samples!#REF!)</f>
        <v>#REF!</v>
      </c>
      <c r="N161">
        <f>IFERROR(SEARCH(search!$B$6,samples!#REF!,1),0)</f>
        <v>0</v>
      </c>
      <c r="O161" t="e">
        <f>IF(samples!#REF!=0,"",samples!#REF!)</f>
        <v>#REF!</v>
      </c>
      <c r="P161">
        <f>IFERROR(SEARCH(search!$B$6,samples!#REF!,1),0)</f>
        <v>0</v>
      </c>
      <c r="Q161" t="e">
        <f>IF(samples!#REF!=0,"",samples!#REF!)</f>
        <v>#REF!</v>
      </c>
      <c r="R161">
        <f>IFERROR(SEARCH(search!$B$6,samples!#REF!,1),0)</f>
        <v>0</v>
      </c>
      <c r="S161" t="e">
        <f>IF(samples!#REF!=0,"",samples!#REF!)</f>
        <v>#REF!</v>
      </c>
      <c r="T161">
        <f>IFERROR(SEARCH(search!$B$6,samples!#REF!,1),0)</f>
        <v>0</v>
      </c>
      <c r="U161" t="e">
        <f>IF(samples!#REF!=0,"",samples!#REF!)</f>
        <v>#REF!</v>
      </c>
      <c r="V161">
        <f>IFERROR(SEARCH(search!$B$6,samples!#REF!,1),0)</f>
        <v>0</v>
      </c>
      <c r="W161" t="e">
        <f>IF(samples!#REF!=0,"",samples!#REF!)</f>
        <v>#REF!</v>
      </c>
      <c r="X161">
        <f>IFERROR(SEARCH(search!$B$6,samples!#REF!,1),0)</f>
        <v>0</v>
      </c>
      <c r="Y161" t="e">
        <f>IF(samples!#REF!=0,"",samples!#REF!)</f>
        <v>#REF!</v>
      </c>
      <c r="Z161">
        <f>IFERROR(SEARCH(search!$B$6,samples!#REF!,1),0)</f>
        <v>0</v>
      </c>
      <c r="AA161" t="e">
        <f>IF(samples!#REF!=0,"",samples!#REF!)</f>
        <v>#REF!</v>
      </c>
      <c r="AB161">
        <f>IFERROR(SEARCH(search!$B$6,samples!#REF!,1),0)</f>
        <v>0</v>
      </c>
      <c r="AC161" t="e">
        <f>IF(samples!#REF!=0,"",samples!#REF!)</f>
        <v>#REF!</v>
      </c>
      <c r="AD161">
        <f>IFERROR(SEARCH(search!$B$6,samples!#REF!,1),0)</f>
        <v>0</v>
      </c>
    </row>
    <row r="162" spans="1:30">
      <c r="A162">
        <f t="shared" si="2"/>
        <v>0</v>
      </c>
      <c r="B162">
        <f>IF(SUM(D162,F162,H162,J162,L162,N162,P162,R162,T162,V162,X162,Z162,AB162,AD162)&gt;0,SUM($A$2:A162),0)</f>
        <v>0</v>
      </c>
      <c r="C162" t="e">
        <f>samples!#REF!</f>
        <v>#REF!</v>
      </c>
      <c r="D162">
        <f>IFERROR(SEARCH(search!$B$6,samples!#REF!,1),0)</f>
        <v>0</v>
      </c>
      <c r="E162" t="e">
        <f>IF(samples!#REF!=0,"",samples!#REF!)</f>
        <v>#REF!</v>
      </c>
      <c r="F162">
        <f>IFERROR(SEARCH(search!$B$6,samples!#REF!,1),0)</f>
        <v>0</v>
      </c>
      <c r="G162" t="e">
        <f>IF(samples!#REF!=0,"",samples!#REF!)</f>
        <v>#REF!</v>
      </c>
      <c r="H162">
        <f>IFERROR(SEARCH(search!$B$6,samples!#REF!,1),0)</f>
        <v>0</v>
      </c>
      <c r="I162" t="e">
        <f>IF(samples!#REF!=0,"",samples!#REF!)</f>
        <v>#REF!</v>
      </c>
      <c r="J162">
        <f>IFERROR(SEARCH(search!$B$6,samples!#REF!,1),0)</f>
        <v>0</v>
      </c>
      <c r="K162" t="e">
        <f>IF(samples!#REF!=0,"",samples!#REF!)</f>
        <v>#REF!</v>
      </c>
      <c r="L162">
        <f>IFERROR(SEARCH(search!$B$6,samples!#REF!,1),0)</f>
        <v>0</v>
      </c>
      <c r="M162" t="e">
        <f>IF(samples!#REF!=0,"",samples!#REF!)</f>
        <v>#REF!</v>
      </c>
      <c r="N162">
        <f>IFERROR(SEARCH(search!$B$6,samples!#REF!,1),0)</f>
        <v>0</v>
      </c>
      <c r="O162" t="e">
        <f>IF(samples!#REF!=0,"",samples!#REF!)</f>
        <v>#REF!</v>
      </c>
      <c r="P162">
        <f>IFERROR(SEARCH(search!$B$6,samples!#REF!,1),0)</f>
        <v>0</v>
      </c>
      <c r="Q162" t="e">
        <f>IF(samples!#REF!=0,"",samples!#REF!)</f>
        <v>#REF!</v>
      </c>
      <c r="R162">
        <f>IFERROR(SEARCH(search!$B$6,samples!#REF!,1),0)</f>
        <v>0</v>
      </c>
      <c r="S162" t="e">
        <f>IF(samples!#REF!=0,"",samples!#REF!)</f>
        <v>#REF!</v>
      </c>
      <c r="T162">
        <f>IFERROR(SEARCH(search!$B$6,samples!#REF!,1),0)</f>
        <v>0</v>
      </c>
      <c r="U162" t="e">
        <f>IF(samples!#REF!=0,"",samples!#REF!)</f>
        <v>#REF!</v>
      </c>
      <c r="V162">
        <f>IFERROR(SEARCH(search!$B$6,samples!#REF!,1),0)</f>
        <v>0</v>
      </c>
      <c r="W162" t="e">
        <f>IF(samples!#REF!=0,"",samples!#REF!)</f>
        <v>#REF!</v>
      </c>
      <c r="X162">
        <f>IFERROR(SEARCH(search!$B$6,samples!#REF!,1),0)</f>
        <v>0</v>
      </c>
      <c r="Y162" t="e">
        <f>IF(samples!#REF!=0,"",samples!#REF!)</f>
        <v>#REF!</v>
      </c>
      <c r="Z162">
        <f>IFERROR(SEARCH(search!$B$6,samples!#REF!,1),0)</f>
        <v>0</v>
      </c>
      <c r="AA162" t="e">
        <f>IF(samples!#REF!=0,"",samples!#REF!)</f>
        <v>#REF!</v>
      </c>
      <c r="AB162">
        <f>IFERROR(SEARCH(search!$B$6,samples!#REF!,1),0)</f>
        <v>0</v>
      </c>
      <c r="AC162" t="e">
        <f>IF(samples!#REF!=0,"",samples!#REF!)</f>
        <v>#REF!</v>
      </c>
      <c r="AD162">
        <f>IFERROR(SEARCH(search!$B$6,samples!#REF!,1),0)</f>
        <v>0</v>
      </c>
    </row>
    <row r="163" spans="1:30">
      <c r="A163">
        <f t="shared" si="2"/>
        <v>0</v>
      </c>
      <c r="B163">
        <f>IF(SUM(D163,F163,H163,J163,L163,N163,P163,R163,T163,V163,X163,Z163,AB163,AD163)&gt;0,SUM($A$2:A163),0)</f>
        <v>0</v>
      </c>
      <c r="C163" t="e">
        <f>samples!#REF!</f>
        <v>#REF!</v>
      </c>
      <c r="D163">
        <f>IFERROR(SEARCH(search!$B$6,samples!#REF!,1),0)</f>
        <v>0</v>
      </c>
      <c r="E163" t="e">
        <f>IF(samples!#REF!=0,"",samples!#REF!)</f>
        <v>#REF!</v>
      </c>
      <c r="F163">
        <f>IFERROR(SEARCH(search!$B$6,samples!#REF!,1),0)</f>
        <v>0</v>
      </c>
      <c r="G163" t="e">
        <f>IF(samples!#REF!=0,"",samples!#REF!)</f>
        <v>#REF!</v>
      </c>
      <c r="H163">
        <f>IFERROR(SEARCH(search!$B$6,samples!#REF!,1),0)</f>
        <v>0</v>
      </c>
      <c r="I163" t="e">
        <f>IF(samples!#REF!=0,"",samples!#REF!)</f>
        <v>#REF!</v>
      </c>
      <c r="J163">
        <f>IFERROR(SEARCH(search!$B$6,samples!#REF!,1),0)</f>
        <v>0</v>
      </c>
      <c r="K163" t="e">
        <f>IF(samples!#REF!=0,"",samples!#REF!)</f>
        <v>#REF!</v>
      </c>
      <c r="L163">
        <f>IFERROR(SEARCH(search!$B$6,samples!#REF!,1),0)</f>
        <v>0</v>
      </c>
      <c r="M163" t="e">
        <f>IF(samples!#REF!=0,"",samples!#REF!)</f>
        <v>#REF!</v>
      </c>
      <c r="N163">
        <f>IFERROR(SEARCH(search!$B$6,samples!#REF!,1),0)</f>
        <v>0</v>
      </c>
      <c r="O163" t="e">
        <f>IF(samples!#REF!=0,"",samples!#REF!)</f>
        <v>#REF!</v>
      </c>
      <c r="P163">
        <f>IFERROR(SEARCH(search!$B$6,samples!#REF!,1),0)</f>
        <v>0</v>
      </c>
      <c r="Q163" t="e">
        <f>IF(samples!#REF!=0,"",samples!#REF!)</f>
        <v>#REF!</v>
      </c>
      <c r="R163">
        <f>IFERROR(SEARCH(search!$B$6,samples!#REF!,1),0)</f>
        <v>0</v>
      </c>
      <c r="S163" t="e">
        <f>IF(samples!#REF!=0,"",samples!#REF!)</f>
        <v>#REF!</v>
      </c>
      <c r="T163">
        <f>IFERROR(SEARCH(search!$B$6,samples!#REF!,1),0)</f>
        <v>0</v>
      </c>
      <c r="U163" t="e">
        <f>IF(samples!#REF!=0,"",samples!#REF!)</f>
        <v>#REF!</v>
      </c>
      <c r="V163">
        <f>IFERROR(SEARCH(search!$B$6,samples!#REF!,1),0)</f>
        <v>0</v>
      </c>
      <c r="W163" t="e">
        <f>IF(samples!#REF!=0,"",samples!#REF!)</f>
        <v>#REF!</v>
      </c>
      <c r="X163">
        <f>IFERROR(SEARCH(search!$B$6,samples!#REF!,1),0)</f>
        <v>0</v>
      </c>
      <c r="Y163" t="e">
        <f>IF(samples!#REF!=0,"",samples!#REF!)</f>
        <v>#REF!</v>
      </c>
      <c r="Z163">
        <f>IFERROR(SEARCH(search!$B$6,samples!#REF!,1),0)</f>
        <v>0</v>
      </c>
      <c r="AA163" t="e">
        <f>IF(samples!#REF!=0,"",samples!#REF!)</f>
        <v>#REF!</v>
      </c>
      <c r="AB163">
        <f>IFERROR(SEARCH(search!$B$6,samples!#REF!,1),0)</f>
        <v>0</v>
      </c>
      <c r="AC163" t="e">
        <f>IF(samples!#REF!=0,"",samples!#REF!)</f>
        <v>#REF!</v>
      </c>
      <c r="AD163">
        <f>IFERROR(SEARCH(search!$B$6,samples!#REF!,1),0)</f>
        <v>0</v>
      </c>
    </row>
    <row r="164" spans="1:30">
      <c r="A164">
        <f t="shared" si="2"/>
        <v>0</v>
      </c>
      <c r="B164">
        <f>IF(SUM(D164,F164,H164,J164,L164,N164,P164,R164,T164,V164,X164,Z164,AB164,AD164)&gt;0,SUM($A$2:A164),0)</f>
        <v>0</v>
      </c>
      <c r="C164" t="e">
        <f>samples!#REF!</f>
        <v>#REF!</v>
      </c>
      <c r="D164">
        <f>IFERROR(SEARCH(search!$B$6,samples!#REF!,1),0)</f>
        <v>0</v>
      </c>
      <c r="E164" t="e">
        <f>IF(samples!#REF!=0,"",samples!#REF!)</f>
        <v>#REF!</v>
      </c>
      <c r="F164">
        <f>IFERROR(SEARCH(search!$B$6,samples!#REF!,1),0)</f>
        <v>0</v>
      </c>
      <c r="G164" t="e">
        <f>IF(samples!#REF!=0,"",samples!#REF!)</f>
        <v>#REF!</v>
      </c>
      <c r="H164">
        <f>IFERROR(SEARCH(search!$B$6,samples!#REF!,1),0)</f>
        <v>0</v>
      </c>
      <c r="I164" t="e">
        <f>IF(samples!#REF!=0,"",samples!#REF!)</f>
        <v>#REF!</v>
      </c>
      <c r="J164">
        <f>IFERROR(SEARCH(search!$B$6,samples!#REF!,1),0)</f>
        <v>0</v>
      </c>
      <c r="K164" t="e">
        <f>IF(samples!#REF!=0,"",samples!#REF!)</f>
        <v>#REF!</v>
      </c>
      <c r="L164">
        <f>IFERROR(SEARCH(search!$B$6,samples!#REF!,1),0)</f>
        <v>0</v>
      </c>
      <c r="M164" t="e">
        <f>IF(samples!#REF!=0,"",samples!#REF!)</f>
        <v>#REF!</v>
      </c>
      <c r="N164">
        <f>IFERROR(SEARCH(search!$B$6,samples!#REF!,1),0)</f>
        <v>0</v>
      </c>
      <c r="O164" t="e">
        <f>IF(samples!#REF!=0,"",samples!#REF!)</f>
        <v>#REF!</v>
      </c>
      <c r="P164">
        <f>IFERROR(SEARCH(search!$B$6,samples!#REF!,1),0)</f>
        <v>0</v>
      </c>
      <c r="Q164" t="e">
        <f>IF(samples!#REF!=0,"",samples!#REF!)</f>
        <v>#REF!</v>
      </c>
      <c r="R164">
        <f>IFERROR(SEARCH(search!$B$6,samples!#REF!,1),0)</f>
        <v>0</v>
      </c>
      <c r="S164" t="e">
        <f>IF(samples!#REF!=0,"",samples!#REF!)</f>
        <v>#REF!</v>
      </c>
      <c r="T164">
        <f>IFERROR(SEARCH(search!$B$6,samples!#REF!,1),0)</f>
        <v>0</v>
      </c>
      <c r="U164" t="e">
        <f>IF(samples!#REF!=0,"",samples!#REF!)</f>
        <v>#REF!</v>
      </c>
      <c r="V164">
        <f>IFERROR(SEARCH(search!$B$6,samples!#REF!,1),0)</f>
        <v>0</v>
      </c>
      <c r="W164" t="e">
        <f>IF(samples!#REF!=0,"",samples!#REF!)</f>
        <v>#REF!</v>
      </c>
      <c r="X164">
        <f>IFERROR(SEARCH(search!$B$6,samples!#REF!,1),0)</f>
        <v>0</v>
      </c>
      <c r="Y164" t="e">
        <f>IF(samples!#REF!=0,"",samples!#REF!)</f>
        <v>#REF!</v>
      </c>
      <c r="Z164">
        <f>IFERROR(SEARCH(search!$B$6,samples!#REF!,1),0)</f>
        <v>0</v>
      </c>
      <c r="AA164" t="e">
        <f>IF(samples!#REF!=0,"",samples!#REF!)</f>
        <v>#REF!</v>
      </c>
      <c r="AB164">
        <f>IFERROR(SEARCH(search!$B$6,samples!#REF!,1),0)</f>
        <v>0</v>
      </c>
      <c r="AC164" t="e">
        <f>IF(samples!#REF!=0,"",samples!#REF!)</f>
        <v>#REF!</v>
      </c>
      <c r="AD164">
        <f>IFERROR(SEARCH(search!$B$6,samples!#REF!,1),0)</f>
        <v>0</v>
      </c>
    </row>
    <row r="165" spans="1:30">
      <c r="A165">
        <f t="shared" si="2"/>
        <v>0</v>
      </c>
      <c r="B165">
        <f>IF(SUM(D165,F165,H165,J165,L165,N165,P165,R165,T165,V165,X165,Z165,AB165,AD165)&gt;0,SUM($A$2:A165),0)</f>
        <v>0</v>
      </c>
      <c r="C165" t="e">
        <f>samples!#REF!</f>
        <v>#REF!</v>
      </c>
      <c r="D165">
        <f>IFERROR(SEARCH(search!$B$6,samples!#REF!,1),0)</f>
        <v>0</v>
      </c>
      <c r="E165" t="e">
        <f>IF(samples!#REF!=0,"",samples!#REF!)</f>
        <v>#REF!</v>
      </c>
      <c r="F165">
        <f>IFERROR(SEARCH(search!$B$6,samples!#REF!,1),0)</f>
        <v>0</v>
      </c>
      <c r="G165" t="e">
        <f>IF(samples!#REF!=0,"",samples!#REF!)</f>
        <v>#REF!</v>
      </c>
      <c r="H165">
        <f>IFERROR(SEARCH(search!$B$6,samples!#REF!,1),0)</f>
        <v>0</v>
      </c>
      <c r="I165" t="e">
        <f>IF(samples!#REF!=0,"",samples!#REF!)</f>
        <v>#REF!</v>
      </c>
      <c r="J165">
        <f>IFERROR(SEARCH(search!$B$6,samples!#REF!,1),0)</f>
        <v>0</v>
      </c>
      <c r="K165" t="e">
        <f>IF(samples!#REF!=0,"",samples!#REF!)</f>
        <v>#REF!</v>
      </c>
      <c r="L165">
        <f>IFERROR(SEARCH(search!$B$6,samples!#REF!,1),0)</f>
        <v>0</v>
      </c>
      <c r="M165" t="e">
        <f>IF(samples!#REF!=0,"",samples!#REF!)</f>
        <v>#REF!</v>
      </c>
      <c r="N165">
        <f>IFERROR(SEARCH(search!$B$6,samples!#REF!,1),0)</f>
        <v>0</v>
      </c>
      <c r="O165" t="e">
        <f>IF(samples!#REF!=0,"",samples!#REF!)</f>
        <v>#REF!</v>
      </c>
      <c r="P165">
        <f>IFERROR(SEARCH(search!$B$6,samples!#REF!,1),0)</f>
        <v>0</v>
      </c>
      <c r="Q165" t="e">
        <f>IF(samples!#REF!=0,"",samples!#REF!)</f>
        <v>#REF!</v>
      </c>
      <c r="R165">
        <f>IFERROR(SEARCH(search!$B$6,samples!#REF!,1),0)</f>
        <v>0</v>
      </c>
      <c r="S165" t="e">
        <f>IF(samples!#REF!=0,"",samples!#REF!)</f>
        <v>#REF!</v>
      </c>
      <c r="T165">
        <f>IFERROR(SEARCH(search!$B$6,samples!#REF!,1),0)</f>
        <v>0</v>
      </c>
      <c r="U165" t="e">
        <f>IF(samples!#REF!=0,"",samples!#REF!)</f>
        <v>#REF!</v>
      </c>
      <c r="V165">
        <f>IFERROR(SEARCH(search!$B$6,samples!#REF!,1),0)</f>
        <v>0</v>
      </c>
      <c r="W165" t="e">
        <f>IF(samples!#REF!=0,"",samples!#REF!)</f>
        <v>#REF!</v>
      </c>
      <c r="X165">
        <f>IFERROR(SEARCH(search!$B$6,samples!#REF!,1),0)</f>
        <v>0</v>
      </c>
      <c r="Y165" t="e">
        <f>IF(samples!#REF!=0,"",samples!#REF!)</f>
        <v>#REF!</v>
      </c>
      <c r="Z165">
        <f>IFERROR(SEARCH(search!$B$6,samples!#REF!,1),0)</f>
        <v>0</v>
      </c>
      <c r="AA165" t="e">
        <f>IF(samples!#REF!=0,"",samples!#REF!)</f>
        <v>#REF!</v>
      </c>
      <c r="AB165">
        <f>IFERROR(SEARCH(search!$B$6,samples!#REF!,1),0)</f>
        <v>0</v>
      </c>
      <c r="AC165" t="e">
        <f>IF(samples!#REF!=0,"",samples!#REF!)</f>
        <v>#REF!</v>
      </c>
      <c r="AD165">
        <f>IFERROR(SEARCH(search!$B$6,samples!#REF!,1),0)</f>
        <v>0</v>
      </c>
    </row>
    <row r="166" spans="1:30">
      <c r="A166">
        <f t="shared" si="2"/>
        <v>0</v>
      </c>
      <c r="B166">
        <f>IF(SUM(D166,F166,H166,J166,L166,N166,P166,R166,T166,V166,X166,Z166,AB166,AD166)&gt;0,SUM($A$2:A166),0)</f>
        <v>0</v>
      </c>
      <c r="C166" t="e">
        <f>samples!#REF!</f>
        <v>#REF!</v>
      </c>
      <c r="D166">
        <f>IFERROR(SEARCH(search!$B$6,samples!#REF!,1),0)</f>
        <v>0</v>
      </c>
      <c r="E166" t="e">
        <f>IF(samples!#REF!=0,"",samples!#REF!)</f>
        <v>#REF!</v>
      </c>
      <c r="F166">
        <f>IFERROR(SEARCH(search!$B$6,samples!#REF!,1),0)</f>
        <v>0</v>
      </c>
      <c r="G166" t="e">
        <f>IF(samples!#REF!=0,"",samples!#REF!)</f>
        <v>#REF!</v>
      </c>
      <c r="H166">
        <f>IFERROR(SEARCH(search!$B$6,samples!#REF!,1),0)</f>
        <v>0</v>
      </c>
      <c r="I166" t="e">
        <f>IF(samples!#REF!=0,"",samples!#REF!)</f>
        <v>#REF!</v>
      </c>
      <c r="J166">
        <f>IFERROR(SEARCH(search!$B$6,samples!#REF!,1),0)</f>
        <v>0</v>
      </c>
      <c r="K166" t="e">
        <f>IF(samples!#REF!=0,"",samples!#REF!)</f>
        <v>#REF!</v>
      </c>
      <c r="L166">
        <f>IFERROR(SEARCH(search!$B$6,samples!#REF!,1),0)</f>
        <v>0</v>
      </c>
      <c r="M166" t="e">
        <f>IF(samples!#REF!=0,"",samples!#REF!)</f>
        <v>#REF!</v>
      </c>
      <c r="N166">
        <f>IFERROR(SEARCH(search!$B$6,samples!#REF!,1),0)</f>
        <v>0</v>
      </c>
      <c r="O166" t="e">
        <f>IF(samples!#REF!=0,"",samples!#REF!)</f>
        <v>#REF!</v>
      </c>
      <c r="P166">
        <f>IFERROR(SEARCH(search!$B$6,samples!#REF!,1),0)</f>
        <v>0</v>
      </c>
      <c r="Q166" t="e">
        <f>IF(samples!#REF!=0,"",samples!#REF!)</f>
        <v>#REF!</v>
      </c>
      <c r="R166">
        <f>IFERROR(SEARCH(search!$B$6,samples!#REF!,1),0)</f>
        <v>0</v>
      </c>
      <c r="S166" t="e">
        <f>IF(samples!#REF!=0,"",samples!#REF!)</f>
        <v>#REF!</v>
      </c>
      <c r="T166">
        <f>IFERROR(SEARCH(search!$B$6,samples!#REF!,1),0)</f>
        <v>0</v>
      </c>
      <c r="U166" t="e">
        <f>IF(samples!#REF!=0,"",samples!#REF!)</f>
        <v>#REF!</v>
      </c>
      <c r="V166">
        <f>IFERROR(SEARCH(search!$B$6,samples!#REF!,1),0)</f>
        <v>0</v>
      </c>
      <c r="W166" t="e">
        <f>IF(samples!#REF!=0,"",samples!#REF!)</f>
        <v>#REF!</v>
      </c>
      <c r="X166">
        <f>IFERROR(SEARCH(search!$B$6,samples!#REF!,1),0)</f>
        <v>0</v>
      </c>
      <c r="Y166" t="e">
        <f>IF(samples!#REF!=0,"",samples!#REF!)</f>
        <v>#REF!</v>
      </c>
      <c r="Z166">
        <f>IFERROR(SEARCH(search!$B$6,samples!#REF!,1),0)</f>
        <v>0</v>
      </c>
      <c r="AA166" t="e">
        <f>IF(samples!#REF!=0,"",samples!#REF!)</f>
        <v>#REF!</v>
      </c>
      <c r="AB166">
        <f>IFERROR(SEARCH(search!$B$6,samples!#REF!,1),0)</f>
        <v>0</v>
      </c>
      <c r="AC166" t="e">
        <f>IF(samples!#REF!=0,"",samples!#REF!)</f>
        <v>#REF!</v>
      </c>
      <c r="AD166">
        <f>IFERROR(SEARCH(search!$B$6,samples!#REF!,1),0)</f>
        <v>0</v>
      </c>
    </row>
    <row r="167" spans="1:30">
      <c r="A167">
        <f t="shared" si="2"/>
        <v>0</v>
      </c>
      <c r="B167">
        <f>IF(SUM(D167,F167,H167,J167,L167,N167,P167,R167,T167,V167,X167,Z167,AB167,AD167)&gt;0,SUM($A$2:A167),0)</f>
        <v>0</v>
      </c>
      <c r="C167" t="e">
        <f>samples!#REF!</f>
        <v>#REF!</v>
      </c>
      <c r="D167">
        <f>IFERROR(SEARCH(search!$B$6,samples!#REF!,1),0)</f>
        <v>0</v>
      </c>
      <c r="E167" t="e">
        <f>IF(samples!#REF!=0,"",samples!#REF!)</f>
        <v>#REF!</v>
      </c>
      <c r="F167">
        <f>IFERROR(SEARCH(search!$B$6,samples!#REF!,1),0)</f>
        <v>0</v>
      </c>
      <c r="G167" t="e">
        <f>IF(samples!#REF!=0,"",samples!#REF!)</f>
        <v>#REF!</v>
      </c>
      <c r="H167">
        <f>IFERROR(SEARCH(search!$B$6,samples!#REF!,1),0)</f>
        <v>0</v>
      </c>
      <c r="I167" t="e">
        <f>IF(samples!#REF!=0,"",samples!#REF!)</f>
        <v>#REF!</v>
      </c>
      <c r="J167">
        <f>IFERROR(SEARCH(search!$B$6,samples!#REF!,1),0)</f>
        <v>0</v>
      </c>
      <c r="K167" t="e">
        <f>IF(samples!#REF!=0,"",samples!#REF!)</f>
        <v>#REF!</v>
      </c>
      <c r="L167">
        <f>IFERROR(SEARCH(search!$B$6,samples!#REF!,1),0)</f>
        <v>0</v>
      </c>
      <c r="M167" t="e">
        <f>IF(samples!#REF!=0,"",samples!#REF!)</f>
        <v>#REF!</v>
      </c>
      <c r="N167">
        <f>IFERROR(SEARCH(search!$B$6,samples!#REF!,1),0)</f>
        <v>0</v>
      </c>
      <c r="O167" t="e">
        <f>IF(samples!#REF!=0,"",samples!#REF!)</f>
        <v>#REF!</v>
      </c>
      <c r="P167">
        <f>IFERROR(SEARCH(search!$B$6,samples!#REF!,1),0)</f>
        <v>0</v>
      </c>
      <c r="Q167" t="e">
        <f>IF(samples!#REF!=0,"",samples!#REF!)</f>
        <v>#REF!</v>
      </c>
      <c r="R167">
        <f>IFERROR(SEARCH(search!$B$6,samples!#REF!,1),0)</f>
        <v>0</v>
      </c>
      <c r="S167" t="e">
        <f>IF(samples!#REF!=0,"",samples!#REF!)</f>
        <v>#REF!</v>
      </c>
      <c r="T167">
        <f>IFERROR(SEARCH(search!$B$6,samples!#REF!,1),0)</f>
        <v>0</v>
      </c>
      <c r="U167" t="e">
        <f>IF(samples!#REF!=0,"",samples!#REF!)</f>
        <v>#REF!</v>
      </c>
      <c r="V167">
        <f>IFERROR(SEARCH(search!$B$6,samples!#REF!,1),0)</f>
        <v>0</v>
      </c>
      <c r="W167" t="e">
        <f>IF(samples!#REF!=0,"",samples!#REF!)</f>
        <v>#REF!</v>
      </c>
      <c r="X167">
        <f>IFERROR(SEARCH(search!$B$6,samples!#REF!,1),0)</f>
        <v>0</v>
      </c>
      <c r="Y167" t="e">
        <f>IF(samples!#REF!=0,"",samples!#REF!)</f>
        <v>#REF!</v>
      </c>
      <c r="Z167">
        <f>IFERROR(SEARCH(search!$B$6,samples!#REF!,1),0)</f>
        <v>0</v>
      </c>
      <c r="AA167" t="e">
        <f>IF(samples!#REF!=0,"",samples!#REF!)</f>
        <v>#REF!</v>
      </c>
      <c r="AB167">
        <f>IFERROR(SEARCH(search!$B$6,samples!#REF!,1),0)</f>
        <v>0</v>
      </c>
      <c r="AC167" t="e">
        <f>IF(samples!#REF!=0,"",samples!#REF!)</f>
        <v>#REF!</v>
      </c>
      <c r="AD167">
        <f>IFERROR(SEARCH(search!$B$6,samples!#REF!,1),0)</f>
        <v>0</v>
      </c>
    </row>
    <row r="168" spans="1:30">
      <c r="A168">
        <f t="shared" si="2"/>
        <v>0</v>
      </c>
      <c r="B168">
        <f>IF(SUM(D168,F168,H168,J168,L168,N168,P168,R168,T168,V168,X168,Z168,AB168,AD168)&gt;0,SUM($A$2:A168),0)</f>
        <v>0</v>
      </c>
      <c r="C168" t="e">
        <f>samples!#REF!</f>
        <v>#REF!</v>
      </c>
      <c r="D168">
        <f>IFERROR(SEARCH(search!$B$6,samples!#REF!,1),0)</f>
        <v>0</v>
      </c>
      <c r="E168" t="e">
        <f>IF(samples!#REF!=0,"",samples!#REF!)</f>
        <v>#REF!</v>
      </c>
      <c r="F168">
        <f>IFERROR(SEARCH(search!$B$6,samples!#REF!,1),0)</f>
        <v>0</v>
      </c>
      <c r="G168" t="e">
        <f>IF(samples!#REF!=0,"",samples!#REF!)</f>
        <v>#REF!</v>
      </c>
      <c r="H168">
        <f>IFERROR(SEARCH(search!$B$6,samples!#REF!,1),0)</f>
        <v>0</v>
      </c>
      <c r="I168" t="e">
        <f>IF(samples!#REF!=0,"",samples!#REF!)</f>
        <v>#REF!</v>
      </c>
      <c r="J168">
        <f>IFERROR(SEARCH(search!$B$6,samples!#REF!,1),0)</f>
        <v>0</v>
      </c>
      <c r="K168" t="e">
        <f>IF(samples!#REF!=0,"",samples!#REF!)</f>
        <v>#REF!</v>
      </c>
      <c r="L168">
        <f>IFERROR(SEARCH(search!$B$6,samples!#REF!,1),0)</f>
        <v>0</v>
      </c>
      <c r="M168" t="e">
        <f>IF(samples!#REF!=0,"",samples!#REF!)</f>
        <v>#REF!</v>
      </c>
      <c r="N168">
        <f>IFERROR(SEARCH(search!$B$6,samples!#REF!,1),0)</f>
        <v>0</v>
      </c>
      <c r="O168" t="e">
        <f>IF(samples!#REF!=0,"",samples!#REF!)</f>
        <v>#REF!</v>
      </c>
      <c r="P168">
        <f>IFERROR(SEARCH(search!$B$6,samples!#REF!,1),0)</f>
        <v>0</v>
      </c>
      <c r="Q168" t="e">
        <f>IF(samples!#REF!=0,"",samples!#REF!)</f>
        <v>#REF!</v>
      </c>
      <c r="R168">
        <f>IFERROR(SEARCH(search!$B$6,samples!#REF!,1),0)</f>
        <v>0</v>
      </c>
      <c r="S168" t="e">
        <f>IF(samples!#REF!=0,"",samples!#REF!)</f>
        <v>#REF!</v>
      </c>
      <c r="T168">
        <f>IFERROR(SEARCH(search!$B$6,samples!#REF!,1),0)</f>
        <v>0</v>
      </c>
      <c r="U168" t="e">
        <f>IF(samples!#REF!=0,"",samples!#REF!)</f>
        <v>#REF!</v>
      </c>
      <c r="V168">
        <f>IFERROR(SEARCH(search!$B$6,samples!#REF!,1),0)</f>
        <v>0</v>
      </c>
      <c r="W168" t="e">
        <f>IF(samples!#REF!=0,"",samples!#REF!)</f>
        <v>#REF!</v>
      </c>
      <c r="X168">
        <f>IFERROR(SEARCH(search!$B$6,samples!#REF!,1),0)</f>
        <v>0</v>
      </c>
      <c r="Y168" t="e">
        <f>IF(samples!#REF!=0,"",samples!#REF!)</f>
        <v>#REF!</v>
      </c>
      <c r="Z168">
        <f>IFERROR(SEARCH(search!$B$6,samples!#REF!,1),0)</f>
        <v>0</v>
      </c>
      <c r="AA168" t="e">
        <f>IF(samples!#REF!=0,"",samples!#REF!)</f>
        <v>#REF!</v>
      </c>
      <c r="AB168">
        <f>IFERROR(SEARCH(search!$B$6,samples!#REF!,1),0)</f>
        <v>0</v>
      </c>
      <c r="AC168" t="e">
        <f>IF(samples!#REF!=0,"",samples!#REF!)</f>
        <v>#REF!</v>
      </c>
      <c r="AD168">
        <f>IFERROR(SEARCH(search!$B$6,samples!#REF!,1),0)</f>
        <v>0</v>
      </c>
    </row>
    <row r="169" spans="1:30">
      <c r="A169">
        <f t="shared" si="2"/>
        <v>0</v>
      </c>
      <c r="B169">
        <f>IF(SUM(D169,F169,H169,J169,L169,N169,P169,R169,T169,V169,X169,Z169,AB169,AD169)&gt;0,SUM($A$2:A169),0)</f>
        <v>0</v>
      </c>
      <c r="C169" t="e">
        <f>samples!#REF!</f>
        <v>#REF!</v>
      </c>
      <c r="D169">
        <f>IFERROR(SEARCH(search!$B$6,samples!#REF!,1),0)</f>
        <v>0</v>
      </c>
      <c r="E169" t="e">
        <f>IF(samples!#REF!=0,"",samples!#REF!)</f>
        <v>#REF!</v>
      </c>
      <c r="F169">
        <f>IFERROR(SEARCH(search!$B$6,samples!#REF!,1),0)</f>
        <v>0</v>
      </c>
      <c r="G169" t="e">
        <f>IF(samples!#REF!=0,"",samples!#REF!)</f>
        <v>#REF!</v>
      </c>
      <c r="H169">
        <f>IFERROR(SEARCH(search!$B$6,samples!#REF!,1),0)</f>
        <v>0</v>
      </c>
      <c r="I169" t="e">
        <f>IF(samples!#REF!=0,"",samples!#REF!)</f>
        <v>#REF!</v>
      </c>
      <c r="J169">
        <f>IFERROR(SEARCH(search!$B$6,samples!#REF!,1),0)</f>
        <v>0</v>
      </c>
      <c r="K169" t="e">
        <f>IF(samples!#REF!=0,"",samples!#REF!)</f>
        <v>#REF!</v>
      </c>
      <c r="L169">
        <f>IFERROR(SEARCH(search!$B$6,samples!#REF!,1),0)</f>
        <v>0</v>
      </c>
      <c r="M169" t="e">
        <f>IF(samples!#REF!=0,"",samples!#REF!)</f>
        <v>#REF!</v>
      </c>
      <c r="N169">
        <f>IFERROR(SEARCH(search!$B$6,samples!#REF!,1),0)</f>
        <v>0</v>
      </c>
      <c r="O169" t="e">
        <f>IF(samples!#REF!=0,"",samples!#REF!)</f>
        <v>#REF!</v>
      </c>
      <c r="P169">
        <f>IFERROR(SEARCH(search!$B$6,samples!#REF!,1),0)</f>
        <v>0</v>
      </c>
      <c r="Q169" t="e">
        <f>IF(samples!#REF!=0,"",samples!#REF!)</f>
        <v>#REF!</v>
      </c>
      <c r="R169">
        <f>IFERROR(SEARCH(search!$B$6,samples!#REF!,1),0)</f>
        <v>0</v>
      </c>
      <c r="S169" t="e">
        <f>IF(samples!#REF!=0,"",samples!#REF!)</f>
        <v>#REF!</v>
      </c>
      <c r="T169">
        <f>IFERROR(SEARCH(search!$B$6,samples!#REF!,1),0)</f>
        <v>0</v>
      </c>
      <c r="U169" t="e">
        <f>IF(samples!#REF!=0,"",samples!#REF!)</f>
        <v>#REF!</v>
      </c>
      <c r="V169">
        <f>IFERROR(SEARCH(search!$B$6,samples!#REF!,1),0)</f>
        <v>0</v>
      </c>
      <c r="W169" t="e">
        <f>IF(samples!#REF!=0,"",samples!#REF!)</f>
        <v>#REF!</v>
      </c>
      <c r="X169">
        <f>IFERROR(SEARCH(search!$B$6,samples!#REF!,1),0)</f>
        <v>0</v>
      </c>
      <c r="Y169" t="e">
        <f>IF(samples!#REF!=0,"",samples!#REF!)</f>
        <v>#REF!</v>
      </c>
      <c r="Z169">
        <f>IFERROR(SEARCH(search!$B$6,samples!#REF!,1),0)</f>
        <v>0</v>
      </c>
      <c r="AA169" t="e">
        <f>IF(samples!#REF!=0,"",samples!#REF!)</f>
        <v>#REF!</v>
      </c>
      <c r="AB169">
        <f>IFERROR(SEARCH(search!$B$6,samples!#REF!,1),0)</f>
        <v>0</v>
      </c>
      <c r="AC169" t="e">
        <f>IF(samples!#REF!=0,"",samples!#REF!)</f>
        <v>#REF!</v>
      </c>
      <c r="AD169">
        <f>IFERROR(SEARCH(search!$B$6,samples!#REF!,1),0)</f>
        <v>0</v>
      </c>
    </row>
    <row r="170" spans="1:30">
      <c r="A170">
        <f t="shared" si="2"/>
        <v>0</v>
      </c>
      <c r="B170">
        <f>IF(SUM(D170,F170,H170,J170,L170,N170,P170,R170,T170,V170,X170,Z170,AB170,AD170)&gt;0,SUM($A$2:A170),0)</f>
        <v>0</v>
      </c>
      <c r="C170" t="e">
        <f>samples!#REF!</f>
        <v>#REF!</v>
      </c>
      <c r="D170">
        <f>IFERROR(SEARCH(search!$B$6,samples!#REF!,1),0)</f>
        <v>0</v>
      </c>
      <c r="E170" t="e">
        <f>IF(samples!#REF!=0,"",samples!#REF!)</f>
        <v>#REF!</v>
      </c>
      <c r="F170">
        <f>IFERROR(SEARCH(search!$B$6,samples!#REF!,1),0)</f>
        <v>0</v>
      </c>
      <c r="G170" t="e">
        <f>IF(samples!#REF!=0,"",samples!#REF!)</f>
        <v>#REF!</v>
      </c>
      <c r="H170">
        <f>IFERROR(SEARCH(search!$B$6,samples!#REF!,1),0)</f>
        <v>0</v>
      </c>
      <c r="I170" t="e">
        <f>IF(samples!#REF!=0,"",samples!#REF!)</f>
        <v>#REF!</v>
      </c>
      <c r="J170">
        <f>IFERROR(SEARCH(search!$B$6,samples!#REF!,1),0)</f>
        <v>0</v>
      </c>
      <c r="K170" t="e">
        <f>IF(samples!#REF!=0,"",samples!#REF!)</f>
        <v>#REF!</v>
      </c>
      <c r="L170">
        <f>IFERROR(SEARCH(search!$B$6,samples!#REF!,1),0)</f>
        <v>0</v>
      </c>
      <c r="M170" t="e">
        <f>IF(samples!#REF!=0,"",samples!#REF!)</f>
        <v>#REF!</v>
      </c>
      <c r="N170">
        <f>IFERROR(SEARCH(search!$B$6,samples!#REF!,1),0)</f>
        <v>0</v>
      </c>
      <c r="O170" t="e">
        <f>IF(samples!#REF!=0,"",samples!#REF!)</f>
        <v>#REF!</v>
      </c>
      <c r="P170">
        <f>IFERROR(SEARCH(search!$B$6,samples!#REF!,1),0)</f>
        <v>0</v>
      </c>
      <c r="Q170" t="e">
        <f>IF(samples!#REF!=0,"",samples!#REF!)</f>
        <v>#REF!</v>
      </c>
      <c r="R170">
        <f>IFERROR(SEARCH(search!$B$6,samples!#REF!,1),0)</f>
        <v>0</v>
      </c>
      <c r="S170" t="e">
        <f>IF(samples!#REF!=0,"",samples!#REF!)</f>
        <v>#REF!</v>
      </c>
      <c r="T170">
        <f>IFERROR(SEARCH(search!$B$6,samples!#REF!,1),0)</f>
        <v>0</v>
      </c>
      <c r="U170" t="e">
        <f>IF(samples!#REF!=0,"",samples!#REF!)</f>
        <v>#REF!</v>
      </c>
      <c r="V170">
        <f>IFERROR(SEARCH(search!$B$6,samples!#REF!,1),0)</f>
        <v>0</v>
      </c>
      <c r="W170" t="e">
        <f>IF(samples!#REF!=0,"",samples!#REF!)</f>
        <v>#REF!</v>
      </c>
      <c r="X170">
        <f>IFERROR(SEARCH(search!$B$6,samples!#REF!,1),0)</f>
        <v>0</v>
      </c>
      <c r="Y170" t="e">
        <f>IF(samples!#REF!=0,"",samples!#REF!)</f>
        <v>#REF!</v>
      </c>
      <c r="Z170">
        <f>IFERROR(SEARCH(search!$B$6,samples!#REF!,1),0)</f>
        <v>0</v>
      </c>
      <c r="AA170" t="e">
        <f>IF(samples!#REF!=0,"",samples!#REF!)</f>
        <v>#REF!</v>
      </c>
      <c r="AB170">
        <f>IFERROR(SEARCH(search!$B$6,samples!#REF!,1),0)</f>
        <v>0</v>
      </c>
      <c r="AC170" t="e">
        <f>IF(samples!#REF!=0,"",samples!#REF!)</f>
        <v>#REF!</v>
      </c>
      <c r="AD170">
        <f>IFERROR(SEARCH(search!$B$6,samples!#REF!,1),0)</f>
        <v>0</v>
      </c>
    </row>
    <row r="171" spans="1:30">
      <c r="A171">
        <f t="shared" si="2"/>
        <v>0</v>
      </c>
      <c r="B171">
        <f>IF(SUM(D171,F171,H171,J171,L171,N171,P171,R171,T171,V171,X171,Z171,AB171,AD171)&gt;0,SUM($A$2:A171),0)</f>
        <v>0</v>
      </c>
      <c r="C171" t="e">
        <f>samples!#REF!</f>
        <v>#REF!</v>
      </c>
      <c r="D171">
        <f>IFERROR(SEARCH(search!$B$6,samples!#REF!,1),0)</f>
        <v>0</v>
      </c>
      <c r="E171" t="e">
        <f>IF(samples!#REF!=0,"",samples!#REF!)</f>
        <v>#REF!</v>
      </c>
      <c r="F171">
        <f>IFERROR(SEARCH(search!$B$6,samples!#REF!,1),0)</f>
        <v>0</v>
      </c>
      <c r="G171" t="e">
        <f>IF(samples!#REF!=0,"",samples!#REF!)</f>
        <v>#REF!</v>
      </c>
      <c r="H171">
        <f>IFERROR(SEARCH(search!$B$6,samples!#REF!,1),0)</f>
        <v>0</v>
      </c>
      <c r="I171" t="e">
        <f>IF(samples!#REF!=0,"",samples!#REF!)</f>
        <v>#REF!</v>
      </c>
      <c r="J171">
        <f>IFERROR(SEARCH(search!$B$6,samples!#REF!,1),0)</f>
        <v>0</v>
      </c>
      <c r="K171" t="e">
        <f>IF(samples!#REF!=0,"",samples!#REF!)</f>
        <v>#REF!</v>
      </c>
      <c r="L171">
        <f>IFERROR(SEARCH(search!$B$6,samples!#REF!,1),0)</f>
        <v>0</v>
      </c>
      <c r="M171" t="e">
        <f>IF(samples!#REF!=0,"",samples!#REF!)</f>
        <v>#REF!</v>
      </c>
      <c r="N171">
        <f>IFERROR(SEARCH(search!$B$6,samples!#REF!,1),0)</f>
        <v>0</v>
      </c>
      <c r="O171" t="e">
        <f>IF(samples!#REF!=0,"",samples!#REF!)</f>
        <v>#REF!</v>
      </c>
      <c r="P171">
        <f>IFERROR(SEARCH(search!$B$6,samples!#REF!,1),0)</f>
        <v>0</v>
      </c>
      <c r="Q171" t="e">
        <f>IF(samples!#REF!=0,"",samples!#REF!)</f>
        <v>#REF!</v>
      </c>
      <c r="R171">
        <f>IFERROR(SEARCH(search!$B$6,samples!#REF!,1),0)</f>
        <v>0</v>
      </c>
      <c r="S171" t="e">
        <f>IF(samples!#REF!=0,"",samples!#REF!)</f>
        <v>#REF!</v>
      </c>
      <c r="T171">
        <f>IFERROR(SEARCH(search!$B$6,samples!#REF!,1),0)</f>
        <v>0</v>
      </c>
      <c r="U171" t="e">
        <f>IF(samples!#REF!=0,"",samples!#REF!)</f>
        <v>#REF!</v>
      </c>
      <c r="V171">
        <f>IFERROR(SEARCH(search!$B$6,samples!#REF!,1),0)</f>
        <v>0</v>
      </c>
      <c r="W171" t="e">
        <f>IF(samples!#REF!=0,"",samples!#REF!)</f>
        <v>#REF!</v>
      </c>
      <c r="X171">
        <f>IFERROR(SEARCH(search!$B$6,samples!#REF!,1),0)</f>
        <v>0</v>
      </c>
      <c r="Y171" t="e">
        <f>IF(samples!#REF!=0,"",samples!#REF!)</f>
        <v>#REF!</v>
      </c>
      <c r="Z171">
        <f>IFERROR(SEARCH(search!$B$6,samples!#REF!,1),0)</f>
        <v>0</v>
      </c>
      <c r="AA171" t="e">
        <f>IF(samples!#REF!=0,"",samples!#REF!)</f>
        <v>#REF!</v>
      </c>
      <c r="AB171">
        <f>IFERROR(SEARCH(search!$B$6,samples!#REF!,1),0)</f>
        <v>0</v>
      </c>
      <c r="AC171" t="e">
        <f>IF(samples!#REF!=0,"",samples!#REF!)</f>
        <v>#REF!</v>
      </c>
      <c r="AD171">
        <f>IFERROR(SEARCH(search!$B$6,samples!#REF!,1),0)</f>
        <v>0</v>
      </c>
    </row>
    <row r="172" spans="1:30">
      <c r="A172">
        <f t="shared" si="2"/>
        <v>0</v>
      </c>
      <c r="B172">
        <f>IF(SUM(D172,F172,H172,J172,L172,N172,P172,R172,T172,V172,X172,Z172,AB172,AD172)&gt;0,SUM($A$2:A172),0)</f>
        <v>0</v>
      </c>
      <c r="C172" t="e">
        <f>samples!#REF!</f>
        <v>#REF!</v>
      </c>
      <c r="D172">
        <f>IFERROR(SEARCH(search!$B$6,samples!#REF!,1),0)</f>
        <v>0</v>
      </c>
      <c r="E172" t="e">
        <f>IF(samples!#REF!=0,"",samples!#REF!)</f>
        <v>#REF!</v>
      </c>
      <c r="F172">
        <f>IFERROR(SEARCH(search!$B$6,samples!#REF!,1),0)</f>
        <v>0</v>
      </c>
      <c r="G172" t="e">
        <f>IF(samples!#REF!=0,"",samples!#REF!)</f>
        <v>#REF!</v>
      </c>
      <c r="H172">
        <f>IFERROR(SEARCH(search!$B$6,samples!#REF!,1),0)</f>
        <v>0</v>
      </c>
      <c r="I172" t="e">
        <f>IF(samples!#REF!=0,"",samples!#REF!)</f>
        <v>#REF!</v>
      </c>
      <c r="J172">
        <f>IFERROR(SEARCH(search!$B$6,samples!#REF!,1),0)</f>
        <v>0</v>
      </c>
      <c r="K172" t="e">
        <f>IF(samples!#REF!=0,"",samples!#REF!)</f>
        <v>#REF!</v>
      </c>
      <c r="L172">
        <f>IFERROR(SEARCH(search!$B$6,samples!#REF!,1),0)</f>
        <v>0</v>
      </c>
      <c r="M172" t="e">
        <f>IF(samples!#REF!=0,"",samples!#REF!)</f>
        <v>#REF!</v>
      </c>
      <c r="N172">
        <f>IFERROR(SEARCH(search!$B$6,samples!#REF!,1),0)</f>
        <v>0</v>
      </c>
      <c r="O172" t="e">
        <f>IF(samples!#REF!=0,"",samples!#REF!)</f>
        <v>#REF!</v>
      </c>
      <c r="P172">
        <f>IFERROR(SEARCH(search!$B$6,samples!#REF!,1),0)</f>
        <v>0</v>
      </c>
      <c r="Q172" t="e">
        <f>IF(samples!#REF!=0,"",samples!#REF!)</f>
        <v>#REF!</v>
      </c>
      <c r="R172">
        <f>IFERROR(SEARCH(search!$B$6,samples!#REF!,1),0)</f>
        <v>0</v>
      </c>
      <c r="S172" t="e">
        <f>IF(samples!#REF!=0,"",samples!#REF!)</f>
        <v>#REF!</v>
      </c>
      <c r="T172">
        <f>IFERROR(SEARCH(search!$B$6,samples!#REF!,1),0)</f>
        <v>0</v>
      </c>
      <c r="U172" t="e">
        <f>IF(samples!#REF!=0,"",samples!#REF!)</f>
        <v>#REF!</v>
      </c>
      <c r="V172">
        <f>IFERROR(SEARCH(search!$B$6,samples!#REF!,1),0)</f>
        <v>0</v>
      </c>
      <c r="W172" t="e">
        <f>IF(samples!#REF!=0,"",samples!#REF!)</f>
        <v>#REF!</v>
      </c>
      <c r="X172">
        <f>IFERROR(SEARCH(search!$B$6,samples!#REF!,1),0)</f>
        <v>0</v>
      </c>
      <c r="Y172" t="e">
        <f>IF(samples!#REF!=0,"",samples!#REF!)</f>
        <v>#REF!</v>
      </c>
      <c r="Z172">
        <f>IFERROR(SEARCH(search!$B$6,samples!#REF!,1),0)</f>
        <v>0</v>
      </c>
      <c r="AA172" t="e">
        <f>IF(samples!#REF!=0,"",samples!#REF!)</f>
        <v>#REF!</v>
      </c>
      <c r="AB172">
        <f>IFERROR(SEARCH(search!$B$6,samples!#REF!,1),0)</f>
        <v>0</v>
      </c>
      <c r="AC172" t="e">
        <f>IF(samples!#REF!=0,"",samples!#REF!)</f>
        <v>#REF!</v>
      </c>
      <c r="AD172">
        <f>IFERROR(SEARCH(search!$B$6,samples!#REF!,1),0)</f>
        <v>0</v>
      </c>
    </row>
    <row r="173" spans="1:30">
      <c r="A173">
        <f t="shared" si="2"/>
        <v>0</v>
      </c>
      <c r="B173">
        <f>IF(SUM(D173,F173,H173,J173,L173,N173,P173,R173,T173,V173,X173,Z173,AB173,AD173)&gt;0,SUM($A$2:A173),0)</f>
        <v>0</v>
      </c>
      <c r="C173" t="e">
        <f>samples!#REF!</f>
        <v>#REF!</v>
      </c>
      <c r="D173">
        <f>IFERROR(SEARCH(search!$B$6,samples!#REF!,1),0)</f>
        <v>0</v>
      </c>
      <c r="E173" t="e">
        <f>IF(samples!#REF!=0,"",samples!#REF!)</f>
        <v>#REF!</v>
      </c>
      <c r="F173">
        <f>IFERROR(SEARCH(search!$B$6,samples!#REF!,1),0)</f>
        <v>0</v>
      </c>
      <c r="G173" t="e">
        <f>IF(samples!#REF!=0,"",samples!#REF!)</f>
        <v>#REF!</v>
      </c>
      <c r="H173">
        <f>IFERROR(SEARCH(search!$B$6,samples!#REF!,1),0)</f>
        <v>0</v>
      </c>
      <c r="I173" t="e">
        <f>IF(samples!#REF!=0,"",samples!#REF!)</f>
        <v>#REF!</v>
      </c>
      <c r="J173">
        <f>IFERROR(SEARCH(search!$B$6,samples!#REF!,1),0)</f>
        <v>0</v>
      </c>
      <c r="K173" t="e">
        <f>IF(samples!#REF!=0,"",samples!#REF!)</f>
        <v>#REF!</v>
      </c>
      <c r="L173">
        <f>IFERROR(SEARCH(search!$B$6,samples!#REF!,1),0)</f>
        <v>0</v>
      </c>
      <c r="M173" t="e">
        <f>IF(samples!#REF!=0,"",samples!#REF!)</f>
        <v>#REF!</v>
      </c>
      <c r="N173">
        <f>IFERROR(SEARCH(search!$B$6,samples!#REF!,1),0)</f>
        <v>0</v>
      </c>
      <c r="O173" t="e">
        <f>IF(samples!#REF!=0,"",samples!#REF!)</f>
        <v>#REF!</v>
      </c>
      <c r="P173">
        <f>IFERROR(SEARCH(search!$B$6,samples!#REF!,1),0)</f>
        <v>0</v>
      </c>
      <c r="Q173" t="e">
        <f>IF(samples!#REF!=0,"",samples!#REF!)</f>
        <v>#REF!</v>
      </c>
      <c r="R173">
        <f>IFERROR(SEARCH(search!$B$6,samples!#REF!,1),0)</f>
        <v>0</v>
      </c>
      <c r="S173" t="e">
        <f>IF(samples!#REF!=0,"",samples!#REF!)</f>
        <v>#REF!</v>
      </c>
      <c r="T173">
        <f>IFERROR(SEARCH(search!$B$6,samples!#REF!,1),0)</f>
        <v>0</v>
      </c>
      <c r="U173" t="e">
        <f>IF(samples!#REF!=0,"",samples!#REF!)</f>
        <v>#REF!</v>
      </c>
      <c r="V173">
        <f>IFERROR(SEARCH(search!$B$6,samples!#REF!,1),0)</f>
        <v>0</v>
      </c>
      <c r="W173" t="e">
        <f>IF(samples!#REF!=0,"",samples!#REF!)</f>
        <v>#REF!</v>
      </c>
      <c r="X173">
        <f>IFERROR(SEARCH(search!$B$6,samples!#REF!,1),0)</f>
        <v>0</v>
      </c>
      <c r="Y173" t="e">
        <f>IF(samples!#REF!=0,"",samples!#REF!)</f>
        <v>#REF!</v>
      </c>
      <c r="Z173">
        <f>IFERROR(SEARCH(search!$B$6,samples!#REF!,1),0)</f>
        <v>0</v>
      </c>
      <c r="AA173" t="e">
        <f>IF(samples!#REF!=0,"",samples!#REF!)</f>
        <v>#REF!</v>
      </c>
      <c r="AB173">
        <f>IFERROR(SEARCH(search!$B$6,samples!#REF!,1),0)</f>
        <v>0</v>
      </c>
      <c r="AC173" t="e">
        <f>IF(samples!#REF!=0,"",samples!#REF!)</f>
        <v>#REF!</v>
      </c>
      <c r="AD173">
        <f>IFERROR(SEARCH(search!$B$6,samples!#REF!,1),0)</f>
        <v>0</v>
      </c>
    </row>
    <row r="174" spans="1:30">
      <c r="A174">
        <f t="shared" si="2"/>
        <v>0</v>
      </c>
      <c r="B174">
        <f>IF(SUM(D174,F174,H174,J174,L174,N174,P174,R174,T174,V174,X174,Z174,AB174,AD174)&gt;0,SUM($A$2:A174),0)</f>
        <v>0</v>
      </c>
      <c r="C174" t="e">
        <f>samples!#REF!</f>
        <v>#REF!</v>
      </c>
      <c r="D174">
        <f>IFERROR(SEARCH(search!$B$6,samples!#REF!,1),0)</f>
        <v>0</v>
      </c>
      <c r="E174" t="e">
        <f>IF(samples!#REF!=0,"",samples!#REF!)</f>
        <v>#REF!</v>
      </c>
      <c r="F174">
        <f>IFERROR(SEARCH(search!$B$6,samples!#REF!,1),0)</f>
        <v>0</v>
      </c>
      <c r="G174" t="e">
        <f>IF(samples!#REF!=0,"",samples!#REF!)</f>
        <v>#REF!</v>
      </c>
      <c r="H174">
        <f>IFERROR(SEARCH(search!$B$6,samples!#REF!,1),0)</f>
        <v>0</v>
      </c>
      <c r="I174" t="e">
        <f>IF(samples!#REF!=0,"",samples!#REF!)</f>
        <v>#REF!</v>
      </c>
      <c r="J174">
        <f>IFERROR(SEARCH(search!$B$6,samples!#REF!,1),0)</f>
        <v>0</v>
      </c>
      <c r="K174" t="e">
        <f>IF(samples!#REF!=0,"",samples!#REF!)</f>
        <v>#REF!</v>
      </c>
      <c r="L174">
        <f>IFERROR(SEARCH(search!$B$6,samples!#REF!,1),0)</f>
        <v>0</v>
      </c>
      <c r="M174" t="e">
        <f>IF(samples!#REF!=0,"",samples!#REF!)</f>
        <v>#REF!</v>
      </c>
      <c r="N174">
        <f>IFERROR(SEARCH(search!$B$6,samples!#REF!,1),0)</f>
        <v>0</v>
      </c>
      <c r="O174" t="e">
        <f>IF(samples!#REF!=0,"",samples!#REF!)</f>
        <v>#REF!</v>
      </c>
      <c r="P174">
        <f>IFERROR(SEARCH(search!$B$6,samples!#REF!,1),0)</f>
        <v>0</v>
      </c>
      <c r="Q174" t="e">
        <f>IF(samples!#REF!=0,"",samples!#REF!)</f>
        <v>#REF!</v>
      </c>
      <c r="R174">
        <f>IFERROR(SEARCH(search!$B$6,samples!#REF!,1),0)</f>
        <v>0</v>
      </c>
      <c r="S174" t="e">
        <f>IF(samples!#REF!=0,"",samples!#REF!)</f>
        <v>#REF!</v>
      </c>
      <c r="T174">
        <f>IFERROR(SEARCH(search!$B$6,samples!#REF!,1),0)</f>
        <v>0</v>
      </c>
      <c r="U174" t="e">
        <f>IF(samples!#REF!=0,"",samples!#REF!)</f>
        <v>#REF!</v>
      </c>
      <c r="V174">
        <f>IFERROR(SEARCH(search!$B$6,samples!#REF!,1),0)</f>
        <v>0</v>
      </c>
      <c r="W174" t="e">
        <f>IF(samples!#REF!=0,"",samples!#REF!)</f>
        <v>#REF!</v>
      </c>
      <c r="X174">
        <f>IFERROR(SEARCH(search!$B$6,samples!#REF!,1),0)</f>
        <v>0</v>
      </c>
      <c r="Y174" t="e">
        <f>IF(samples!#REF!=0,"",samples!#REF!)</f>
        <v>#REF!</v>
      </c>
      <c r="Z174">
        <f>IFERROR(SEARCH(search!$B$6,samples!#REF!,1),0)</f>
        <v>0</v>
      </c>
      <c r="AA174" t="e">
        <f>IF(samples!#REF!=0,"",samples!#REF!)</f>
        <v>#REF!</v>
      </c>
      <c r="AB174">
        <f>IFERROR(SEARCH(search!$B$6,samples!#REF!,1),0)</f>
        <v>0</v>
      </c>
      <c r="AC174" t="e">
        <f>IF(samples!#REF!=0,"",samples!#REF!)</f>
        <v>#REF!</v>
      </c>
      <c r="AD174">
        <f>IFERROR(SEARCH(search!$B$6,samples!#REF!,1),0)</f>
        <v>0</v>
      </c>
    </row>
    <row r="175" spans="1:30">
      <c r="A175">
        <f t="shared" si="2"/>
        <v>0</v>
      </c>
      <c r="B175">
        <f>IF(SUM(D175,F175,H175,J175,L175,N175,P175,R175,T175,V175,X175,Z175,AB175,AD175)&gt;0,SUM($A$2:A175),0)</f>
        <v>0</v>
      </c>
      <c r="C175" t="e">
        <f>samples!#REF!</f>
        <v>#REF!</v>
      </c>
      <c r="D175">
        <f>IFERROR(SEARCH(search!$B$6,samples!#REF!,1),0)</f>
        <v>0</v>
      </c>
      <c r="E175" t="e">
        <f>IF(samples!#REF!=0,"",samples!#REF!)</f>
        <v>#REF!</v>
      </c>
      <c r="F175">
        <f>IFERROR(SEARCH(search!$B$6,samples!#REF!,1),0)</f>
        <v>0</v>
      </c>
      <c r="G175" t="e">
        <f>IF(samples!#REF!=0,"",samples!#REF!)</f>
        <v>#REF!</v>
      </c>
      <c r="H175">
        <f>IFERROR(SEARCH(search!$B$6,samples!#REF!,1),0)</f>
        <v>0</v>
      </c>
      <c r="I175" t="e">
        <f>IF(samples!#REF!=0,"",samples!#REF!)</f>
        <v>#REF!</v>
      </c>
      <c r="J175">
        <f>IFERROR(SEARCH(search!$B$6,samples!#REF!,1),0)</f>
        <v>0</v>
      </c>
      <c r="K175" t="e">
        <f>IF(samples!#REF!=0,"",samples!#REF!)</f>
        <v>#REF!</v>
      </c>
      <c r="L175">
        <f>IFERROR(SEARCH(search!$B$6,samples!#REF!,1),0)</f>
        <v>0</v>
      </c>
      <c r="M175" t="e">
        <f>IF(samples!#REF!=0,"",samples!#REF!)</f>
        <v>#REF!</v>
      </c>
      <c r="N175">
        <f>IFERROR(SEARCH(search!$B$6,samples!#REF!,1),0)</f>
        <v>0</v>
      </c>
      <c r="O175" t="e">
        <f>IF(samples!#REF!=0,"",samples!#REF!)</f>
        <v>#REF!</v>
      </c>
      <c r="P175">
        <f>IFERROR(SEARCH(search!$B$6,samples!#REF!,1),0)</f>
        <v>0</v>
      </c>
      <c r="Q175" t="e">
        <f>IF(samples!#REF!=0,"",samples!#REF!)</f>
        <v>#REF!</v>
      </c>
      <c r="R175">
        <f>IFERROR(SEARCH(search!$B$6,samples!#REF!,1),0)</f>
        <v>0</v>
      </c>
      <c r="S175" t="e">
        <f>IF(samples!#REF!=0,"",samples!#REF!)</f>
        <v>#REF!</v>
      </c>
      <c r="T175">
        <f>IFERROR(SEARCH(search!$B$6,samples!#REF!,1),0)</f>
        <v>0</v>
      </c>
      <c r="U175" t="e">
        <f>IF(samples!#REF!=0,"",samples!#REF!)</f>
        <v>#REF!</v>
      </c>
      <c r="V175">
        <f>IFERROR(SEARCH(search!$B$6,samples!#REF!,1),0)</f>
        <v>0</v>
      </c>
      <c r="W175" t="e">
        <f>IF(samples!#REF!=0,"",samples!#REF!)</f>
        <v>#REF!</v>
      </c>
      <c r="X175">
        <f>IFERROR(SEARCH(search!$B$6,samples!#REF!,1),0)</f>
        <v>0</v>
      </c>
      <c r="Y175" t="e">
        <f>IF(samples!#REF!=0,"",samples!#REF!)</f>
        <v>#REF!</v>
      </c>
      <c r="Z175">
        <f>IFERROR(SEARCH(search!$B$6,samples!#REF!,1),0)</f>
        <v>0</v>
      </c>
      <c r="AA175" t="e">
        <f>IF(samples!#REF!=0,"",samples!#REF!)</f>
        <v>#REF!</v>
      </c>
      <c r="AB175">
        <f>IFERROR(SEARCH(search!$B$6,samples!#REF!,1),0)</f>
        <v>0</v>
      </c>
      <c r="AC175" t="e">
        <f>IF(samples!#REF!=0,"",samples!#REF!)</f>
        <v>#REF!</v>
      </c>
      <c r="AD175">
        <f>IFERROR(SEARCH(search!$B$6,samples!#REF!,1),0)</f>
        <v>0</v>
      </c>
    </row>
    <row r="176" spans="1:30">
      <c r="A176">
        <f t="shared" si="2"/>
        <v>0</v>
      </c>
      <c r="B176">
        <f>IF(SUM(D176,F176,H176,J176,L176,N176,P176,R176,T176,V176,X176,Z176,AB176,AD176)&gt;0,SUM($A$2:A176),0)</f>
        <v>0</v>
      </c>
      <c r="C176" t="e">
        <f>samples!#REF!</f>
        <v>#REF!</v>
      </c>
      <c r="D176">
        <f>IFERROR(SEARCH(search!$B$6,samples!#REF!,1),0)</f>
        <v>0</v>
      </c>
      <c r="E176" t="e">
        <f>IF(samples!#REF!=0,"",samples!#REF!)</f>
        <v>#REF!</v>
      </c>
      <c r="F176">
        <f>IFERROR(SEARCH(search!$B$6,samples!#REF!,1),0)</f>
        <v>0</v>
      </c>
      <c r="G176" t="e">
        <f>IF(samples!#REF!=0,"",samples!#REF!)</f>
        <v>#REF!</v>
      </c>
      <c r="H176">
        <f>IFERROR(SEARCH(search!$B$6,samples!#REF!,1),0)</f>
        <v>0</v>
      </c>
      <c r="I176" t="e">
        <f>IF(samples!#REF!=0,"",samples!#REF!)</f>
        <v>#REF!</v>
      </c>
      <c r="J176">
        <f>IFERROR(SEARCH(search!$B$6,samples!#REF!,1),0)</f>
        <v>0</v>
      </c>
      <c r="K176" t="e">
        <f>IF(samples!#REF!=0,"",samples!#REF!)</f>
        <v>#REF!</v>
      </c>
      <c r="L176">
        <f>IFERROR(SEARCH(search!$B$6,samples!#REF!,1),0)</f>
        <v>0</v>
      </c>
      <c r="M176" t="e">
        <f>IF(samples!#REF!=0,"",samples!#REF!)</f>
        <v>#REF!</v>
      </c>
      <c r="N176">
        <f>IFERROR(SEARCH(search!$B$6,samples!#REF!,1),0)</f>
        <v>0</v>
      </c>
      <c r="O176" t="e">
        <f>IF(samples!#REF!=0,"",samples!#REF!)</f>
        <v>#REF!</v>
      </c>
      <c r="P176">
        <f>IFERROR(SEARCH(search!$B$6,samples!#REF!,1),0)</f>
        <v>0</v>
      </c>
      <c r="Q176" t="e">
        <f>IF(samples!#REF!=0,"",samples!#REF!)</f>
        <v>#REF!</v>
      </c>
      <c r="R176">
        <f>IFERROR(SEARCH(search!$B$6,samples!#REF!,1),0)</f>
        <v>0</v>
      </c>
      <c r="S176" t="e">
        <f>IF(samples!#REF!=0,"",samples!#REF!)</f>
        <v>#REF!</v>
      </c>
      <c r="T176">
        <f>IFERROR(SEARCH(search!$B$6,samples!#REF!,1),0)</f>
        <v>0</v>
      </c>
      <c r="U176" t="e">
        <f>IF(samples!#REF!=0,"",samples!#REF!)</f>
        <v>#REF!</v>
      </c>
      <c r="V176">
        <f>IFERROR(SEARCH(search!$B$6,samples!#REF!,1),0)</f>
        <v>0</v>
      </c>
      <c r="W176" t="e">
        <f>IF(samples!#REF!=0,"",samples!#REF!)</f>
        <v>#REF!</v>
      </c>
      <c r="X176">
        <f>IFERROR(SEARCH(search!$B$6,samples!#REF!,1),0)</f>
        <v>0</v>
      </c>
      <c r="Y176" t="e">
        <f>IF(samples!#REF!=0,"",samples!#REF!)</f>
        <v>#REF!</v>
      </c>
      <c r="Z176">
        <f>IFERROR(SEARCH(search!$B$6,samples!#REF!,1),0)</f>
        <v>0</v>
      </c>
      <c r="AA176" t="e">
        <f>IF(samples!#REF!=0,"",samples!#REF!)</f>
        <v>#REF!</v>
      </c>
      <c r="AB176">
        <f>IFERROR(SEARCH(search!$B$6,samples!#REF!,1),0)</f>
        <v>0</v>
      </c>
      <c r="AC176" t="e">
        <f>IF(samples!#REF!=0,"",samples!#REF!)</f>
        <v>#REF!</v>
      </c>
      <c r="AD176">
        <f>IFERROR(SEARCH(search!$B$6,samples!#REF!,1),0)</f>
        <v>0</v>
      </c>
    </row>
    <row r="177" spans="1:30">
      <c r="A177">
        <f t="shared" si="2"/>
        <v>0</v>
      </c>
      <c r="B177">
        <f>IF(SUM(D177,F177,H177,J177,L177,N177,P177,R177,T177,V177,X177,Z177,AB177,AD177)&gt;0,SUM($A$2:A177),0)</f>
        <v>0</v>
      </c>
      <c r="C177" t="e">
        <f>samples!#REF!</f>
        <v>#REF!</v>
      </c>
      <c r="D177">
        <f>IFERROR(SEARCH(search!$B$6,samples!#REF!,1),0)</f>
        <v>0</v>
      </c>
      <c r="E177" t="e">
        <f>IF(samples!#REF!=0,"",samples!#REF!)</f>
        <v>#REF!</v>
      </c>
      <c r="F177">
        <f>IFERROR(SEARCH(search!$B$6,samples!#REF!,1),0)</f>
        <v>0</v>
      </c>
      <c r="G177" t="e">
        <f>IF(samples!#REF!=0,"",samples!#REF!)</f>
        <v>#REF!</v>
      </c>
      <c r="H177">
        <f>IFERROR(SEARCH(search!$B$6,samples!#REF!,1),0)</f>
        <v>0</v>
      </c>
      <c r="I177" t="e">
        <f>IF(samples!#REF!=0,"",samples!#REF!)</f>
        <v>#REF!</v>
      </c>
      <c r="J177">
        <f>IFERROR(SEARCH(search!$B$6,samples!#REF!,1),0)</f>
        <v>0</v>
      </c>
      <c r="K177" t="e">
        <f>IF(samples!#REF!=0,"",samples!#REF!)</f>
        <v>#REF!</v>
      </c>
      <c r="L177">
        <f>IFERROR(SEARCH(search!$B$6,samples!#REF!,1),0)</f>
        <v>0</v>
      </c>
      <c r="M177" t="e">
        <f>IF(samples!#REF!=0,"",samples!#REF!)</f>
        <v>#REF!</v>
      </c>
      <c r="N177">
        <f>IFERROR(SEARCH(search!$B$6,samples!#REF!,1),0)</f>
        <v>0</v>
      </c>
      <c r="O177" t="e">
        <f>IF(samples!#REF!=0,"",samples!#REF!)</f>
        <v>#REF!</v>
      </c>
      <c r="P177">
        <f>IFERROR(SEARCH(search!$B$6,samples!#REF!,1),0)</f>
        <v>0</v>
      </c>
      <c r="Q177" t="e">
        <f>IF(samples!#REF!=0,"",samples!#REF!)</f>
        <v>#REF!</v>
      </c>
      <c r="R177">
        <f>IFERROR(SEARCH(search!$B$6,samples!#REF!,1),0)</f>
        <v>0</v>
      </c>
      <c r="S177" t="e">
        <f>IF(samples!#REF!=0,"",samples!#REF!)</f>
        <v>#REF!</v>
      </c>
      <c r="T177">
        <f>IFERROR(SEARCH(search!$B$6,samples!#REF!,1),0)</f>
        <v>0</v>
      </c>
      <c r="U177" t="e">
        <f>IF(samples!#REF!=0,"",samples!#REF!)</f>
        <v>#REF!</v>
      </c>
      <c r="V177">
        <f>IFERROR(SEARCH(search!$B$6,samples!#REF!,1),0)</f>
        <v>0</v>
      </c>
      <c r="W177" t="e">
        <f>IF(samples!#REF!=0,"",samples!#REF!)</f>
        <v>#REF!</v>
      </c>
      <c r="X177">
        <f>IFERROR(SEARCH(search!$B$6,samples!#REF!,1),0)</f>
        <v>0</v>
      </c>
      <c r="Y177" t="e">
        <f>IF(samples!#REF!=0,"",samples!#REF!)</f>
        <v>#REF!</v>
      </c>
      <c r="Z177">
        <f>IFERROR(SEARCH(search!$B$6,samples!#REF!,1),0)</f>
        <v>0</v>
      </c>
      <c r="AA177" t="e">
        <f>IF(samples!#REF!=0,"",samples!#REF!)</f>
        <v>#REF!</v>
      </c>
      <c r="AB177">
        <f>IFERROR(SEARCH(search!$B$6,samples!#REF!,1),0)</f>
        <v>0</v>
      </c>
      <c r="AC177" t="e">
        <f>IF(samples!#REF!=0,"",samples!#REF!)</f>
        <v>#REF!</v>
      </c>
      <c r="AD177">
        <f>IFERROR(SEARCH(search!$B$6,samples!#REF!,1),0)</f>
        <v>0</v>
      </c>
    </row>
    <row r="178" spans="1:30">
      <c r="A178">
        <f t="shared" si="2"/>
        <v>0</v>
      </c>
      <c r="B178">
        <f>IF(SUM(D178,F178,H178,J178,L178,N178,P178,R178,T178,V178,X178,Z178,AB178,AD178)&gt;0,SUM($A$2:A178),0)</f>
        <v>0</v>
      </c>
      <c r="C178" t="e">
        <f>samples!#REF!</f>
        <v>#REF!</v>
      </c>
      <c r="D178">
        <f>IFERROR(SEARCH(search!$B$6,samples!#REF!,1),0)</f>
        <v>0</v>
      </c>
      <c r="E178" t="e">
        <f>IF(samples!#REF!=0,"",samples!#REF!)</f>
        <v>#REF!</v>
      </c>
      <c r="F178">
        <f>IFERROR(SEARCH(search!$B$6,samples!#REF!,1),0)</f>
        <v>0</v>
      </c>
      <c r="G178" t="e">
        <f>IF(samples!#REF!=0,"",samples!#REF!)</f>
        <v>#REF!</v>
      </c>
      <c r="H178">
        <f>IFERROR(SEARCH(search!$B$6,samples!#REF!,1),0)</f>
        <v>0</v>
      </c>
      <c r="I178" t="e">
        <f>IF(samples!#REF!=0,"",samples!#REF!)</f>
        <v>#REF!</v>
      </c>
      <c r="J178">
        <f>IFERROR(SEARCH(search!$B$6,samples!#REF!,1),0)</f>
        <v>0</v>
      </c>
      <c r="K178" t="e">
        <f>IF(samples!#REF!=0,"",samples!#REF!)</f>
        <v>#REF!</v>
      </c>
      <c r="L178">
        <f>IFERROR(SEARCH(search!$B$6,samples!#REF!,1),0)</f>
        <v>0</v>
      </c>
      <c r="M178" t="e">
        <f>IF(samples!#REF!=0,"",samples!#REF!)</f>
        <v>#REF!</v>
      </c>
      <c r="N178">
        <f>IFERROR(SEARCH(search!$B$6,samples!#REF!,1),0)</f>
        <v>0</v>
      </c>
      <c r="O178" t="e">
        <f>IF(samples!#REF!=0,"",samples!#REF!)</f>
        <v>#REF!</v>
      </c>
      <c r="P178">
        <f>IFERROR(SEARCH(search!$B$6,samples!#REF!,1),0)</f>
        <v>0</v>
      </c>
      <c r="Q178" t="e">
        <f>IF(samples!#REF!=0,"",samples!#REF!)</f>
        <v>#REF!</v>
      </c>
      <c r="R178">
        <f>IFERROR(SEARCH(search!$B$6,samples!#REF!,1),0)</f>
        <v>0</v>
      </c>
      <c r="S178" t="e">
        <f>IF(samples!#REF!=0,"",samples!#REF!)</f>
        <v>#REF!</v>
      </c>
      <c r="T178">
        <f>IFERROR(SEARCH(search!$B$6,samples!#REF!,1),0)</f>
        <v>0</v>
      </c>
      <c r="U178" t="e">
        <f>IF(samples!#REF!=0,"",samples!#REF!)</f>
        <v>#REF!</v>
      </c>
      <c r="V178">
        <f>IFERROR(SEARCH(search!$B$6,samples!#REF!,1),0)</f>
        <v>0</v>
      </c>
      <c r="W178" t="e">
        <f>IF(samples!#REF!=0,"",samples!#REF!)</f>
        <v>#REF!</v>
      </c>
      <c r="X178">
        <f>IFERROR(SEARCH(search!$B$6,samples!#REF!,1),0)</f>
        <v>0</v>
      </c>
      <c r="Y178" t="e">
        <f>IF(samples!#REF!=0,"",samples!#REF!)</f>
        <v>#REF!</v>
      </c>
      <c r="Z178">
        <f>IFERROR(SEARCH(search!$B$6,samples!#REF!,1),0)</f>
        <v>0</v>
      </c>
      <c r="AA178" t="e">
        <f>IF(samples!#REF!=0,"",samples!#REF!)</f>
        <v>#REF!</v>
      </c>
      <c r="AB178">
        <f>IFERROR(SEARCH(search!$B$6,samples!#REF!,1),0)</f>
        <v>0</v>
      </c>
      <c r="AC178" t="e">
        <f>IF(samples!#REF!=0,"",samples!#REF!)</f>
        <v>#REF!</v>
      </c>
      <c r="AD178">
        <f>IFERROR(SEARCH(search!$B$6,samples!#REF!,1),0)</f>
        <v>0</v>
      </c>
    </row>
    <row r="179" spans="1:30">
      <c r="A179">
        <f t="shared" si="2"/>
        <v>0</v>
      </c>
      <c r="B179">
        <f>IF(SUM(D179,F179,H179,J179,L179,N179,P179,R179,T179,V179,X179,Z179,AB179,AD179)&gt;0,SUM($A$2:A179),0)</f>
        <v>0</v>
      </c>
      <c r="C179" t="e">
        <f>samples!#REF!</f>
        <v>#REF!</v>
      </c>
      <c r="D179">
        <f>IFERROR(SEARCH(search!$B$6,samples!#REF!,1),0)</f>
        <v>0</v>
      </c>
      <c r="E179" t="e">
        <f>IF(samples!#REF!=0,"",samples!#REF!)</f>
        <v>#REF!</v>
      </c>
      <c r="F179">
        <f>IFERROR(SEARCH(search!$B$6,samples!#REF!,1),0)</f>
        <v>0</v>
      </c>
      <c r="G179" t="e">
        <f>IF(samples!#REF!=0,"",samples!#REF!)</f>
        <v>#REF!</v>
      </c>
      <c r="H179">
        <f>IFERROR(SEARCH(search!$B$6,samples!#REF!,1),0)</f>
        <v>0</v>
      </c>
      <c r="I179" t="e">
        <f>IF(samples!#REF!=0,"",samples!#REF!)</f>
        <v>#REF!</v>
      </c>
      <c r="J179">
        <f>IFERROR(SEARCH(search!$B$6,samples!#REF!,1),0)</f>
        <v>0</v>
      </c>
      <c r="K179" t="e">
        <f>IF(samples!#REF!=0,"",samples!#REF!)</f>
        <v>#REF!</v>
      </c>
      <c r="L179">
        <f>IFERROR(SEARCH(search!$B$6,samples!#REF!,1),0)</f>
        <v>0</v>
      </c>
      <c r="M179" t="e">
        <f>IF(samples!#REF!=0,"",samples!#REF!)</f>
        <v>#REF!</v>
      </c>
      <c r="N179">
        <f>IFERROR(SEARCH(search!$B$6,samples!#REF!,1),0)</f>
        <v>0</v>
      </c>
      <c r="O179" t="e">
        <f>IF(samples!#REF!=0,"",samples!#REF!)</f>
        <v>#REF!</v>
      </c>
      <c r="P179">
        <f>IFERROR(SEARCH(search!$B$6,samples!#REF!,1),0)</f>
        <v>0</v>
      </c>
      <c r="Q179" t="e">
        <f>IF(samples!#REF!=0,"",samples!#REF!)</f>
        <v>#REF!</v>
      </c>
      <c r="R179">
        <f>IFERROR(SEARCH(search!$B$6,samples!#REF!,1),0)</f>
        <v>0</v>
      </c>
      <c r="S179" t="e">
        <f>IF(samples!#REF!=0,"",samples!#REF!)</f>
        <v>#REF!</v>
      </c>
      <c r="T179">
        <f>IFERROR(SEARCH(search!$B$6,samples!#REF!,1),0)</f>
        <v>0</v>
      </c>
      <c r="U179" t="e">
        <f>IF(samples!#REF!=0,"",samples!#REF!)</f>
        <v>#REF!</v>
      </c>
      <c r="V179">
        <f>IFERROR(SEARCH(search!$B$6,samples!#REF!,1),0)</f>
        <v>0</v>
      </c>
      <c r="W179" t="e">
        <f>IF(samples!#REF!=0,"",samples!#REF!)</f>
        <v>#REF!</v>
      </c>
      <c r="X179">
        <f>IFERROR(SEARCH(search!$B$6,samples!#REF!,1),0)</f>
        <v>0</v>
      </c>
      <c r="Y179" t="e">
        <f>IF(samples!#REF!=0,"",samples!#REF!)</f>
        <v>#REF!</v>
      </c>
      <c r="Z179">
        <f>IFERROR(SEARCH(search!$B$6,samples!#REF!,1),0)</f>
        <v>0</v>
      </c>
      <c r="AA179" t="e">
        <f>IF(samples!#REF!=0,"",samples!#REF!)</f>
        <v>#REF!</v>
      </c>
      <c r="AB179">
        <f>IFERROR(SEARCH(search!$B$6,samples!#REF!,1),0)</f>
        <v>0</v>
      </c>
      <c r="AC179" t="e">
        <f>IF(samples!#REF!=0,"",samples!#REF!)</f>
        <v>#REF!</v>
      </c>
      <c r="AD179">
        <f>IFERROR(SEARCH(search!$B$6,samples!#REF!,1),0)</f>
        <v>0</v>
      </c>
    </row>
    <row r="180" spans="1:30">
      <c r="A180">
        <f t="shared" si="2"/>
        <v>0</v>
      </c>
      <c r="B180">
        <f>IF(SUM(D180,F180,H180,J180,L180,N180,P180,R180,T180,V180,X180,Z180,AB180,AD180)&gt;0,SUM($A$2:A180),0)</f>
        <v>0</v>
      </c>
      <c r="C180" t="e">
        <f>samples!#REF!</f>
        <v>#REF!</v>
      </c>
      <c r="D180">
        <f>IFERROR(SEARCH(search!$B$6,samples!#REF!,1),0)</f>
        <v>0</v>
      </c>
      <c r="E180" t="e">
        <f>IF(samples!#REF!=0,"",samples!#REF!)</f>
        <v>#REF!</v>
      </c>
      <c r="F180">
        <f>IFERROR(SEARCH(search!$B$6,samples!#REF!,1),0)</f>
        <v>0</v>
      </c>
      <c r="G180" t="e">
        <f>IF(samples!#REF!=0,"",samples!#REF!)</f>
        <v>#REF!</v>
      </c>
      <c r="H180">
        <f>IFERROR(SEARCH(search!$B$6,samples!#REF!,1),0)</f>
        <v>0</v>
      </c>
      <c r="I180" t="e">
        <f>IF(samples!#REF!=0,"",samples!#REF!)</f>
        <v>#REF!</v>
      </c>
      <c r="J180">
        <f>IFERROR(SEARCH(search!$B$6,samples!#REF!,1),0)</f>
        <v>0</v>
      </c>
      <c r="K180" t="e">
        <f>IF(samples!#REF!=0,"",samples!#REF!)</f>
        <v>#REF!</v>
      </c>
      <c r="L180">
        <f>IFERROR(SEARCH(search!$B$6,samples!#REF!,1),0)</f>
        <v>0</v>
      </c>
      <c r="M180" t="e">
        <f>IF(samples!#REF!=0,"",samples!#REF!)</f>
        <v>#REF!</v>
      </c>
      <c r="N180">
        <f>IFERROR(SEARCH(search!$B$6,samples!#REF!,1),0)</f>
        <v>0</v>
      </c>
      <c r="O180" t="e">
        <f>IF(samples!#REF!=0,"",samples!#REF!)</f>
        <v>#REF!</v>
      </c>
      <c r="P180">
        <f>IFERROR(SEARCH(search!$B$6,samples!#REF!,1),0)</f>
        <v>0</v>
      </c>
      <c r="Q180" t="e">
        <f>IF(samples!#REF!=0,"",samples!#REF!)</f>
        <v>#REF!</v>
      </c>
      <c r="R180">
        <f>IFERROR(SEARCH(search!$B$6,samples!#REF!,1),0)</f>
        <v>0</v>
      </c>
      <c r="S180" t="e">
        <f>IF(samples!#REF!=0,"",samples!#REF!)</f>
        <v>#REF!</v>
      </c>
      <c r="T180">
        <f>IFERROR(SEARCH(search!$B$6,samples!#REF!,1),0)</f>
        <v>0</v>
      </c>
      <c r="U180" t="e">
        <f>IF(samples!#REF!=0,"",samples!#REF!)</f>
        <v>#REF!</v>
      </c>
      <c r="V180">
        <f>IFERROR(SEARCH(search!$B$6,samples!#REF!,1),0)</f>
        <v>0</v>
      </c>
      <c r="W180" t="e">
        <f>IF(samples!#REF!=0,"",samples!#REF!)</f>
        <v>#REF!</v>
      </c>
      <c r="X180">
        <f>IFERROR(SEARCH(search!$B$6,samples!#REF!,1),0)</f>
        <v>0</v>
      </c>
      <c r="Y180" t="e">
        <f>IF(samples!#REF!=0,"",samples!#REF!)</f>
        <v>#REF!</v>
      </c>
      <c r="Z180">
        <f>IFERROR(SEARCH(search!$B$6,samples!#REF!,1),0)</f>
        <v>0</v>
      </c>
      <c r="AA180" t="e">
        <f>IF(samples!#REF!=0,"",samples!#REF!)</f>
        <v>#REF!</v>
      </c>
      <c r="AB180">
        <f>IFERROR(SEARCH(search!$B$6,samples!#REF!,1),0)</f>
        <v>0</v>
      </c>
      <c r="AC180" t="e">
        <f>IF(samples!#REF!=0,"",samples!#REF!)</f>
        <v>#REF!</v>
      </c>
      <c r="AD180">
        <f>IFERROR(SEARCH(search!$B$6,samples!#REF!,1),0)</f>
        <v>0</v>
      </c>
    </row>
    <row r="181" spans="1:30">
      <c r="A181">
        <f t="shared" si="2"/>
        <v>0</v>
      </c>
      <c r="B181">
        <f>IF(SUM(D181,F181,H181,J181,L181,N181,P181,R181,T181,V181,X181,Z181,AB181,AD181)&gt;0,SUM($A$2:A181),0)</f>
        <v>0</v>
      </c>
      <c r="C181" t="e">
        <f>samples!#REF!</f>
        <v>#REF!</v>
      </c>
      <c r="D181">
        <f>IFERROR(SEARCH(search!$B$6,samples!#REF!,1),0)</f>
        <v>0</v>
      </c>
      <c r="E181" t="e">
        <f>IF(samples!#REF!=0,"",samples!#REF!)</f>
        <v>#REF!</v>
      </c>
      <c r="F181">
        <f>IFERROR(SEARCH(search!$B$6,samples!#REF!,1),0)</f>
        <v>0</v>
      </c>
      <c r="G181" t="e">
        <f>IF(samples!#REF!=0,"",samples!#REF!)</f>
        <v>#REF!</v>
      </c>
      <c r="H181">
        <f>IFERROR(SEARCH(search!$B$6,samples!#REF!,1),0)</f>
        <v>0</v>
      </c>
      <c r="I181" t="e">
        <f>IF(samples!#REF!=0,"",samples!#REF!)</f>
        <v>#REF!</v>
      </c>
      <c r="J181">
        <f>IFERROR(SEARCH(search!$B$6,samples!#REF!,1),0)</f>
        <v>0</v>
      </c>
      <c r="K181" t="e">
        <f>IF(samples!#REF!=0,"",samples!#REF!)</f>
        <v>#REF!</v>
      </c>
      <c r="L181">
        <f>IFERROR(SEARCH(search!$B$6,samples!#REF!,1),0)</f>
        <v>0</v>
      </c>
      <c r="M181" t="e">
        <f>IF(samples!#REF!=0,"",samples!#REF!)</f>
        <v>#REF!</v>
      </c>
      <c r="N181">
        <f>IFERROR(SEARCH(search!$B$6,samples!#REF!,1),0)</f>
        <v>0</v>
      </c>
      <c r="O181" t="e">
        <f>IF(samples!#REF!=0,"",samples!#REF!)</f>
        <v>#REF!</v>
      </c>
      <c r="P181">
        <f>IFERROR(SEARCH(search!$B$6,samples!#REF!,1),0)</f>
        <v>0</v>
      </c>
      <c r="Q181" t="e">
        <f>IF(samples!#REF!=0,"",samples!#REF!)</f>
        <v>#REF!</v>
      </c>
      <c r="R181">
        <f>IFERROR(SEARCH(search!$B$6,samples!#REF!,1),0)</f>
        <v>0</v>
      </c>
      <c r="S181" t="e">
        <f>IF(samples!#REF!=0,"",samples!#REF!)</f>
        <v>#REF!</v>
      </c>
      <c r="T181">
        <f>IFERROR(SEARCH(search!$B$6,samples!#REF!,1),0)</f>
        <v>0</v>
      </c>
      <c r="U181" t="e">
        <f>IF(samples!#REF!=0,"",samples!#REF!)</f>
        <v>#REF!</v>
      </c>
      <c r="V181">
        <f>IFERROR(SEARCH(search!$B$6,samples!#REF!,1),0)</f>
        <v>0</v>
      </c>
      <c r="W181" t="e">
        <f>IF(samples!#REF!=0,"",samples!#REF!)</f>
        <v>#REF!</v>
      </c>
      <c r="X181">
        <f>IFERROR(SEARCH(search!$B$6,samples!#REF!,1),0)</f>
        <v>0</v>
      </c>
      <c r="Y181" t="e">
        <f>IF(samples!#REF!=0,"",samples!#REF!)</f>
        <v>#REF!</v>
      </c>
      <c r="Z181">
        <f>IFERROR(SEARCH(search!$B$6,samples!#REF!,1),0)</f>
        <v>0</v>
      </c>
      <c r="AA181" t="e">
        <f>IF(samples!#REF!=0,"",samples!#REF!)</f>
        <v>#REF!</v>
      </c>
      <c r="AB181">
        <f>IFERROR(SEARCH(search!$B$6,samples!#REF!,1),0)</f>
        <v>0</v>
      </c>
      <c r="AC181" t="e">
        <f>IF(samples!#REF!=0,"",samples!#REF!)</f>
        <v>#REF!</v>
      </c>
      <c r="AD181">
        <f>IFERROR(SEARCH(search!$B$6,samples!#REF!,1),0)</f>
        <v>0</v>
      </c>
    </row>
    <row r="182" spans="1:30">
      <c r="A182">
        <f t="shared" si="2"/>
        <v>0</v>
      </c>
      <c r="B182">
        <f>IF(SUM(D182,F182,H182,J182,L182,N182,P182,R182,T182,V182,X182,Z182,AB182,AD182)&gt;0,SUM($A$2:A182),0)</f>
        <v>0</v>
      </c>
      <c r="C182" t="e">
        <f>samples!#REF!</f>
        <v>#REF!</v>
      </c>
      <c r="D182">
        <f>IFERROR(SEARCH(search!$B$6,samples!#REF!,1),0)</f>
        <v>0</v>
      </c>
      <c r="E182" t="e">
        <f>IF(samples!#REF!=0,"",samples!#REF!)</f>
        <v>#REF!</v>
      </c>
      <c r="F182">
        <f>IFERROR(SEARCH(search!$B$6,samples!#REF!,1),0)</f>
        <v>0</v>
      </c>
      <c r="G182" t="e">
        <f>IF(samples!#REF!=0,"",samples!#REF!)</f>
        <v>#REF!</v>
      </c>
      <c r="H182">
        <f>IFERROR(SEARCH(search!$B$6,samples!#REF!,1),0)</f>
        <v>0</v>
      </c>
      <c r="I182" t="e">
        <f>IF(samples!#REF!=0,"",samples!#REF!)</f>
        <v>#REF!</v>
      </c>
      <c r="J182">
        <f>IFERROR(SEARCH(search!$B$6,samples!#REF!,1),0)</f>
        <v>0</v>
      </c>
      <c r="K182" t="e">
        <f>IF(samples!#REF!=0,"",samples!#REF!)</f>
        <v>#REF!</v>
      </c>
      <c r="L182">
        <f>IFERROR(SEARCH(search!$B$6,samples!#REF!,1),0)</f>
        <v>0</v>
      </c>
      <c r="M182" t="e">
        <f>IF(samples!#REF!=0,"",samples!#REF!)</f>
        <v>#REF!</v>
      </c>
      <c r="N182">
        <f>IFERROR(SEARCH(search!$B$6,samples!#REF!,1),0)</f>
        <v>0</v>
      </c>
      <c r="O182" t="e">
        <f>IF(samples!#REF!=0,"",samples!#REF!)</f>
        <v>#REF!</v>
      </c>
      <c r="P182">
        <f>IFERROR(SEARCH(search!$B$6,samples!#REF!,1),0)</f>
        <v>0</v>
      </c>
      <c r="Q182" t="e">
        <f>IF(samples!#REF!=0,"",samples!#REF!)</f>
        <v>#REF!</v>
      </c>
      <c r="R182">
        <f>IFERROR(SEARCH(search!$B$6,samples!#REF!,1),0)</f>
        <v>0</v>
      </c>
      <c r="S182" t="e">
        <f>IF(samples!#REF!=0,"",samples!#REF!)</f>
        <v>#REF!</v>
      </c>
      <c r="T182">
        <f>IFERROR(SEARCH(search!$B$6,samples!#REF!,1),0)</f>
        <v>0</v>
      </c>
      <c r="U182" t="e">
        <f>IF(samples!#REF!=0,"",samples!#REF!)</f>
        <v>#REF!</v>
      </c>
      <c r="V182">
        <f>IFERROR(SEARCH(search!$B$6,samples!#REF!,1),0)</f>
        <v>0</v>
      </c>
      <c r="W182" t="e">
        <f>IF(samples!#REF!=0,"",samples!#REF!)</f>
        <v>#REF!</v>
      </c>
      <c r="X182">
        <f>IFERROR(SEARCH(search!$B$6,samples!#REF!,1),0)</f>
        <v>0</v>
      </c>
      <c r="Y182" t="e">
        <f>IF(samples!#REF!=0,"",samples!#REF!)</f>
        <v>#REF!</v>
      </c>
      <c r="Z182">
        <f>IFERROR(SEARCH(search!$B$6,samples!#REF!,1),0)</f>
        <v>0</v>
      </c>
      <c r="AA182" t="e">
        <f>IF(samples!#REF!=0,"",samples!#REF!)</f>
        <v>#REF!</v>
      </c>
      <c r="AB182">
        <f>IFERROR(SEARCH(search!$B$6,samples!#REF!,1),0)</f>
        <v>0</v>
      </c>
      <c r="AC182" t="e">
        <f>IF(samples!#REF!=0,"",samples!#REF!)</f>
        <v>#REF!</v>
      </c>
      <c r="AD182">
        <f>IFERROR(SEARCH(search!$B$6,samples!#REF!,1),0)</f>
        <v>0</v>
      </c>
    </row>
    <row r="183" spans="1:30">
      <c r="A183">
        <f t="shared" si="2"/>
        <v>0</v>
      </c>
      <c r="B183">
        <f>IF(SUM(D183,F183,H183,J183,L183,N183,P183,R183,T183,V183,X183,Z183,AB183,AD183)&gt;0,SUM($A$2:A183),0)</f>
        <v>0</v>
      </c>
      <c r="C183" t="e">
        <f>samples!#REF!</f>
        <v>#REF!</v>
      </c>
      <c r="D183">
        <f>IFERROR(SEARCH(search!$B$6,samples!#REF!,1),0)</f>
        <v>0</v>
      </c>
      <c r="E183" t="e">
        <f>IF(samples!#REF!=0,"",samples!#REF!)</f>
        <v>#REF!</v>
      </c>
      <c r="F183">
        <f>IFERROR(SEARCH(search!$B$6,samples!#REF!,1),0)</f>
        <v>0</v>
      </c>
      <c r="G183" t="e">
        <f>IF(samples!#REF!=0,"",samples!#REF!)</f>
        <v>#REF!</v>
      </c>
      <c r="H183">
        <f>IFERROR(SEARCH(search!$B$6,samples!#REF!,1),0)</f>
        <v>0</v>
      </c>
      <c r="I183" t="e">
        <f>IF(samples!#REF!=0,"",samples!#REF!)</f>
        <v>#REF!</v>
      </c>
      <c r="J183">
        <f>IFERROR(SEARCH(search!$B$6,samples!#REF!,1),0)</f>
        <v>0</v>
      </c>
      <c r="K183" t="e">
        <f>IF(samples!#REF!=0,"",samples!#REF!)</f>
        <v>#REF!</v>
      </c>
      <c r="L183">
        <f>IFERROR(SEARCH(search!$B$6,samples!#REF!,1),0)</f>
        <v>0</v>
      </c>
      <c r="M183" t="e">
        <f>IF(samples!#REF!=0,"",samples!#REF!)</f>
        <v>#REF!</v>
      </c>
      <c r="N183">
        <f>IFERROR(SEARCH(search!$B$6,samples!#REF!,1),0)</f>
        <v>0</v>
      </c>
      <c r="O183" t="e">
        <f>IF(samples!#REF!=0,"",samples!#REF!)</f>
        <v>#REF!</v>
      </c>
      <c r="P183">
        <f>IFERROR(SEARCH(search!$B$6,samples!#REF!,1),0)</f>
        <v>0</v>
      </c>
      <c r="Q183" t="e">
        <f>IF(samples!#REF!=0,"",samples!#REF!)</f>
        <v>#REF!</v>
      </c>
      <c r="R183">
        <f>IFERROR(SEARCH(search!$B$6,samples!#REF!,1),0)</f>
        <v>0</v>
      </c>
      <c r="S183" t="e">
        <f>IF(samples!#REF!=0,"",samples!#REF!)</f>
        <v>#REF!</v>
      </c>
      <c r="T183">
        <f>IFERROR(SEARCH(search!$B$6,samples!#REF!,1),0)</f>
        <v>0</v>
      </c>
      <c r="U183" t="e">
        <f>IF(samples!#REF!=0,"",samples!#REF!)</f>
        <v>#REF!</v>
      </c>
      <c r="V183">
        <f>IFERROR(SEARCH(search!$B$6,samples!#REF!,1),0)</f>
        <v>0</v>
      </c>
      <c r="W183" t="e">
        <f>IF(samples!#REF!=0,"",samples!#REF!)</f>
        <v>#REF!</v>
      </c>
      <c r="X183">
        <f>IFERROR(SEARCH(search!$B$6,samples!#REF!,1),0)</f>
        <v>0</v>
      </c>
      <c r="Y183" t="e">
        <f>IF(samples!#REF!=0,"",samples!#REF!)</f>
        <v>#REF!</v>
      </c>
      <c r="Z183">
        <f>IFERROR(SEARCH(search!$B$6,samples!#REF!,1),0)</f>
        <v>0</v>
      </c>
      <c r="AA183" t="e">
        <f>IF(samples!#REF!=0,"",samples!#REF!)</f>
        <v>#REF!</v>
      </c>
      <c r="AB183">
        <f>IFERROR(SEARCH(search!$B$6,samples!#REF!,1),0)</f>
        <v>0</v>
      </c>
      <c r="AC183" t="e">
        <f>IF(samples!#REF!=0,"",samples!#REF!)</f>
        <v>#REF!</v>
      </c>
      <c r="AD183">
        <f>IFERROR(SEARCH(search!$B$6,samples!#REF!,1),0)</f>
        <v>0</v>
      </c>
    </row>
    <row r="184" spans="1:30">
      <c r="A184">
        <f t="shared" si="2"/>
        <v>0</v>
      </c>
      <c r="B184">
        <f>IF(SUM(D184,F184,H184,J184,L184,N184,P184,R184,T184,V184,X184,Z184,AB184,AD184)&gt;0,SUM($A$2:A184),0)</f>
        <v>0</v>
      </c>
      <c r="C184" t="e">
        <f>samples!#REF!</f>
        <v>#REF!</v>
      </c>
      <c r="D184">
        <f>IFERROR(SEARCH(search!$B$6,samples!#REF!,1),0)</f>
        <v>0</v>
      </c>
      <c r="E184" t="e">
        <f>IF(samples!#REF!=0,"",samples!#REF!)</f>
        <v>#REF!</v>
      </c>
      <c r="F184">
        <f>IFERROR(SEARCH(search!$B$6,samples!#REF!,1),0)</f>
        <v>0</v>
      </c>
      <c r="G184" t="e">
        <f>IF(samples!#REF!=0,"",samples!#REF!)</f>
        <v>#REF!</v>
      </c>
      <c r="H184">
        <f>IFERROR(SEARCH(search!$B$6,samples!#REF!,1),0)</f>
        <v>0</v>
      </c>
      <c r="I184" t="e">
        <f>IF(samples!#REF!=0,"",samples!#REF!)</f>
        <v>#REF!</v>
      </c>
      <c r="J184">
        <f>IFERROR(SEARCH(search!$B$6,samples!#REF!,1),0)</f>
        <v>0</v>
      </c>
      <c r="K184" t="e">
        <f>IF(samples!#REF!=0,"",samples!#REF!)</f>
        <v>#REF!</v>
      </c>
      <c r="L184">
        <f>IFERROR(SEARCH(search!$B$6,samples!#REF!,1),0)</f>
        <v>0</v>
      </c>
      <c r="M184" t="e">
        <f>IF(samples!#REF!=0,"",samples!#REF!)</f>
        <v>#REF!</v>
      </c>
      <c r="N184">
        <f>IFERROR(SEARCH(search!$B$6,samples!#REF!,1),0)</f>
        <v>0</v>
      </c>
      <c r="O184" t="e">
        <f>IF(samples!#REF!=0,"",samples!#REF!)</f>
        <v>#REF!</v>
      </c>
      <c r="P184">
        <f>IFERROR(SEARCH(search!$B$6,samples!#REF!,1),0)</f>
        <v>0</v>
      </c>
      <c r="Q184" t="e">
        <f>IF(samples!#REF!=0,"",samples!#REF!)</f>
        <v>#REF!</v>
      </c>
      <c r="R184">
        <f>IFERROR(SEARCH(search!$B$6,samples!#REF!,1),0)</f>
        <v>0</v>
      </c>
      <c r="S184" t="e">
        <f>IF(samples!#REF!=0,"",samples!#REF!)</f>
        <v>#REF!</v>
      </c>
      <c r="T184">
        <f>IFERROR(SEARCH(search!$B$6,samples!#REF!,1),0)</f>
        <v>0</v>
      </c>
      <c r="U184" t="e">
        <f>IF(samples!#REF!=0,"",samples!#REF!)</f>
        <v>#REF!</v>
      </c>
      <c r="V184">
        <f>IFERROR(SEARCH(search!$B$6,samples!#REF!,1),0)</f>
        <v>0</v>
      </c>
      <c r="W184" t="e">
        <f>IF(samples!#REF!=0,"",samples!#REF!)</f>
        <v>#REF!</v>
      </c>
      <c r="X184">
        <f>IFERROR(SEARCH(search!$B$6,samples!#REF!,1),0)</f>
        <v>0</v>
      </c>
      <c r="Y184" t="e">
        <f>IF(samples!#REF!=0,"",samples!#REF!)</f>
        <v>#REF!</v>
      </c>
      <c r="Z184">
        <f>IFERROR(SEARCH(search!$B$6,samples!#REF!,1),0)</f>
        <v>0</v>
      </c>
      <c r="AA184" t="e">
        <f>IF(samples!#REF!=0,"",samples!#REF!)</f>
        <v>#REF!</v>
      </c>
      <c r="AB184">
        <f>IFERROR(SEARCH(search!$B$6,samples!#REF!,1),0)</f>
        <v>0</v>
      </c>
      <c r="AC184" t="e">
        <f>IF(samples!#REF!=0,"",samples!#REF!)</f>
        <v>#REF!</v>
      </c>
      <c r="AD184">
        <f>IFERROR(SEARCH(search!$B$6,samples!#REF!,1),0)</f>
        <v>0</v>
      </c>
    </row>
    <row r="185" spans="1:30">
      <c r="A185">
        <f t="shared" si="2"/>
        <v>0</v>
      </c>
      <c r="B185">
        <f>IF(SUM(D185,F185,H185,J185,L185,N185,P185,R185,T185,V185,X185,Z185,AB185,AD185)&gt;0,SUM($A$2:A185),0)</f>
        <v>0</v>
      </c>
      <c r="C185" t="e">
        <f>samples!#REF!</f>
        <v>#REF!</v>
      </c>
      <c r="D185">
        <f>IFERROR(SEARCH(search!$B$6,samples!#REF!,1),0)</f>
        <v>0</v>
      </c>
      <c r="E185" t="e">
        <f>IF(samples!#REF!=0,"",samples!#REF!)</f>
        <v>#REF!</v>
      </c>
      <c r="F185">
        <f>IFERROR(SEARCH(search!$B$6,samples!#REF!,1),0)</f>
        <v>0</v>
      </c>
      <c r="G185" t="e">
        <f>IF(samples!#REF!=0,"",samples!#REF!)</f>
        <v>#REF!</v>
      </c>
      <c r="H185">
        <f>IFERROR(SEARCH(search!$B$6,samples!#REF!,1),0)</f>
        <v>0</v>
      </c>
      <c r="I185" t="e">
        <f>IF(samples!#REF!=0,"",samples!#REF!)</f>
        <v>#REF!</v>
      </c>
      <c r="J185">
        <f>IFERROR(SEARCH(search!$B$6,samples!#REF!,1),0)</f>
        <v>0</v>
      </c>
      <c r="K185" t="e">
        <f>IF(samples!#REF!=0,"",samples!#REF!)</f>
        <v>#REF!</v>
      </c>
      <c r="L185">
        <f>IFERROR(SEARCH(search!$B$6,samples!#REF!,1),0)</f>
        <v>0</v>
      </c>
      <c r="M185" t="e">
        <f>IF(samples!#REF!=0,"",samples!#REF!)</f>
        <v>#REF!</v>
      </c>
      <c r="N185">
        <f>IFERROR(SEARCH(search!$B$6,samples!#REF!,1),0)</f>
        <v>0</v>
      </c>
      <c r="O185" t="e">
        <f>IF(samples!#REF!=0,"",samples!#REF!)</f>
        <v>#REF!</v>
      </c>
      <c r="P185">
        <f>IFERROR(SEARCH(search!$B$6,samples!#REF!,1),0)</f>
        <v>0</v>
      </c>
      <c r="Q185" t="e">
        <f>IF(samples!#REF!=0,"",samples!#REF!)</f>
        <v>#REF!</v>
      </c>
      <c r="R185">
        <f>IFERROR(SEARCH(search!$B$6,samples!#REF!,1),0)</f>
        <v>0</v>
      </c>
      <c r="S185" t="e">
        <f>IF(samples!#REF!=0,"",samples!#REF!)</f>
        <v>#REF!</v>
      </c>
      <c r="T185">
        <f>IFERROR(SEARCH(search!$B$6,samples!#REF!,1),0)</f>
        <v>0</v>
      </c>
      <c r="U185" t="e">
        <f>IF(samples!#REF!=0,"",samples!#REF!)</f>
        <v>#REF!</v>
      </c>
      <c r="V185">
        <f>IFERROR(SEARCH(search!$B$6,samples!#REF!,1),0)</f>
        <v>0</v>
      </c>
      <c r="W185" t="e">
        <f>IF(samples!#REF!=0,"",samples!#REF!)</f>
        <v>#REF!</v>
      </c>
      <c r="X185">
        <f>IFERROR(SEARCH(search!$B$6,samples!#REF!,1),0)</f>
        <v>0</v>
      </c>
      <c r="Y185" t="e">
        <f>IF(samples!#REF!=0,"",samples!#REF!)</f>
        <v>#REF!</v>
      </c>
      <c r="Z185">
        <f>IFERROR(SEARCH(search!$B$6,samples!#REF!,1),0)</f>
        <v>0</v>
      </c>
      <c r="AA185" t="e">
        <f>IF(samples!#REF!=0,"",samples!#REF!)</f>
        <v>#REF!</v>
      </c>
      <c r="AB185">
        <f>IFERROR(SEARCH(search!$B$6,samples!#REF!,1),0)</f>
        <v>0</v>
      </c>
      <c r="AC185" t="e">
        <f>IF(samples!#REF!=0,"",samples!#REF!)</f>
        <v>#REF!</v>
      </c>
      <c r="AD185">
        <f>IFERROR(SEARCH(search!$B$6,samples!#REF!,1),0)</f>
        <v>0</v>
      </c>
    </row>
    <row r="186" spans="1:30">
      <c r="A186">
        <f t="shared" si="2"/>
        <v>0</v>
      </c>
      <c r="B186">
        <f>IF(SUM(D186,F186,H186,J186,L186,N186,P186,R186,T186,V186,X186,Z186,AB186,AD186)&gt;0,SUM($A$2:A186),0)</f>
        <v>0</v>
      </c>
      <c r="C186" t="e">
        <f>samples!#REF!</f>
        <v>#REF!</v>
      </c>
      <c r="D186">
        <f>IFERROR(SEARCH(search!$B$6,samples!#REF!,1),0)</f>
        <v>0</v>
      </c>
      <c r="E186" t="e">
        <f>IF(samples!#REF!=0,"",samples!#REF!)</f>
        <v>#REF!</v>
      </c>
      <c r="F186">
        <f>IFERROR(SEARCH(search!$B$6,samples!#REF!,1),0)</f>
        <v>0</v>
      </c>
      <c r="G186" t="e">
        <f>IF(samples!#REF!=0,"",samples!#REF!)</f>
        <v>#REF!</v>
      </c>
      <c r="H186">
        <f>IFERROR(SEARCH(search!$B$6,samples!#REF!,1),0)</f>
        <v>0</v>
      </c>
      <c r="I186" t="e">
        <f>IF(samples!#REF!=0,"",samples!#REF!)</f>
        <v>#REF!</v>
      </c>
      <c r="J186">
        <f>IFERROR(SEARCH(search!$B$6,samples!#REF!,1),0)</f>
        <v>0</v>
      </c>
      <c r="K186" t="e">
        <f>IF(samples!#REF!=0,"",samples!#REF!)</f>
        <v>#REF!</v>
      </c>
      <c r="L186">
        <f>IFERROR(SEARCH(search!$B$6,samples!#REF!,1),0)</f>
        <v>0</v>
      </c>
      <c r="M186" t="e">
        <f>IF(samples!#REF!=0,"",samples!#REF!)</f>
        <v>#REF!</v>
      </c>
      <c r="N186">
        <f>IFERROR(SEARCH(search!$B$6,samples!#REF!,1),0)</f>
        <v>0</v>
      </c>
      <c r="O186" t="e">
        <f>IF(samples!#REF!=0,"",samples!#REF!)</f>
        <v>#REF!</v>
      </c>
      <c r="P186">
        <f>IFERROR(SEARCH(search!$B$6,samples!#REF!,1),0)</f>
        <v>0</v>
      </c>
      <c r="Q186" t="e">
        <f>IF(samples!#REF!=0,"",samples!#REF!)</f>
        <v>#REF!</v>
      </c>
      <c r="R186">
        <f>IFERROR(SEARCH(search!$B$6,samples!#REF!,1),0)</f>
        <v>0</v>
      </c>
      <c r="S186" t="e">
        <f>IF(samples!#REF!=0,"",samples!#REF!)</f>
        <v>#REF!</v>
      </c>
      <c r="T186">
        <f>IFERROR(SEARCH(search!$B$6,samples!#REF!,1),0)</f>
        <v>0</v>
      </c>
      <c r="U186" t="e">
        <f>IF(samples!#REF!=0,"",samples!#REF!)</f>
        <v>#REF!</v>
      </c>
      <c r="V186">
        <f>IFERROR(SEARCH(search!$B$6,samples!#REF!,1),0)</f>
        <v>0</v>
      </c>
      <c r="W186" t="e">
        <f>IF(samples!#REF!=0,"",samples!#REF!)</f>
        <v>#REF!</v>
      </c>
      <c r="X186">
        <f>IFERROR(SEARCH(search!$B$6,samples!#REF!,1),0)</f>
        <v>0</v>
      </c>
      <c r="Y186" t="e">
        <f>IF(samples!#REF!=0,"",samples!#REF!)</f>
        <v>#REF!</v>
      </c>
      <c r="Z186">
        <f>IFERROR(SEARCH(search!$B$6,samples!#REF!,1),0)</f>
        <v>0</v>
      </c>
      <c r="AA186" t="e">
        <f>IF(samples!#REF!=0,"",samples!#REF!)</f>
        <v>#REF!</v>
      </c>
      <c r="AB186">
        <f>IFERROR(SEARCH(search!$B$6,samples!#REF!,1),0)</f>
        <v>0</v>
      </c>
      <c r="AC186" t="e">
        <f>IF(samples!#REF!=0,"",samples!#REF!)</f>
        <v>#REF!</v>
      </c>
      <c r="AD186">
        <f>IFERROR(SEARCH(search!$B$6,samples!#REF!,1),0)</f>
        <v>0</v>
      </c>
    </row>
    <row r="187" spans="1:30">
      <c r="A187">
        <f t="shared" si="2"/>
        <v>0</v>
      </c>
      <c r="B187">
        <f>IF(SUM(D187,F187,H187,J187,L187,N187,P187,R187,T187,V187,X187,Z187,AB187,AD187)&gt;0,SUM($A$2:A187),0)</f>
        <v>0</v>
      </c>
      <c r="C187" t="e">
        <f>samples!#REF!</f>
        <v>#REF!</v>
      </c>
      <c r="D187">
        <f>IFERROR(SEARCH(search!$B$6,samples!#REF!,1),0)</f>
        <v>0</v>
      </c>
      <c r="E187" t="e">
        <f>IF(samples!#REF!=0,"",samples!#REF!)</f>
        <v>#REF!</v>
      </c>
      <c r="F187">
        <f>IFERROR(SEARCH(search!$B$6,samples!#REF!,1),0)</f>
        <v>0</v>
      </c>
      <c r="G187" t="e">
        <f>IF(samples!#REF!=0,"",samples!#REF!)</f>
        <v>#REF!</v>
      </c>
      <c r="H187">
        <f>IFERROR(SEARCH(search!$B$6,samples!#REF!,1),0)</f>
        <v>0</v>
      </c>
      <c r="I187" t="e">
        <f>IF(samples!#REF!=0,"",samples!#REF!)</f>
        <v>#REF!</v>
      </c>
      <c r="J187">
        <f>IFERROR(SEARCH(search!$B$6,samples!#REF!,1),0)</f>
        <v>0</v>
      </c>
      <c r="K187" t="e">
        <f>IF(samples!#REF!=0,"",samples!#REF!)</f>
        <v>#REF!</v>
      </c>
      <c r="L187">
        <f>IFERROR(SEARCH(search!$B$6,samples!#REF!,1),0)</f>
        <v>0</v>
      </c>
      <c r="M187" t="e">
        <f>IF(samples!#REF!=0,"",samples!#REF!)</f>
        <v>#REF!</v>
      </c>
      <c r="N187">
        <f>IFERROR(SEARCH(search!$B$6,samples!#REF!,1),0)</f>
        <v>0</v>
      </c>
      <c r="O187" t="e">
        <f>IF(samples!#REF!=0,"",samples!#REF!)</f>
        <v>#REF!</v>
      </c>
      <c r="P187">
        <f>IFERROR(SEARCH(search!$B$6,samples!#REF!,1),0)</f>
        <v>0</v>
      </c>
      <c r="Q187" t="e">
        <f>IF(samples!#REF!=0,"",samples!#REF!)</f>
        <v>#REF!</v>
      </c>
      <c r="R187">
        <f>IFERROR(SEARCH(search!$B$6,samples!#REF!,1),0)</f>
        <v>0</v>
      </c>
      <c r="S187" t="e">
        <f>IF(samples!#REF!=0,"",samples!#REF!)</f>
        <v>#REF!</v>
      </c>
      <c r="T187">
        <f>IFERROR(SEARCH(search!$B$6,samples!#REF!,1),0)</f>
        <v>0</v>
      </c>
      <c r="U187" t="e">
        <f>IF(samples!#REF!=0,"",samples!#REF!)</f>
        <v>#REF!</v>
      </c>
      <c r="V187">
        <f>IFERROR(SEARCH(search!$B$6,samples!#REF!,1),0)</f>
        <v>0</v>
      </c>
      <c r="W187" t="e">
        <f>IF(samples!#REF!=0,"",samples!#REF!)</f>
        <v>#REF!</v>
      </c>
      <c r="X187">
        <f>IFERROR(SEARCH(search!$B$6,samples!#REF!,1),0)</f>
        <v>0</v>
      </c>
      <c r="Y187" t="e">
        <f>IF(samples!#REF!=0,"",samples!#REF!)</f>
        <v>#REF!</v>
      </c>
      <c r="Z187">
        <f>IFERROR(SEARCH(search!$B$6,samples!#REF!,1),0)</f>
        <v>0</v>
      </c>
      <c r="AA187" t="e">
        <f>IF(samples!#REF!=0,"",samples!#REF!)</f>
        <v>#REF!</v>
      </c>
      <c r="AB187">
        <f>IFERROR(SEARCH(search!$B$6,samples!#REF!,1),0)</f>
        <v>0</v>
      </c>
      <c r="AC187" t="e">
        <f>IF(samples!#REF!=0,"",samples!#REF!)</f>
        <v>#REF!</v>
      </c>
      <c r="AD187">
        <f>IFERROR(SEARCH(search!$B$6,samples!#REF!,1),0)</f>
        <v>0</v>
      </c>
    </row>
    <row r="188" spans="1:30">
      <c r="A188">
        <f t="shared" si="2"/>
        <v>0</v>
      </c>
      <c r="B188">
        <f>IF(SUM(D188,F188,H188,J188,L188,N188,P188,R188,T188,V188,X188,Z188,AB188,AD188)&gt;0,SUM($A$2:A188),0)</f>
        <v>0</v>
      </c>
      <c r="C188" t="e">
        <f>samples!#REF!</f>
        <v>#REF!</v>
      </c>
      <c r="D188">
        <f>IFERROR(SEARCH(search!$B$6,samples!#REF!,1),0)</f>
        <v>0</v>
      </c>
      <c r="E188" t="e">
        <f>IF(samples!#REF!=0,"",samples!#REF!)</f>
        <v>#REF!</v>
      </c>
      <c r="F188">
        <f>IFERROR(SEARCH(search!$B$6,samples!#REF!,1),0)</f>
        <v>0</v>
      </c>
      <c r="G188" t="e">
        <f>IF(samples!#REF!=0,"",samples!#REF!)</f>
        <v>#REF!</v>
      </c>
      <c r="H188">
        <f>IFERROR(SEARCH(search!$B$6,samples!#REF!,1),0)</f>
        <v>0</v>
      </c>
      <c r="I188" t="e">
        <f>IF(samples!#REF!=0,"",samples!#REF!)</f>
        <v>#REF!</v>
      </c>
      <c r="J188">
        <f>IFERROR(SEARCH(search!$B$6,samples!#REF!,1),0)</f>
        <v>0</v>
      </c>
      <c r="K188" t="e">
        <f>IF(samples!#REF!=0,"",samples!#REF!)</f>
        <v>#REF!</v>
      </c>
      <c r="L188">
        <f>IFERROR(SEARCH(search!$B$6,samples!#REF!,1),0)</f>
        <v>0</v>
      </c>
      <c r="M188" t="e">
        <f>IF(samples!#REF!=0,"",samples!#REF!)</f>
        <v>#REF!</v>
      </c>
      <c r="N188">
        <f>IFERROR(SEARCH(search!$B$6,samples!#REF!,1),0)</f>
        <v>0</v>
      </c>
      <c r="O188" t="e">
        <f>IF(samples!#REF!=0,"",samples!#REF!)</f>
        <v>#REF!</v>
      </c>
      <c r="P188">
        <f>IFERROR(SEARCH(search!$B$6,samples!#REF!,1),0)</f>
        <v>0</v>
      </c>
      <c r="Q188" t="e">
        <f>IF(samples!#REF!=0,"",samples!#REF!)</f>
        <v>#REF!</v>
      </c>
      <c r="R188">
        <f>IFERROR(SEARCH(search!$B$6,samples!#REF!,1),0)</f>
        <v>0</v>
      </c>
      <c r="S188" t="e">
        <f>IF(samples!#REF!=0,"",samples!#REF!)</f>
        <v>#REF!</v>
      </c>
      <c r="T188">
        <f>IFERROR(SEARCH(search!$B$6,samples!#REF!,1),0)</f>
        <v>0</v>
      </c>
      <c r="U188" t="e">
        <f>IF(samples!#REF!=0,"",samples!#REF!)</f>
        <v>#REF!</v>
      </c>
      <c r="V188">
        <f>IFERROR(SEARCH(search!$B$6,samples!#REF!,1),0)</f>
        <v>0</v>
      </c>
      <c r="W188" t="e">
        <f>IF(samples!#REF!=0,"",samples!#REF!)</f>
        <v>#REF!</v>
      </c>
      <c r="X188">
        <f>IFERROR(SEARCH(search!$B$6,samples!#REF!,1),0)</f>
        <v>0</v>
      </c>
      <c r="Y188" t="e">
        <f>IF(samples!#REF!=0,"",samples!#REF!)</f>
        <v>#REF!</v>
      </c>
      <c r="Z188">
        <f>IFERROR(SEARCH(search!$B$6,samples!#REF!,1),0)</f>
        <v>0</v>
      </c>
      <c r="AA188" t="e">
        <f>IF(samples!#REF!=0,"",samples!#REF!)</f>
        <v>#REF!</v>
      </c>
      <c r="AB188">
        <f>IFERROR(SEARCH(search!$B$6,samples!#REF!,1),0)</f>
        <v>0</v>
      </c>
      <c r="AC188" t="e">
        <f>IF(samples!#REF!=0,"",samples!#REF!)</f>
        <v>#REF!</v>
      </c>
      <c r="AD188">
        <f>IFERROR(SEARCH(search!$B$6,samples!#REF!,1),0)</f>
        <v>0</v>
      </c>
    </row>
    <row r="189" spans="1:30">
      <c r="A189">
        <f t="shared" si="2"/>
        <v>0</v>
      </c>
      <c r="B189">
        <f>IF(SUM(D189,F189,H189,J189,L189,N189,P189,R189,T189,V189,X189,Z189,AB189,AD189)&gt;0,SUM($A$2:A189),0)</f>
        <v>0</v>
      </c>
      <c r="C189" t="e">
        <f>samples!#REF!</f>
        <v>#REF!</v>
      </c>
      <c r="D189">
        <f>IFERROR(SEARCH(search!$B$6,samples!#REF!,1),0)</f>
        <v>0</v>
      </c>
      <c r="E189" t="e">
        <f>IF(samples!#REF!=0,"",samples!#REF!)</f>
        <v>#REF!</v>
      </c>
      <c r="F189">
        <f>IFERROR(SEARCH(search!$B$6,samples!#REF!,1),0)</f>
        <v>0</v>
      </c>
      <c r="G189" t="e">
        <f>IF(samples!#REF!=0,"",samples!#REF!)</f>
        <v>#REF!</v>
      </c>
      <c r="H189">
        <f>IFERROR(SEARCH(search!$B$6,samples!#REF!,1),0)</f>
        <v>0</v>
      </c>
      <c r="I189" t="e">
        <f>IF(samples!#REF!=0,"",samples!#REF!)</f>
        <v>#REF!</v>
      </c>
      <c r="J189">
        <f>IFERROR(SEARCH(search!$B$6,samples!#REF!,1),0)</f>
        <v>0</v>
      </c>
      <c r="K189" t="e">
        <f>IF(samples!#REF!=0,"",samples!#REF!)</f>
        <v>#REF!</v>
      </c>
      <c r="L189">
        <f>IFERROR(SEARCH(search!$B$6,samples!#REF!,1),0)</f>
        <v>0</v>
      </c>
      <c r="M189" t="e">
        <f>IF(samples!#REF!=0,"",samples!#REF!)</f>
        <v>#REF!</v>
      </c>
      <c r="N189">
        <f>IFERROR(SEARCH(search!$B$6,samples!#REF!,1),0)</f>
        <v>0</v>
      </c>
      <c r="O189" t="e">
        <f>IF(samples!#REF!=0,"",samples!#REF!)</f>
        <v>#REF!</v>
      </c>
      <c r="P189">
        <f>IFERROR(SEARCH(search!$B$6,samples!#REF!,1),0)</f>
        <v>0</v>
      </c>
      <c r="Q189" t="e">
        <f>IF(samples!#REF!=0,"",samples!#REF!)</f>
        <v>#REF!</v>
      </c>
      <c r="R189">
        <f>IFERROR(SEARCH(search!$B$6,samples!#REF!,1),0)</f>
        <v>0</v>
      </c>
      <c r="S189" t="e">
        <f>IF(samples!#REF!=0,"",samples!#REF!)</f>
        <v>#REF!</v>
      </c>
      <c r="T189">
        <f>IFERROR(SEARCH(search!$B$6,samples!#REF!,1),0)</f>
        <v>0</v>
      </c>
      <c r="U189" t="e">
        <f>IF(samples!#REF!=0,"",samples!#REF!)</f>
        <v>#REF!</v>
      </c>
      <c r="V189">
        <f>IFERROR(SEARCH(search!$B$6,samples!#REF!,1),0)</f>
        <v>0</v>
      </c>
      <c r="W189" t="e">
        <f>IF(samples!#REF!=0,"",samples!#REF!)</f>
        <v>#REF!</v>
      </c>
      <c r="X189">
        <f>IFERROR(SEARCH(search!$B$6,samples!#REF!,1),0)</f>
        <v>0</v>
      </c>
      <c r="Y189" t="e">
        <f>IF(samples!#REF!=0,"",samples!#REF!)</f>
        <v>#REF!</v>
      </c>
      <c r="Z189">
        <f>IFERROR(SEARCH(search!$B$6,samples!#REF!,1),0)</f>
        <v>0</v>
      </c>
      <c r="AA189" t="e">
        <f>IF(samples!#REF!=0,"",samples!#REF!)</f>
        <v>#REF!</v>
      </c>
      <c r="AB189">
        <f>IFERROR(SEARCH(search!$B$6,samples!#REF!,1),0)</f>
        <v>0</v>
      </c>
      <c r="AC189" t="e">
        <f>IF(samples!#REF!=0,"",samples!#REF!)</f>
        <v>#REF!</v>
      </c>
      <c r="AD189">
        <f>IFERROR(SEARCH(search!$B$6,samples!#REF!,1),0)</f>
        <v>0</v>
      </c>
    </row>
    <row r="190" spans="1:30">
      <c r="A190">
        <f t="shared" si="2"/>
        <v>0</v>
      </c>
      <c r="B190">
        <f>IF(SUM(D190,F190,H190,J190,L190,N190,P190,R190,T190,V190,X190,Z190,AB190,AD190)&gt;0,SUM($A$2:A190),0)</f>
        <v>0</v>
      </c>
      <c r="C190" t="e">
        <f>samples!#REF!</f>
        <v>#REF!</v>
      </c>
      <c r="D190">
        <f>IFERROR(SEARCH(search!$B$6,samples!#REF!,1),0)</f>
        <v>0</v>
      </c>
      <c r="E190" t="e">
        <f>IF(samples!#REF!=0,"",samples!#REF!)</f>
        <v>#REF!</v>
      </c>
      <c r="F190">
        <f>IFERROR(SEARCH(search!$B$6,samples!#REF!,1),0)</f>
        <v>0</v>
      </c>
      <c r="G190" t="e">
        <f>IF(samples!#REF!=0,"",samples!#REF!)</f>
        <v>#REF!</v>
      </c>
      <c r="H190">
        <f>IFERROR(SEARCH(search!$B$6,samples!#REF!,1),0)</f>
        <v>0</v>
      </c>
      <c r="I190" t="e">
        <f>IF(samples!#REF!=0,"",samples!#REF!)</f>
        <v>#REF!</v>
      </c>
      <c r="J190">
        <f>IFERROR(SEARCH(search!$B$6,samples!#REF!,1),0)</f>
        <v>0</v>
      </c>
      <c r="K190" t="e">
        <f>IF(samples!#REF!=0,"",samples!#REF!)</f>
        <v>#REF!</v>
      </c>
      <c r="L190">
        <f>IFERROR(SEARCH(search!$B$6,samples!#REF!,1),0)</f>
        <v>0</v>
      </c>
      <c r="M190" t="e">
        <f>IF(samples!#REF!=0,"",samples!#REF!)</f>
        <v>#REF!</v>
      </c>
      <c r="N190">
        <f>IFERROR(SEARCH(search!$B$6,samples!#REF!,1),0)</f>
        <v>0</v>
      </c>
      <c r="O190" t="e">
        <f>IF(samples!#REF!=0,"",samples!#REF!)</f>
        <v>#REF!</v>
      </c>
      <c r="P190">
        <f>IFERROR(SEARCH(search!$B$6,samples!#REF!,1),0)</f>
        <v>0</v>
      </c>
      <c r="Q190" t="e">
        <f>IF(samples!#REF!=0,"",samples!#REF!)</f>
        <v>#REF!</v>
      </c>
      <c r="R190">
        <f>IFERROR(SEARCH(search!$B$6,samples!#REF!,1),0)</f>
        <v>0</v>
      </c>
      <c r="S190" t="e">
        <f>IF(samples!#REF!=0,"",samples!#REF!)</f>
        <v>#REF!</v>
      </c>
      <c r="T190">
        <f>IFERROR(SEARCH(search!$B$6,samples!#REF!,1),0)</f>
        <v>0</v>
      </c>
      <c r="U190" t="e">
        <f>IF(samples!#REF!=0,"",samples!#REF!)</f>
        <v>#REF!</v>
      </c>
      <c r="V190">
        <f>IFERROR(SEARCH(search!$B$6,samples!#REF!,1),0)</f>
        <v>0</v>
      </c>
      <c r="W190" t="e">
        <f>IF(samples!#REF!=0,"",samples!#REF!)</f>
        <v>#REF!</v>
      </c>
      <c r="X190">
        <f>IFERROR(SEARCH(search!$B$6,samples!#REF!,1),0)</f>
        <v>0</v>
      </c>
      <c r="Y190" t="e">
        <f>IF(samples!#REF!=0,"",samples!#REF!)</f>
        <v>#REF!</v>
      </c>
      <c r="Z190">
        <f>IFERROR(SEARCH(search!$B$6,samples!#REF!,1),0)</f>
        <v>0</v>
      </c>
      <c r="AA190" t="e">
        <f>IF(samples!#REF!=0,"",samples!#REF!)</f>
        <v>#REF!</v>
      </c>
      <c r="AB190">
        <f>IFERROR(SEARCH(search!$B$6,samples!#REF!,1),0)</f>
        <v>0</v>
      </c>
      <c r="AC190" t="e">
        <f>IF(samples!#REF!=0,"",samples!#REF!)</f>
        <v>#REF!</v>
      </c>
      <c r="AD190">
        <f>IFERROR(SEARCH(search!$B$6,samples!#REF!,1),0)</f>
        <v>0</v>
      </c>
    </row>
    <row r="191" spans="1:30">
      <c r="A191">
        <f t="shared" si="2"/>
        <v>0</v>
      </c>
      <c r="B191">
        <f>IF(SUM(D191,F191,H191,J191,L191,N191,P191,R191,T191,V191,X191,Z191,AB191,AD191)&gt;0,SUM($A$2:A191),0)</f>
        <v>0</v>
      </c>
      <c r="C191" t="e">
        <f>samples!#REF!</f>
        <v>#REF!</v>
      </c>
      <c r="D191">
        <f>IFERROR(SEARCH(search!$B$6,samples!#REF!,1),0)</f>
        <v>0</v>
      </c>
      <c r="E191" t="e">
        <f>IF(samples!#REF!=0,"",samples!#REF!)</f>
        <v>#REF!</v>
      </c>
      <c r="F191">
        <f>IFERROR(SEARCH(search!$B$6,samples!#REF!,1),0)</f>
        <v>0</v>
      </c>
      <c r="G191" t="e">
        <f>IF(samples!#REF!=0,"",samples!#REF!)</f>
        <v>#REF!</v>
      </c>
      <c r="H191">
        <f>IFERROR(SEARCH(search!$B$6,samples!#REF!,1),0)</f>
        <v>0</v>
      </c>
      <c r="I191" t="e">
        <f>IF(samples!#REF!=0,"",samples!#REF!)</f>
        <v>#REF!</v>
      </c>
      <c r="J191">
        <f>IFERROR(SEARCH(search!$B$6,samples!#REF!,1),0)</f>
        <v>0</v>
      </c>
      <c r="K191" t="e">
        <f>IF(samples!#REF!=0,"",samples!#REF!)</f>
        <v>#REF!</v>
      </c>
      <c r="L191">
        <f>IFERROR(SEARCH(search!$B$6,samples!#REF!,1),0)</f>
        <v>0</v>
      </c>
      <c r="M191" t="e">
        <f>IF(samples!#REF!=0,"",samples!#REF!)</f>
        <v>#REF!</v>
      </c>
      <c r="N191">
        <f>IFERROR(SEARCH(search!$B$6,samples!#REF!,1),0)</f>
        <v>0</v>
      </c>
      <c r="O191" t="e">
        <f>IF(samples!#REF!=0,"",samples!#REF!)</f>
        <v>#REF!</v>
      </c>
      <c r="P191">
        <f>IFERROR(SEARCH(search!$B$6,samples!#REF!,1),0)</f>
        <v>0</v>
      </c>
      <c r="Q191" t="e">
        <f>IF(samples!#REF!=0,"",samples!#REF!)</f>
        <v>#REF!</v>
      </c>
      <c r="R191">
        <f>IFERROR(SEARCH(search!$B$6,samples!#REF!,1),0)</f>
        <v>0</v>
      </c>
      <c r="S191" t="e">
        <f>IF(samples!#REF!=0,"",samples!#REF!)</f>
        <v>#REF!</v>
      </c>
      <c r="T191">
        <f>IFERROR(SEARCH(search!$B$6,samples!#REF!,1),0)</f>
        <v>0</v>
      </c>
      <c r="U191" t="e">
        <f>IF(samples!#REF!=0,"",samples!#REF!)</f>
        <v>#REF!</v>
      </c>
      <c r="V191">
        <f>IFERROR(SEARCH(search!$B$6,samples!#REF!,1),0)</f>
        <v>0</v>
      </c>
      <c r="W191" t="e">
        <f>IF(samples!#REF!=0,"",samples!#REF!)</f>
        <v>#REF!</v>
      </c>
      <c r="X191">
        <f>IFERROR(SEARCH(search!$B$6,samples!#REF!,1),0)</f>
        <v>0</v>
      </c>
      <c r="Y191" t="e">
        <f>IF(samples!#REF!=0,"",samples!#REF!)</f>
        <v>#REF!</v>
      </c>
      <c r="Z191">
        <f>IFERROR(SEARCH(search!$B$6,samples!#REF!,1),0)</f>
        <v>0</v>
      </c>
      <c r="AA191" t="e">
        <f>IF(samples!#REF!=0,"",samples!#REF!)</f>
        <v>#REF!</v>
      </c>
      <c r="AB191">
        <f>IFERROR(SEARCH(search!$B$6,samples!#REF!,1),0)</f>
        <v>0</v>
      </c>
      <c r="AC191" t="e">
        <f>IF(samples!#REF!=0,"",samples!#REF!)</f>
        <v>#REF!</v>
      </c>
      <c r="AD191">
        <f>IFERROR(SEARCH(search!$B$6,samples!#REF!,1),0)</f>
        <v>0</v>
      </c>
    </row>
    <row r="192" spans="1:30">
      <c r="A192">
        <f t="shared" si="2"/>
        <v>0</v>
      </c>
      <c r="B192">
        <f>IF(SUM(D192,F192,H192,J192,L192,N192,P192,R192,T192,V192,X192,Z192,AB192,AD192)&gt;0,SUM($A$2:A192),0)</f>
        <v>0</v>
      </c>
      <c r="C192" t="e">
        <f>samples!#REF!</f>
        <v>#REF!</v>
      </c>
      <c r="D192">
        <f>IFERROR(SEARCH(search!$B$6,samples!#REF!,1),0)</f>
        <v>0</v>
      </c>
      <c r="E192" t="e">
        <f>IF(samples!#REF!=0,"",samples!#REF!)</f>
        <v>#REF!</v>
      </c>
      <c r="F192">
        <f>IFERROR(SEARCH(search!$B$6,samples!#REF!,1),0)</f>
        <v>0</v>
      </c>
      <c r="G192" t="e">
        <f>IF(samples!#REF!=0,"",samples!#REF!)</f>
        <v>#REF!</v>
      </c>
      <c r="H192">
        <f>IFERROR(SEARCH(search!$B$6,samples!#REF!,1),0)</f>
        <v>0</v>
      </c>
      <c r="I192" t="e">
        <f>IF(samples!#REF!=0,"",samples!#REF!)</f>
        <v>#REF!</v>
      </c>
      <c r="J192">
        <f>IFERROR(SEARCH(search!$B$6,samples!#REF!,1),0)</f>
        <v>0</v>
      </c>
      <c r="K192" t="e">
        <f>IF(samples!#REF!=0,"",samples!#REF!)</f>
        <v>#REF!</v>
      </c>
      <c r="L192">
        <f>IFERROR(SEARCH(search!$B$6,samples!#REF!,1),0)</f>
        <v>0</v>
      </c>
      <c r="M192" t="e">
        <f>IF(samples!#REF!=0,"",samples!#REF!)</f>
        <v>#REF!</v>
      </c>
      <c r="N192">
        <f>IFERROR(SEARCH(search!$B$6,samples!#REF!,1),0)</f>
        <v>0</v>
      </c>
      <c r="O192" t="e">
        <f>IF(samples!#REF!=0,"",samples!#REF!)</f>
        <v>#REF!</v>
      </c>
      <c r="P192">
        <f>IFERROR(SEARCH(search!$B$6,samples!#REF!,1),0)</f>
        <v>0</v>
      </c>
      <c r="Q192" t="e">
        <f>IF(samples!#REF!=0,"",samples!#REF!)</f>
        <v>#REF!</v>
      </c>
      <c r="R192">
        <f>IFERROR(SEARCH(search!$B$6,samples!#REF!,1),0)</f>
        <v>0</v>
      </c>
      <c r="S192" t="e">
        <f>IF(samples!#REF!=0,"",samples!#REF!)</f>
        <v>#REF!</v>
      </c>
      <c r="T192">
        <f>IFERROR(SEARCH(search!$B$6,samples!#REF!,1),0)</f>
        <v>0</v>
      </c>
      <c r="U192" t="e">
        <f>IF(samples!#REF!=0,"",samples!#REF!)</f>
        <v>#REF!</v>
      </c>
      <c r="V192">
        <f>IFERROR(SEARCH(search!$B$6,samples!#REF!,1),0)</f>
        <v>0</v>
      </c>
      <c r="W192" t="e">
        <f>IF(samples!#REF!=0,"",samples!#REF!)</f>
        <v>#REF!</v>
      </c>
      <c r="X192">
        <f>IFERROR(SEARCH(search!$B$6,samples!#REF!,1),0)</f>
        <v>0</v>
      </c>
      <c r="Y192" t="e">
        <f>IF(samples!#REF!=0,"",samples!#REF!)</f>
        <v>#REF!</v>
      </c>
      <c r="Z192">
        <f>IFERROR(SEARCH(search!$B$6,samples!#REF!,1),0)</f>
        <v>0</v>
      </c>
      <c r="AA192" t="e">
        <f>IF(samples!#REF!=0,"",samples!#REF!)</f>
        <v>#REF!</v>
      </c>
      <c r="AB192">
        <f>IFERROR(SEARCH(search!$B$6,samples!#REF!,1),0)</f>
        <v>0</v>
      </c>
      <c r="AC192" t="e">
        <f>IF(samples!#REF!=0,"",samples!#REF!)</f>
        <v>#REF!</v>
      </c>
      <c r="AD192">
        <f>IFERROR(SEARCH(search!$B$6,samples!#REF!,1),0)</f>
        <v>0</v>
      </c>
    </row>
    <row r="193" spans="1:30">
      <c r="A193">
        <f t="shared" si="2"/>
        <v>0</v>
      </c>
      <c r="B193">
        <f>IF(SUM(D193,F193,H193,J193,L193,N193,P193,R193,T193,V193,X193,Z193,AB193,AD193)&gt;0,SUM($A$2:A193),0)</f>
        <v>0</v>
      </c>
      <c r="C193" t="e">
        <f>samples!#REF!</f>
        <v>#REF!</v>
      </c>
      <c r="D193">
        <f>IFERROR(SEARCH(search!$B$6,samples!#REF!,1),0)</f>
        <v>0</v>
      </c>
      <c r="E193" t="e">
        <f>IF(samples!#REF!=0,"",samples!#REF!)</f>
        <v>#REF!</v>
      </c>
      <c r="F193">
        <f>IFERROR(SEARCH(search!$B$6,samples!#REF!,1),0)</f>
        <v>0</v>
      </c>
      <c r="G193" t="e">
        <f>IF(samples!#REF!=0,"",samples!#REF!)</f>
        <v>#REF!</v>
      </c>
      <c r="H193">
        <f>IFERROR(SEARCH(search!$B$6,samples!#REF!,1),0)</f>
        <v>0</v>
      </c>
      <c r="I193" t="e">
        <f>IF(samples!#REF!=0,"",samples!#REF!)</f>
        <v>#REF!</v>
      </c>
      <c r="J193">
        <f>IFERROR(SEARCH(search!$B$6,samples!#REF!,1),0)</f>
        <v>0</v>
      </c>
      <c r="K193" t="e">
        <f>IF(samples!#REF!=0,"",samples!#REF!)</f>
        <v>#REF!</v>
      </c>
      <c r="L193">
        <f>IFERROR(SEARCH(search!$B$6,samples!#REF!,1),0)</f>
        <v>0</v>
      </c>
      <c r="M193" t="e">
        <f>IF(samples!#REF!=0,"",samples!#REF!)</f>
        <v>#REF!</v>
      </c>
      <c r="N193">
        <f>IFERROR(SEARCH(search!$B$6,samples!#REF!,1),0)</f>
        <v>0</v>
      </c>
      <c r="O193" t="e">
        <f>IF(samples!#REF!=0,"",samples!#REF!)</f>
        <v>#REF!</v>
      </c>
      <c r="P193">
        <f>IFERROR(SEARCH(search!$B$6,samples!#REF!,1),0)</f>
        <v>0</v>
      </c>
      <c r="Q193" t="e">
        <f>IF(samples!#REF!=0,"",samples!#REF!)</f>
        <v>#REF!</v>
      </c>
      <c r="R193">
        <f>IFERROR(SEARCH(search!$B$6,samples!#REF!,1),0)</f>
        <v>0</v>
      </c>
      <c r="S193" t="e">
        <f>IF(samples!#REF!=0,"",samples!#REF!)</f>
        <v>#REF!</v>
      </c>
      <c r="T193">
        <f>IFERROR(SEARCH(search!$B$6,samples!#REF!,1),0)</f>
        <v>0</v>
      </c>
      <c r="U193" t="e">
        <f>IF(samples!#REF!=0,"",samples!#REF!)</f>
        <v>#REF!</v>
      </c>
      <c r="V193">
        <f>IFERROR(SEARCH(search!$B$6,samples!#REF!,1),0)</f>
        <v>0</v>
      </c>
      <c r="W193" t="e">
        <f>IF(samples!#REF!=0,"",samples!#REF!)</f>
        <v>#REF!</v>
      </c>
      <c r="X193">
        <f>IFERROR(SEARCH(search!$B$6,samples!#REF!,1),0)</f>
        <v>0</v>
      </c>
      <c r="Y193" t="e">
        <f>IF(samples!#REF!=0,"",samples!#REF!)</f>
        <v>#REF!</v>
      </c>
      <c r="Z193">
        <f>IFERROR(SEARCH(search!$B$6,samples!#REF!,1),0)</f>
        <v>0</v>
      </c>
      <c r="AA193" t="e">
        <f>IF(samples!#REF!=0,"",samples!#REF!)</f>
        <v>#REF!</v>
      </c>
      <c r="AB193">
        <f>IFERROR(SEARCH(search!$B$6,samples!#REF!,1),0)</f>
        <v>0</v>
      </c>
      <c r="AC193" t="e">
        <f>IF(samples!#REF!=0,"",samples!#REF!)</f>
        <v>#REF!</v>
      </c>
      <c r="AD193">
        <f>IFERROR(SEARCH(search!$B$6,samples!#REF!,1),0)</f>
        <v>0</v>
      </c>
    </row>
    <row r="194" spans="1:30">
      <c r="A194">
        <f t="shared" si="2"/>
        <v>0</v>
      </c>
      <c r="B194">
        <f>IF(SUM(D194,F194,H194,J194,L194,N194,P194,R194,T194,V194,X194,Z194,AB194,AD194)&gt;0,SUM($A$2:A194),0)</f>
        <v>0</v>
      </c>
      <c r="C194" t="e">
        <f>samples!#REF!</f>
        <v>#REF!</v>
      </c>
      <c r="D194">
        <f>IFERROR(SEARCH(search!$B$6,samples!#REF!,1),0)</f>
        <v>0</v>
      </c>
      <c r="E194" t="e">
        <f>IF(samples!#REF!=0,"",samples!#REF!)</f>
        <v>#REF!</v>
      </c>
      <c r="F194">
        <f>IFERROR(SEARCH(search!$B$6,samples!#REF!,1),0)</f>
        <v>0</v>
      </c>
      <c r="G194" t="e">
        <f>IF(samples!#REF!=0,"",samples!#REF!)</f>
        <v>#REF!</v>
      </c>
      <c r="H194">
        <f>IFERROR(SEARCH(search!$B$6,samples!#REF!,1),0)</f>
        <v>0</v>
      </c>
      <c r="I194" t="e">
        <f>IF(samples!#REF!=0,"",samples!#REF!)</f>
        <v>#REF!</v>
      </c>
      <c r="J194">
        <f>IFERROR(SEARCH(search!$B$6,samples!#REF!,1),0)</f>
        <v>0</v>
      </c>
      <c r="K194" t="e">
        <f>IF(samples!#REF!=0,"",samples!#REF!)</f>
        <v>#REF!</v>
      </c>
      <c r="L194">
        <f>IFERROR(SEARCH(search!$B$6,samples!#REF!,1),0)</f>
        <v>0</v>
      </c>
      <c r="M194" t="e">
        <f>IF(samples!#REF!=0,"",samples!#REF!)</f>
        <v>#REF!</v>
      </c>
      <c r="N194">
        <f>IFERROR(SEARCH(search!$B$6,samples!#REF!,1),0)</f>
        <v>0</v>
      </c>
      <c r="O194" t="e">
        <f>IF(samples!#REF!=0,"",samples!#REF!)</f>
        <v>#REF!</v>
      </c>
      <c r="P194">
        <f>IFERROR(SEARCH(search!$B$6,samples!#REF!,1),0)</f>
        <v>0</v>
      </c>
      <c r="Q194" t="e">
        <f>IF(samples!#REF!=0,"",samples!#REF!)</f>
        <v>#REF!</v>
      </c>
      <c r="R194">
        <f>IFERROR(SEARCH(search!$B$6,samples!#REF!,1),0)</f>
        <v>0</v>
      </c>
      <c r="S194" t="e">
        <f>IF(samples!#REF!=0,"",samples!#REF!)</f>
        <v>#REF!</v>
      </c>
      <c r="T194">
        <f>IFERROR(SEARCH(search!$B$6,samples!#REF!,1),0)</f>
        <v>0</v>
      </c>
      <c r="U194" t="e">
        <f>IF(samples!#REF!=0,"",samples!#REF!)</f>
        <v>#REF!</v>
      </c>
      <c r="V194">
        <f>IFERROR(SEARCH(search!$B$6,samples!#REF!,1),0)</f>
        <v>0</v>
      </c>
      <c r="W194" t="e">
        <f>IF(samples!#REF!=0,"",samples!#REF!)</f>
        <v>#REF!</v>
      </c>
      <c r="X194">
        <f>IFERROR(SEARCH(search!$B$6,samples!#REF!,1),0)</f>
        <v>0</v>
      </c>
      <c r="Y194" t="e">
        <f>IF(samples!#REF!=0,"",samples!#REF!)</f>
        <v>#REF!</v>
      </c>
      <c r="Z194">
        <f>IFERROR(SEARCH(search!$B$6,samples!#REF!,1),0)</f>
        <v>0</v>
      </c>
      <c r="AA194" t="e">
        <f>IF(samples!#REF!=0,"",samples!#REF!)</f>
        <v>#REF!</v>
      </c>
      <c r="AB194">
        <f>IFERROR(SEARCH(search!$B$6,samples!#REF!,1),0)</f>
        <v>0</v>
      </c>
      <c r="AC194" t="e">
        <f>IF(samples!#REF!=0,"",samples!#REF!)</f>
        <v>#REF!</v>
      </c>
      <c r="AD194">
        <f>IFERROR(SEARCH(search!$B$6,samples!#REF!,1),0)</f>
        <v>0</v>
      </c>
    </row>
    <row r="195" spans="1:30">
      <c r="A195">
        <f t="shared" ref="A195:A258" si="3">IF(SUM(D195,F195,H195,J195,L195,N195,P195,R195,T195,V195,X195,Z195,AB195,AD195)&gt;0,1,0)</f>
        <v>0</v>
      </c>
      <c r="B195">
        <f>IF(SUM(D195,F195,H195,J195,L195,N195,P195,R195,T195,V195,X195,Z195,AB195,AD195)&gt;0,SUM($A$2:A195),0)</f>
        <v>0</v>
      </c>
      <c r="C195" t="e">
        <f>samples!#REF!</f>
        <v>#REF!</v>
      </c>
      <c r="D195">
        <f>IFERROR(SEARCH(search!$B$6,samples!#REF!,1),0)</f>
        <v>0</v>
      </c>
      <c r="E195" t="e">
        <f>IF(samples!#REF!=0,"",samples!#REF!)</f>
        <v>#REF!</v>
      </c>
      <c r="F195">
        <f>IFERROR(SEARCH(search!$B$6,samples!#REF!,1),0)</f>
        <v>0</v>
      </c>
      <c r="G195" t="e">
        <f>IF(samples!#REF!=0,"",samples!#REF!)</f>
        <v>#REF!</v>
      </c>
      <c r="H195">
        <f>IFERROR(SEARCH(search!$B$6,samples!#REF!,1),0)</f>
        <v>0</v>
      </c>
      <c r="I195" t="e">
        <f>IF(samples!#REF!=0,"",samples!#REF!)</f>
        <v>#REF!</v>
      </c>
      <c r="J195">
        <f>IFERROR(SEARCH(search!$B$6,samples!#REF!,1),0)</f>
        <v>0</v>
      </c>
      <c r="K195" t="e">
        <f>IF(samples!#REF!=0,"",samples!#REF!)</f>
        <v>#REF!</v>
      </c>
      <c r="L195">
        <f>IFERROR(SEARCH(search!$B$6,samples!#REF!,1),0)</f>
        <v>0</v>
      </c>
      <c r="M195" t="e">
        <f>IF(samples!#REF!=0,"",samples!#REF!)</f>
        <v>#REF!</v>
      </c>
      <c r="N195">
        <f>IFERROR(SEARCH(search!$B$6,samples!#REF!,1),0)</f>
        <v>0</v>
      </c>
      <c r="O195" t="e">
        <f>IF(samples!#REF!=0,"",samples!#REF!)</f>
        <v>#REF!</v>
      </c>
      <c r="P195">
        <f>IFERROR(SEARCH(search!$B$6,samples!#REF!,1),0)</f>
        <v>0</v>
      </c>
      <c r="Q195" t="e">
        <f>IF(samples!#REF!=0,"",samples!#REF!)</f>
        <v>#REF!</v>
      </c>
      <c r="R195">
        <f>IFERROR(SEARCH(search!$B$6,samples!#REF!,1),0)</f>
        <v>0</v>
      </c>
      <c r="S195" t="e">
        <f>IF(samples!#REF!=0,"",samples!#REF!)</f>
        <v>#REF!</v>
      </c>
      <c r="T195">
        <f>IFERROR(SEARCH(search!$B$6,samples!#REF!,1),0)</f>
        <v>0</v>
      </c>
      <c r="U195" t="e">
        <f>IF(samples!#REF!=0,"",samples!#REF!)</f>
        <v>#REF!</v>
      </c>
      <c r="V195">
        <f>IFERROR(SEARCH(search!$B$6,samples!#REF!,1),0)</f>
        <v>0</v>
      </c>
      <c r="W195" t="e">
        <f>IF(samples!#REF!=0,"",samples!#REF!)</f>
        <v>#REF!</v>
      </c>
      <c r="X195">
        <f>IFERROR(SEARCH(search!$B$6,samples!#REF!,1),0)</f>
        <v>0</v>
      </c>
      <c r="Y195" t="e">
        <f>IF(samples!#REF!=0,"",samples!#REF!)</f>
        <v>#REF!</v>
      </c>
      <c r="Z195">
        <f>IFERROR(SEARCH(search!$B$6,samples!#REF!,1),0)</f>
        <v>0</v>
      </c>
      <c r="AA195" t="e">
        <f>IF(samples!#REF!=0,"",samples!#REF!)</f>
        <v>#REF!</v>
      </c>
      <c r="AB195">
        <f>IFERROR(SEARCH(search!$B$6,samples!#REF!,1),0)</f>
        <v>0</v>
      </c>
      <c r="AC195" t="e">
        <f>IF(samples!#REF!=0,"",samples!#REF!)</f>
        <v>#REF!</v>
      </c>
      <c r="AD195">
        <f>IFERROR(SEARCH(search!$B$6,samples!#REF!,1),0)</f>
        <v>0</v>
      </c>
    </row>
    <row r="196" spans="1:30">
      <c r="A196">
        <f t="shared" si="3"/>
        <v>0</v>
      </c>
      <c r="B196">
        <f>IF(SUM(D196,F196,H196,J196,L196,N196,P196,R196,T196,V196,X196,Z196,AB196,AD196)&gt;0,SUM($A$2:A196),0)</f>
        <v>0</v>
      </c>
      <c r="C196" t="e">
        <f>samples!#REF!</f>
        <v>#REF!</v>
      </c>
      <c r="D196">
        <f>IFERROR(SEARCH(search!$B$6,samples!#REF!,1),0)</f>
        <v>0</v>
      </c>
      <c r="E196" t="e">
        <f>IF(samples!#REF!=0,"",samples!#REF!)</f>
        <v>#REF!</v>
      </c>
      <c r="F196">
        <f>IFERROR(SEARCH(search!$B$6,samples!#REF!,1),0)</f>
        <v>0</v>
      </c>
      <c r="G196" t="e">
        <f>IF(samples!#REF!=0,"",samples!#REF!)</f>
        <v>#REF!</v>
      </c>
      <c r="H196">
        <f>IFERROR(SEARCH(search!$B$6,samples!#REF!,1),0)</f>
        <v>0</v>
      </c>
      <c r="I196" t="e">
        <f>IF(samples!#REF!=0,"",samples!#REF!)</f>
        <v>#REF!</v>
      </c>
      <c r="J196">
        <f>IFERROR(SEARCH(search!$B$6,samples!#REF!,1),0)</f>
        <v>0</v>
      </c>
      <c r="K196" t="e">
        <f>IF(samples!#REF!=0,"",samples!#REF!)</f>
        <v>#REF!</v>
      </c>
      <c r="L196">
        <f>IFERROR(SEARCH(search!$B$6,samples!#REF!,1),0)</f>
        <v>0</v>
      </c>
      <c r="M196" t="e">
        <f>IF(samples!#REF!=0,"",samples!#REF!)</f>
        <v>#REF!</v>
      </c>
      <c r="N196">
        <f>IFERROR(SEARCH(search!$B$6,samples!#REF!,1),0)</f>
        <v>0</v>
      </c>
      <c r="O196" t="e">
        <f>IF(samples!#REF!=0,"",samples!#REF!)</f>
        <v>#REF!</v>
      </c>
      <c r="P196">
        <f>IFERROR(SEARCH(search!$B$6,samples!#REF!,1),0)</f>
        <v>0</v>
      </c>
      <c r="Q196" t="e">
        <f>IF(samples!#REF!=0,"",samples!#REF!)</f>
        <v>#REF!</v>
      </c>
      <c r="R196">
        <f>IFERROR(SEARCH(search!$B$6,samples!#REF!,1),0)</f>
        <v>0</v>
      </c>
      <c r="S196" t="e">
        <f>IF(samples!#REF!=0,"",samples!#REF!)</f>
        <v>#REF!</v>
      </c>
      <c r="T196">
        <f>IFERROR(SEARCH(search!$B$6,samples!#REF!,1),0)</f>
        <v>0</v>
      </c>
      <c r="U196" t="e">
        <f>IF(samples!#REF!=0,"",samples!#REF!)</f>
        <v>#REF!</v>
      </c>
      <c r="V196">
        <f>IFERROR(SEARCH(search!$B$6,samples!#REF!,1),0)</f>
        <v>0</v>
      </c>
      <c r="W196" t="e">
        <f>IF(samples!#REF!=0,"",samples!#REF!)</f>
        <v>#REF!</v>
      </c>
      <c r="X196">
        <f>IFERROR(SEARCH(search!$B$6,samples!#REF!,1),0)</f>
        <v>0</v>
      </c>
      <c r="Y196" t="e">
        <f>IF(samples!#REF!=0,"",samples!#REF!)</f>
        <v>#REF!</v>
      </c>
      <c r="Z196">
        <f>IFERROR(SEARCH(search!$B$6,samples!#REF!,1),0)</f>
        <v>0</v>
      </c>
      <c r="AA196" t="e">
        <f>IF(samples!#REF!=0,"",samples!#REF!)</f>
        <v>#REF!</v>
      </c>
      <c r="AB196">
        <f>IFERROR(SEARCH(search!$B$6,samples!#REF!,1),0)</f>
        <v>0</v>
      </c>
      <c r="AC196" t="e">
        <f>IF(samples!#REF!=0,"",samples!#REF!)</f>
        <v>#REF!</v>
      </c>
      <c r="AD196">
        <f>IFERROR(SEARCH(search!$B$6,samples!#REF!,1),0)</f>
        <v>0</v>
      </c>
    </row>
    <row r="197" spans="1:30">
      <c r="A197">
        <f t="shared" si="3"/>
        <v>0</v>
      </c>
      <c r="B197">
        <f>IF(SUM(D197,F197,H197,J197,L197,N197,P197,R197,T197,V197,X197,Z197,AB197,AD197)&gt;0,SUM($A$2:A197),0)</f>
        <v>0</v>
      </c>
      <c r="C197" t="e">
        <f>samples!#REF!</f>
        <v>#REF!</v>
      </c>
      <c r="D197">
        <f>IFERROR(SEARCH(search!$B$6,samples!#REF!,1),0)</f>
        <v>0</v>
      </c>
      <c r="E197" t="e">
        <f>IF(samples!#REF!=0,"",samples!#REF!)</f>
        <v>#REF!</v>
      </c>
      <c r="F197">
        <f>IFERROR(SEARCH(search!$B$6,samples!#REF!,1),0)</f>
        <v>0</v>
      </c>
      <c r="G197" t="e">
        <f>IF(samples!#REF!=0,"",samples!#REF!)</f>
        <v>#REF!</v>
      </c>
      <c r="H197">
        <f>IFERROR(SEARCH(search!$B$6,samples!#REF!,1),0)</f>
        <v>0</v>
      </c>
      <c r="I197" t="e">
        <f>IF(samples!#REF!=0,"",samples!#REF!)</f>
        <v>#REF!</v>
      </c>
      <c r="J197">
        <f>IFERROR(SEARCH(search!$B$6,samples!#REF!,1),0)</f>
        <v>0</v>
      </c>
      <c r="K197" t="e">
        <f>IF(samples!#REF!=0,"",samples!#REF!)</f>
        <v>#REF!</v>
      </c>
      <c r="L197">
        <f>IFERROR(SEARCH(search!$B$6,samples!#REF!,1),0)</f>
        <v>0</v>
      </c>
      <c r="M197" t="e">
        <f>IF(samples!#REF!=0,"",samples!#REF!)</f>
        <v>#REF!</v>
      </c>
      <c r="N197">
        <f>IFERROR(SEARCH(search!$B$6,samples!#REF!,1),0)</f>
        <v>0</v>
      </c>
      <c r="O197" t="e">
        <f>IF(samples!#REF!=0,"",samples!#REF!)</f>
        <v>#REF!</v>
      </c>
      <c r="P197">
        <f>IFERROR(SEARCH(search!$B$6,samples!#REF!,1),0)</f>
        <v>0</v>
      </c>
      <c r="Q197" t="e">
        <f>IF(samples!#REF!=0,"",samples!#REF!)</f>
        <v>#REF!</v>
      </c>
      <c r="R197">
        <f>IFERROR(SEARCH(search!$B$6,samples!#REF!,1),0)</f>
        <v>0</v>
      </c>
      <c r="S197" t="e">
        <f>IF(samples!#REF!=0,"",samples!#REF!)</f>
        <v>#REF!</v>
      </c>
      <c r="T197">
        <f>IFERROR(SEARCH(search!$B$6,samples!#REF!,1),0)</f>
        <v>0</v>
      </c>
      <c r="U197" t="e">
        <f>IF(samples!#REF!=0,"",samples!#REF!)</f>
        <v>#REF!</v>
      </c>
      <c r="V197">
        <f>IFERROR(SEARCH(search!$B$6,samples!#REF!,1),0)</f>
        <v>0</v>
      </c>
      <c r="W197" t="e">
        <f>IF(samples!#REF!=0,"",samples!#REF!)</f>
        <v>#REF!</v>
      </c>
      <c r="X197">
        <f>IFERROR(SEARCH(search!$B$6,samples!#REF!,1),0)</f>
        <v>0</v>
      </c>
      <c r="Y197" t="e">
        <f>IF(samples!#REF!=0,"",samples!#REF!)</f>
        <v>#REF!</v>
      </c>
      <c r="Z197">
        <f>IFERROR(SEARCH(search!$B$6,samples!#REF!,1),0)</f>
        <v>0</v>
      </c>
      <c r="AA197" t="e">
        <f>IF(samples!#REF!=0,"",samples!#REF!)</f>
        <v>#REF!</v>
      </c>
      <c r="AB197">
        <f>IFERROR(SEARCH(search!$B$6,samples!#REF!,1),0)</f>
        <v>0</v>
      </c>
      <c r="AC197" t="e">
        <f>IF(samples!#REF!=0,"",samples!#REF!)</f>
        <v>#REF!</v>
      </c>
      <c r="AD197">
        <f>IFERROR(SEARCH(search!$B$6,samples!#REF!,1),0)</f>
        <v>0</v>
      </c>
    </row>
    <row r="198" spans="1:30">
      <c r="A198">
        <f t="shared" si="3"/>
        <v>0</v>
      </c>
      <c r="B198">
        <f>IF(SUM(D198,F198,H198,J198,L198,N198,P198,R198,T198,V198,X198,Z198,AB198,AD198)&gt;0,SUM($A$2:A198),0)</f>
        <v>0</v>
      </c>
      <c r="C198" t="e">
        <f>samples!#REF!</f>
        <v>#REF!</v>
      </c>
      <c r="D198">
        <f>IFERROR(SEARCH(search!$B$6,samples!#REF!,1),0)</f>
        <v>0</v>
      </c>
      <c r="E198" t="e">
        <f>IF(samples!#REF!=0,"",samples!#REF!)</f>
        <v>#REF!</v>
      </c>
      <c r="F198">
        <f>IFERROR(SEARCH(search!$B$6,samples!#REF!,1),0)</f>
        <v>0</v>
      </c>
      <c r="G198" t="e">
        <f>IF(samples!#REF!=0,"",samples!#REF!)</f>
        <v>#REF!</v>
      </c>
      <c r="H198">
        <f>IFERROR(SEARCH(search!$B$6,samples!#REF!,1),0)</f>
        <v>0</v>
      </c>
      <c r="I198" t="e">
        <f>IF(samples!#REF!=0,"",samples!#REF!)</f>
        <v>#REF!</v>
      </c>
      <c r="J198">
        <f>IFERROR(SEARCH(search!$B$6,samples!#REF!,1),0)</f>
        <v>0</v>
      </c>
      <c r="K198" t="e">
        <f>IF(samples!#REF!=0,"",samples!#REF!)</f>
        <v>#REF!</v>
      </c>
      <c r="L198">
        <f>IFERROR(SEARCH(search!$B$6,samples!#REF!,1),0)</f>
        <v>0</v>
      </c>
      <c r="M198" t="e">
        <f>IF(samples!#REF!=0,"",samples!#REF!)</f>
        <v>#REF!</v>
      </c>
      <c r="N198">
        <f>IFERROR(SEARCH(search!$B$6,samples!#REF!,1),0)</f>
        <v>0</v>
      </c>
      <c r="O198" t="e">
        <f>IF(samples!#REF!=0,"",samples!#REF!)</f>
        <v>#REF!</v>
      </c>
      <c r="P198">
        <f>IFERROR(SEARCH(search!$B$6,samples!#REF!,1),0)</f>
        <v>0</v>
      </c>
      <c r="Q198" t="e">
        <f>IF(samples!#REF!=0,"",samples!#REF!)</f>
        <v>#REF!</v>
      </c>
      <c r="R198">
        <f>IFERROR(SEARCH(search!$B$6,samples!#REF!,1),0)</f>
        <v>0</v>
      </c>
      <c r="S198" t="e">
        <f>IF(samples!#REF!=0,"",samples!#REF!)</f>
        <v>#REF!</v>
      </c>
      <c r="T198">
        <f>IFERROR(SEARCH(search!$B$6,samples!#REF!,1),0)</f>
        <v>0</v>
      </c>
      <c r="U198" t="e">
        <f>IF(samples!#REF!=0,"",samples!#REF!)</f>
        <v>#REF!</v>
      </c>
      <c r="V198">
        <f>IFERROR(SEARCH(search!$B$6,samples!#REF!,1),0)</f>
        <v>0</v>
      </c>
      <c r="W198" t="e">
        <f>IF(samples!#REF!=0,"",samples!#REF!)</f>
        <v>#REF!</v>
      </c>
      <c r="X198">
        <f>IFERROR(SEARCH(search!$B$6,samples!#REF!,1),0)</f>
        <v>0</v>
      </c>
      <c r="Y198" t="e">
        <f>IF(samples!#REF!=0,"",samples!#REF!)</f>
        <v>#REF!</v>
      </c>
      <c r="Z198">
        <f>IFERROR(SEARCH(search!$B$6,samples!#REF!,1),0)</f>
        <v>0</v>
      </c>
      <c r="AA198" t="e">
        <f>IF(samples!#REF!=0,"",samples!#REF!)</f>
        <v>#REF!</v>
      </c>
      <c r="AB198">
        <f>IFERROR(SEARCH(search!$B$6,samples!#REF!,1),0)</f>
        <v>0</v>
      </c>
      <c r="AC198" t="e">
        <f>IF(samples!#REF!=0,"",samples!#REF!)</f>
        <v>#REF!</v>
      </c>
      <c r="AD198">
        <f>IFERROR(SEARCH(search!$B$6,samples!#REF!,1),0)</f>
        <v>0</v>
      </c>
    </row>
    <row r="199" spans="1:30">
      <c r="A199">
        <f t="shared" si="3"/>
        <v>0</v>
      </c>
      <c r="B199">
        <f>IF(SUM(D199,F199,H199,J199,L199,N199,P199,R199,T199,V199,X199,Z199,AB199,AD199)&gt;0,SUM($A$2:A199),0)</f>
        <v>0</v>
      </c>
      <c r="C199" t="e">
        <f>samples!#REF!</f>
        <v>#REF!</v>
      </c>
      <c r="D199">
        <f>IFERROR(SEARCH(search!$B$6,samples!#REF!,1),0)</f>
        <v>0</v>
      </c>
      <c r="E199" t="e">
        <f>IF(samples!#REF!=0,"",samples!#REF!)</f>
        <v>#REF!</v>
      </c>
      <c r="F199">
        <f>IFERROR(SEARCH(search!$B$6,samples!#REF!,1),0)</f>
        <v>0</v>
      </c>
      <c r="G199" t="e">
        <f>IF(samples!#REF!=0,"",samples!#REF!)</f>
        <v>#REF!</v>
      </c>
      <c r="H199">
        <f>IFERROR(SEARCH(search!$B$6,samples!#REF!,1),0)</f>
        <v>0</v>
      </c>
      <c r="I199" t="e">
        <f>IF(samples!#REF!=0,"",samples!#REF!)</f>
        <v>#REF!</v>
      </c>
      <c r="J199">
        <f>IFERROR(SEARCH(search!$B$6,samples!#REF!,1),0)</f>
        <v>0</v>
      </c>
      <c r="K199" t="e">
        <f>IF(samples!#REF!=0,"",samples!#REF!)</f>
        <v>#REF!</v>
      </c>
      <c r="L199">
        <f>IFERROR(SEARCH(search!$B$6,samples!#REF!,1),0)</f>
        <v>0</v>
      </c>
      <c r="M199" t="e">
        <f>IF(samples!#REF!=0,"",samples!#REF!)</f>
        <v>#REF!</v>
      </c>
      <c r="N199">
        <f>IFERROR(SEARCH(search!$B$6,samples!#REF!,1),0)</f>
        <v>0</v>
      </c>
      <c r="O199" t="e">
        <f>IF(samples!#REF!=0,"",samples!#REF!)</f>
        <v>#REF!</v>
      </c>
      <c r="P199">
        <f>IFERROR(SEARCH(search!$B$6,samples!#REF!,1),0)</f>
        <v>0</v>
      </c>
      <c r="Q199" t="e">
        <f>IF(samples!#REF!=0,"",samples!#REF!)</f>
        <v>#REF!</v>
      </c>
      <c r="R199">
        <f>IFERROR(SEARCH(search!$B$6,samples!#REF!,1),0)</f>
        <v>0</v>
      </c>
      <c r="S199" t="e">
        <f>IF(samples!#REF!=0,"",samples!#REF!)</f>
        <v>#REF!</v>
      </c>
      <c r="T199">
        <f>IFERROR(SEARCH(search!$B$6,samples!#REF!,1),0)</f>
        <v>0</v>
      </c>
      <c r="U199" t="e">
        <f>IF(samples!#REF!=0,"",samples!#REF!)</f>
        <v>#REF!</v>
      </c>
      <c r="V199">
        <f>IFERROR(SEARCH(search!$B$6,samples!#REF!,1),0)</f>
        <v>0</v>
      </c>
      <c r="W199" t="e">
        <f>IF(samples!#REF!=0,"",samples!#REF!)</f>
        <v>#REF!</v>
      </c>
      <c r="X199">
        <f>IFERROR(SEARCH(search!$B$6,samples!#REF!,1),0)</f>
        <v>0</v>
      </c>
      <c r="Y199" t="e">
        <f>IF(samples!#REF!=0,"",samples!#REF!)</f>
        <v>#REF!</v>
      </c>
      <c r="Z199">
        <f>IFERROR(SEARCH(search!$B$6,samples!#REF!,1),0)</f>
        <v>0</v>
      </c>
      <c r="AA199" t="e">
        <f>IF(samples!#REF!=0,"",samples!#REF!)</f>
        <v>#REF!</v>
      </c>
      <c r="AB199">
        <f>IFERROR(SEARCH(search!$B$6,samples!#REF!,1),0)</f>
        <v>0</v>
      </c>
      <c r="AC199" t="e">
        <f>IF(samples!#REF!=0,"",samples!#REF!)</f>
        <v>#REF!</v>
      </c>
      <c r="AD199">
        <f>IFERROR(SEARCH(search!$B$6,samples!#REF!,1),0)</f>
        <v>0</v>
      </c>
    </row>
    <row r="200" spans="1:30">
      <c r="A200">
        <f t="shared" si="3"/>
        <v>0</v>
      </c>
      <c r="B200">
        <f>IF(SUM(D200,F200,H200,J200,L200,N200,P200,R200,T200,V200,X200,Z200,AB200,AD200)&gt;0,SUM($A$2:A200),0)</f>
        <v>0</v>
      </c>
      <c r="C200" t="e">
        <f>samples!#REF!</f>
        <v>#REF!</v>
      </c>
      <c r="D200">
        <f>IFERROR(SEARCH(search!$B$6,samples!#REF!,1),0)</f>
        <v>0</v>
      </c>
      <c r="E200" t="e">
        <f>IF(samples!#REF!=0,"",samples!#REF!)</f>
        <v>#REF!</v>
      </c>
      <c r="F200">
        <f>IFERROR(SEARCH(search!$B$6,samples!#REF!,1),0)</f>
        <v>0</v>
      </c>
      <c r="G200" t="e">
        <f>IF(samples!#REF!=0,"",samples!#REF!)</f>
        <v>#REF!</v>
      </c>
      <c r="H200">
        <f>IFERROR(SEARCH(search!$B$6,samples!#REF!,1),0)</f>
        <v>0</v>
      </c>
      <c r="I200" t="e">
        <f>IF(samples!#REF!=0,"",samples!#REF!)</f>
        <v>#REF!</v>
      </c>
      <c r="J200">
        <f>IFERROR(SEARCH(search!$B$6,samples!#REF!,1),0)</f>
        <v>0</v>
      </c>
      <c r="K200" t="e">
        <f>IF(samples!#REF!=0,"",samples!#REF!)</f>
        <v>#REF!</v>
      </c>
      <c r="L200">
        <f>IFERROR(SEARCH(search!$B$6,samples!#REF!,1),0)</f>
        <v>0</v>
      </c>
      <c r="M200" t="e">
        <f>IF(samples!#REF!=0,"",samples!#REF!)</f>
        <v>#REF!</v>
      </c>
      <c r="N200">
        <f>IFERROR(SEARCH(search!$B$6,samples!#REF!,1),0)</f>
        <v>0</v>
      </c>
      <c r="O200" t="e">
        <f>IF(samples!#REF!=0,"",samples!#REF!)</f>
        <v>#REF!</v>
      </c>
      <c r="P200">
        <f>IFERROR(SEARCH(search!$B$6,samples!#REF!,1),0)</f>
        <v>0</v>
      </c>
      <c r="Q200" t="e">
        <f>IF(samples!#REF!=0,"",samples!#REF!)</f>
        <v>#REF!</v>
      </c>
      <c r="R200">
        <f>IFERROR(SEARCH(search!$B$6,samples!#REF!,1),0)</f>
        <v>0</v>
      </c>
      <c r="S200" t="e">
        <f>IF(samples!#REF!=0,"",samples!#REF!)</f>
        <v>#REF!</v>
      </c>
      <c r="T200">
        <f>IFERROR(SEARCH(search!$B$6,samples!#REF!,1),0)</f>
        <v>0</v>
      </c>
      <c r="U200" t="e">
        <f>IF(samples!#REF!=0,"",samples!#REF!)</f>
        <v>#REF!</v>
      </c>
      <c r="V200">
        <f>IFERROR(SEARCH(search!$B$6,samples!#REF!,1),0)</f>
        <v>0</v>
      </c>
      <c r="W200" t="e">
        <f>IF(samples!#REF!=0,"",samples!#REF!)</f>
        <v>#REF!</v>
      </c>
      <c r="X200">
        <f>IFERROR(SEARCH(search!$B$6,samples!#REF!,1),0)</f>
        <v>0</v>
      </c>
      <c r="Y200" t="e">
        <f>IF(samples!#REF!=0,"",samples!#REF!)</f>
        <v>#REF!</v>
      </c>
      <c r="Z200">
        <f>IFERROR(SEARCH(search!$B$6,samples!#REF!,1),0)</f>
        <v>0</v>
      </c>
      <c r="AA200" t="e">
        <f>IF(samples!#REF!=0,"",samples!#REF!)</f>
        <v>#REF!</v>
      </c>
      <c r="AB200">
        <f>IFERROR(SEARCH(search!$B$6,samples!#REF!,1),0)</f>
        <v>0</v>
      </c>
      <c r="AC200" t="e">
        <f>IF(samples!#REF!=0,"",samples!#REF!)</f>
        <v>#REF!</v>
      </c>
      <c r="AD200">
        <f>IFERROR(SEARCH(search!$B$6,samples!#REF!,1),0)</f>
        <v>0</v>
      </c>
    </row>
    <row r="201" spans="1:30">
      <c r="A201">
        <f t="shared" si="3"/>
        <v>0</v>
      </c>
      <c r="B201">
        <f>IF(SUM(D201,F201,H201,J201,L201,N201,P201,R201,T201,V201,X201,Z201,AB201,AD201)&gt;0,SUM($A$2:A201),0)</f>
        <v>0</v>
      </c>
      <c r="C201" t="e">
        <f>samples!#REF!</f>
        <v>#REF!</v>
      </c>
      <c r="D201">
        <f>IFERROR(SEARCH(search!$B$6,samples!#REF!,1),0)</f>
        <v>0</v>
      </c>
      <c r="E201" t="e">
        <f>IF(samples!#REF!=0,"",samples!#REF!)</f>
        <v>#REF!</v>
      </c>
      <c r="F201">
        <f>IFERROR(SEARCH(search!$B$6,samples!#REF!,1),0)</f>
        <v>0</v>
      </c>
      <c r="G201" t="e">
        <f>IF(samples!#REF!=0,"",samples!#REF!)</f>
        <v>#REF!</v>
      </c>
      <c r="H201">
        <f>IFERROR(SEARCH(search!$B$6,samples!#REF!,1),0)</f>
        <v>0</v>
      </c>
      <c r="I201" t="e">
        <f>IF(samples!#REF!=0,"",samples!#REF!)</f>
        <v>#REF!</v>
      </c>
      <c r="J201">
        <f>IFERROR(SEARCH(search!$B$6,samples!#REF!,1),0)</f>
        <v>0</v>
      </c>
      <c r="K201" t="e">
        <f>IF(samples!#REF!=0,"",samples!#REF!)</f>
        <v>#REF!</v>
      </c>
      <c r="L201">
        <f>IFERROR(SEARCH(search!$B$6,samples!#REF!,1),0)</f>
        <v>0</v>
      </c>
      <c r="M201" t="e">
        <f>IF(samples!#REF!=0,"",samples!#REF!)</f>
        <v>#REF!</v>
      </c>
      <c r="N201">
        <f>IFERROR(SEARCH(search!$B$6,samples!#REF!,1),0)</f>
        <v>0</v>
      </c>
      <c r="O201" t="e">
        <f>IF(samples!#REF!=0,"",samples!#REF!)</f>
        <v>#REF!</v>
      </c>
      <c r="P201">
        <f>IFERROR(SEARCH(search!$B$6,samples!#REF!,1),0)</f>
        <v>0</v>
      </c>
      <c r="Q201" t="e">
        <f>IF(samples!#REF!=0,"",samples!#REF!)</f>
        <v>#REF!</v>
      </c>
      <c r="R201">
        <f>IFERROR(SEARCH(search!$B$6,samples!#REF!,1),0)</f>
        <v>0</v>
      </c>
      <c r="S201" t="e">
        <f>IF(samples!#REF!=0,"",samples!#REF!)</f>
        <v>#REF!</v>
      </c>
      <c r="T201">
        <f>IFERROR(SEARCH(search!$B$6,samples!#REF!,1),0)</f>
        <v>0</v>
      </c>
      <c r="U201" t="e">
        <f>IF(samples!#REF!=0,"",samples!#REF!)</f>
        <v>#REF!</v>
      </c>
      <c r="V201">
        <f>IFERROR(SEARCH(search!$B$6,samples!#REF!,1),0)</f>
        <v>0</v>
      </c>
      <c r="W201" t="e">
        <f>IF(samples!#REF!=0,"",samples!#REF!)</f>
        <v>#REF!</v>
      </c>
      <c r="X201">
        <f>IFERROR(SEARCH(search!$B$6,samples!#REF!,1),0)</f>
        <v>0</v>
      </c>
      <c r="Y201" t="e">
        <f>IF(samples!#REF!=0,"",samples!#REF!)</f>
        <v>#REF!</v>
      </c>
      <c r="Z201">
        <f>IFERROR(SEARCH(search!$B$6,samples!#REF!,1),0)</f>
        <v>0</v>
      </c>
      <c r="AA201" t="e">
        <f>IF(samples!#REF!=0,"",samples!#REF!)</f>
        <v>#REF!</v>
      </c>
      <c r="AB201">
        <f>IFERROR(SEARCH(search!$B$6,samples!#REF!,1),0)</f>
        <v>0</v>
      </c>
      <c r="AC201" t="e">
        <f>IF(samples!#REF!=0,"",samples!#REF!)</f>
        <v>#REF!</v>
      </c>
      <c r="AD201">
        <f>IFERROR(SEARCH(search!$B$6,samples!#REF!,1),0)</f>
        <v>0</v>
      </c>
    </row>
    <row r="202" spans="1:30">
      <c r="A202">
        <f t="shared" si="3"/>
        <v>0</v>
      </c>
      <c r="B202">
        <f>IF(SUM(D202,F202,H202,J202,L202,N202,P202,R202,T202,V202,X202,Z202,AB202,AD202)&gt;0,SUM($A$2:A202),0)</f>
        <v>0</v>
      </c>
      <c r="C202" t="e">
        <f>samples!#REF!</f>
        <v>#REF!</v>
      </c>
      <c r="D202">
        <f>IFERROR(SEARCH(search!$B$6,samples!#REF!,1),0)</f>
        <v>0</v>
      </c>
      <c r="E202" t="e">
        <f>IF(samples!#REF!=0,"",samples!#REF!)</f>
        <v>#REF!</v>
      </c>
      <c r="F202">
        <f>IFERROR(SEARCH(search!$B$6,samples!#REF!,1),0)</f>
        <v>0</v>
      </c>
      <c r="G202" t="e">
        <f>IF(samples!#REF!=0,"",samples!#REF!)</f>
        <v>#REF!</v>
      </c>
      <c r="H202">
        <f>IFERROR(SEARCH(search!$B$6,samples!#REF!,1),0)</f>
        <v>0</v>
      </c>
      <c r="I202" t="e">
        <f>IF(samples!#REF!=0,"",samples!#REF!)</f>
        <v>#REF!</v>
      </c>
      <c r="J202">
        <f>IFERROR(SEARCH(search!$B$6,samples!#REF!,1),0)</f>
        <v>0</v>
      </c>
      <c r="K202" t="e">
        <f>IF(samples!#REF!=0,"",samples!#REF!)</f>
        <v>#REF!</v>
      </c>
      <c r="L202">
        <f>IFERROR(SEARCH(search!$B$6,samples!#REF!,1),0)</f>
        <v>0</v>
      </c>
      <c r="M202" t="e">
        <f>IF(samples!#REF!=0,"",samples!#REF!)</f>
        <v>#REF!</v>
      </c>
      <c r="N202">
        <f>IFERROR(SEARCH(search!$B$6,samples!#REF!,1),0)</f>
        <v>0</v>
      </c>
      <c r="O202" t="e">
        <f>IF(samples!#REF!=0,"",samples!#REF!)</f>
        <v>#REF!</v>
      </c>
      <c r="P202">
        <f>IFERROR(SEARCH(search!$B$6,samples!#REF!,1),0)</f>
        <v>0</v>
      </c>
      <c r="Q202" t="e">
        <f>IF(samples!#REF!=0,"",samples!#REF!)</f>
        <v>#REF!</v>
      </c>
      <c r="R202">
        <f>IFERROR(SEARCH(search!$B$6,samples!#REF!,1),0)</f>
        <v>0</v>
      </c>
      <c r="S202" t="e">
        <f>IF(samples!#REF!=0,"",samples!#REF!)</f>
        <v>#REF!</v>
      </c>
      <c r="T202">
        <f>IFERROR(SEARCH(search!$B$6,samples!#REF!,1),0)</f>
        <v>0</v>
      </c>
      <c r="U202" t="e">
        <f>IF(samples!#REF!=0,"",samples!#REF!)</f>
        <v>#REF!</v>
      </c>
      <c r="V202">
        <f>IFERROR(SEARCH(search!$B$6,samples!#REF!,1),0)</f>
        <v>0</v>
      </c>
      <c r="W202" t="e">
        <f>IF(samples!#REF!=0,"",samples!#REF!)</f>
        <v>#REF!</v>
      </c>
      <c r="X202">
        <f>IFERROR(SEARCH(search!$B$6,samples!#REF!,1),0)</f>
        <v>0</v>
      </c>
      <c r="Y202" t="e">
        <f>IF(samples!#REF!=0,"",samples!#REF!)</f>
        <v>#REF!</v>
      </c>
      <c r="Z202">
        <f>IFERROR(SEARCH(search!$B$6,samples!#REF!,1),0)</f>
        <v>0</v>
      </c>
      <c r="AA202" t="e">
        <f>IF(samples!#REF!=0,"",samples!#REF!)</f>
        <v>#REF!</v>
      </c>
      <c r="AB202">
        <f>IFERROR(SEARCH(search!$B$6,samples!#REF!,1),0)</f>
        <v>0</v>
      </c>
      <c r="AC202" t="e">
        <f>IF(samples!#REF!=0,"",samples!#REF!)</f>
        <v>#REF!</v>
      </c>
      <c r="AD202">
        <f>IFERROR(SEARCH(search!$B$6,samples!#REF!,1),0)</f>
        <v>0</v>
      </c>
    </row>
    <row r="203" spans="1:30">
      <c r="A203">
        <f t="shared" si="3"/>
        <v>0</v>
      </c>
      <c r="B203">
        <f>IF(SUM(D203,F203,H203,J203,L203,N203,P203,R203,T203,V203,X203,Z203,AB203,AD203)&gt;0,SUM($A$2:A203),0)</f>
        <v>0</v>
      </c>
      <c r="C203" t="e">
        <f>samples!#REF!</f>
        <v>#REF!</v>
      </c>
      <c r="D203">
        <f>IFERROR(SEARCH(search!$B$6,samples!#REF!,1),0)</f>
        <v>0</v>
      </c>
      <c r="E203" t="e">
        <f>IF(samples!#REF!=0,"",samples!#REF!)</f>
        <v>#REF!</v>
      </c>
      <c r="F203">
        <f>IFERROR(SEARCH(search!$B$6,samples!#REF!,1),0)</f>
        <v>0</v>
      </c>
      <c r="G203" t="e">
        <f>IF(samples!#REF!=0,"",samples!#REF!)</f>
        <v>#REF!</v>
      </c>
      <c r="H203">
        <f>IFERROR(SEARCH(search!$B$6,samples!#REF!,1),0)</f>
        <v>0</v>
      </c>
      <c r="I203" t="e">
        <f>IF(samples!#REF!=0,"",samples!#REF!)</f>
        <v>#REF!</v>
      </c>
      <c r="J203">
        <f>IFERROR(SEARCH(search!$B$6,samples!#REF!,1),0)</f>
        <v>0</v>
      </c>
      <c r="K203" t="e">
        <f>IF(samples!#REF!=0,"",samples!#REF!)</f>
        <v>#REF!</v>
      </c>
      <c r="L203">
        <f>IFERROR(SEARCH(search!$B$6,samples!#REF!,1),0)</f>
        <v>0</v>
      </c>
      <c r="M203" t="e">
        <f>IF(samples!#REF!=0,"",samples!#REF!)</f>
        <v>#REF!</v>
      </c>
      <c r="N203">
        <f>IFERROR(SEARCH(search!$B$6,samples!#REF!,1),0)</f>
        <v>0</v>
      </c>
      <c r="O203" t="e">
        <f>IF(samples!#REF!=0,"",samples!#REF!)</f>
        <v>#REF!</v>
      </c>
      <c r="P203">
        <f>IFERROR(SEARCH(search!$B$6,samples!#REF!,1),0)</f>
        <v>0</v>
      </c>
      <c r="Q203" t="e">
        <f>IF(samples!#REF!=0,"",samples!#REF!)</f>
        <v>#REF!</v>
      </c>
      <c r="R203">
        <f>IFERROR(SEARCH(search!$B$6,samples!#REF!,1),0)</f>
        <v>0</v>
      </c>
      <c r="S203" t="e">
        <f>IF(samples!#REF!=0,"",samples!#REF!)</f>
        <v>#REF!</v>
      </c>
      <c r="T203">
        <f>IFERROR(SEARCH(search!$B$6,samples!#REF!,1),0)</f>
        <v>0</v>
      </c>
      <c r="U203" t="e">
        <f>IF(samples!#REF!=0,"",samples!#REF!)</f>
        <v>#REF!</v>
      </c>
      <c r="V203">
        <f>IFERROR(SEARCH(search!$B$6,samples!#REF!,1),0)</f>
        <v>0</v>
      </c>
      <c r="W203" t="e">
        <f>IF(samples!#REF!=0,"",samples!#REF!)</f>
        <v>#REF!</v>
      </c>
      <c r="X203">
        <f>IFERROR(SEARCH(search!$B$6,samples!#REF!,1),0)</f>
        <v>0</v>
      </c>
      <c r="Y203" t="e">
        <f>IF(samples!#REF!=0,"",samples!#REF!)</f>
        <v>#REF!</v>
      </c>
      <c r="Z203">
        <f>IFERROR(SEARCH(search!$B$6,samples!#REF!,1),0)</f>
        <v>0</v>
      </c>
      <c r="AA203" t="e">
        <f>IF(samples!#REF!=0,"",samples!#REF!)</f>
        <v>#REF!</v>
      </c>
      <c r="AB203">
        <f>IFERROR(SEARCH(search!$B$6,samples!#REF!,1),0)</f>
        <v>0</v>
      </c>
      <c r="AC203" t="e">
        <f>IF(samples!#REF!=0,"",samples!#REF!)</f>
        <v>#REF!</v>
      </c>
      <c r="AD203">
        <f>IFERROR(SEARCH(search!$B$6,samples!#REF!,1),0)</f>
        <v>0</v>
      </c>
    </row>
    <row r="204" spans="1:30">
      <c r="A204">
        <f t="shared" si="3"/>
        <v>0</v>
      </c>
      <c r="B204">
        <f>IF(SUM(D204,F204,H204,J204,L204,N204,P204,R204,T204,V204,X204,Z204,AB204,AD204)&gt;0,SUM($A$2:A204),0)</f>
        <v>0</v>
      </c>
      <c r="C204" t="e">
        <f>samples!#REF!</f>
        <v>#REF!</v>
      </c>
      <c r="D204">
        <f>IFERROR(SEARCH(search!$B$6,samples!#REF!,1),0)</f>
        <v>0</v>
      </c>
      <c r="E204" t="e">
        <f>IF(samples!#REF!=0,"",samples!#REF!)</f>
        <v>#REF!</v>
      </c>
      <c r="F204">
        <f>IFERROR(SEARCH(search!$B$6,samples!#REF!,1),0)</f>
        <v>0</v>
      </c>
      <c r="G204" t="e">
        <f>IF(samples!#REF!=0,"",samples!#REF!)</f>
        <v>#REF!</v>
      </c>
      <c r="H204">
        <f>IFERROR(SEARCH(search!$B$6,samples!#REF!,1),0)</f>
        <v>0</v>
      </c>
      <c r="I204" t="e">
        <f>IF(samples!#REF!=0,"",samples!#REF!)</f>
        <v>#REF!</v>
      </c>
      <c r="J204">
        <f>IFERROR(SEARCH(search!$B$6,samples!#REF!,1),0)</f>
        <v>0</v>
      </c>
      <c r="K204" t="e">
        <f>IF(samples!#REF!=0,"",samples!#REF!)</f>
        <v>#REF!</v>
      </c>
      <c r="L204">
        <f>IFERROR(SEARCH(search!$B$6,samples!#REF!,1),0)</f>
        <v>0</v>
      </c>
      <c r="M204" t="e">
        <f>IF(samples!#REF!=0,"",samples!#REF!)</f>
        <v>#REF!</v>
      </c>
      <c r="N204">
        <f>IFERROR(SEARCH(search!$B$6,samples!#REF!,1),0)</f>
        <v>0</v>
      </c>
      <c r="O204" t="e">
        <f>IF(samples!#REF!=0,"",samples!#REF!)</f>
        <v>#REF!</v>
      </c>
      <c r="P204">
        <f>IFERROR(SEARCH(search!$B$6,samples!#REF!,1),0)</f>
        <v>0</v>
      </c>
      <c r="Q204" t="e">
        <f>IF(samples!#REF!=0,"",samples!#REF!)</f>
        <v>#REF!</v>
      </c>
      <c r="R204">
        <f>IFERROR(SEARCH(search!$B$6,samples!#REF!,1),0)</f>
        <v>0</v>
      </c>
      <c r="S204" t="e">
        <f>IF(samples!#REF!=0,"",samples!#REF!)</f>
        <v>#REF!</v>
      </c>
      <c r="T204">
        <f>IFERROR(SEARCH(search!$B$6,samples!#REF!,1),0)</f>
        <v>0</v>
      </c>
      <c r="U204" t="e">
        <f>IF(samples!#REF!=0,"",samples!#REF!)</f>
        <v>#REF!</v>
      </c>
      <c r="V204">
        <f>IFERROR(SEARCH(search!$B$6,samples!#REF!,1),0)</f>
        <v>0</v>
      </c>
      <c r="W204" t="e">
        <f>IF(samples!#REF!=0,"",samples!#REF!)</f>
        <v>#REF!</v>
      </c>
      <c r="X204">
        <f>IFERROR(SEARCH(search!$B$6,samples!#REF!,1),0)</f>
        <v>0</v>
      </c>
      <c r="Y204" t="e">
        <f>IF(samples!#REF!=0,"",samples!#REF!)</f>
        <v>#REF!</v>
      </c>
      <c r="Z204">
        <f>IFERROR(SEARCH(search!$B$6,samples!#REF!,1),0)</f>
        <v>0</v>
      </c>
      <c r="AA204" t="e">
        <f>IF(samples!#REF!=0,"",samples!#REF!)</f>
        <v>#REF!</v>
      </c>
      <c r="AB204">
        <f>IFERROR(SEARCH(search!$B$6,samples!#REF!,1),0)</f>
        <v>0</v>
      </c>
      <c r="AC204" t="e">
        <f>IF(samples!#REF!=0,"",samples!#REF!)</f>
        <v>#REF!</v>
      </c>
      <c r="AD204">
        <f>IFERROR(SEARCH(search!$B$6,samples!#REF!,1),0)</f>
        <v>0</v>
      </c>
    </row>
    <row r="205" spans="1:30">
      <c r="A205">
        <f t="shared" si="3"/>
        <v>0</v>
      </c>
      <c r="B205">
        <f>IF(SUM(D205,F205,H205,J205,L205,N205,P205,R205,T205,V205,X205,Z205,AB205,AD205)&gt;0,SUM($A$2:A205),0)</f>
        <v>0</v>
      </c>
      <c r="C205" t="e">
        <f>samples!#REF!</f>
        <v>#REF!</v>
      </c>
      <c r="D205">
        <f>IFERROR(SEARCH(search!$B$6,samples!#REF!,1),0)</f>
        <v>0</v>
      </c>
      <c r="E205" t="e">
        <f>IF(samples!#REF!=0,"",samples!#REF!)</f>
        <v>#REF!</v>
      </c>
      <c r="F205">
        <f>IFERROR(SEARCH(search!$B$6,samples!#REF!,1),0)</f>
        <v>0</v>
      </c>
      <c r="G205" t="e">
        <f>IF(samples!#REF!=0,"",samples!#REF!)</f>
        <v>#REF!</v>
      </c>
      <c r="H205">
        <f>IFERROR(SEARCH(search!$B$6,samples!#REF!,1),0)</f>
        <v>0</v>
      </c>
      <c r="I205" t="e">
        <f>IF(samples!#REF!=0,"",samples!#REF!)</f>
        <v>#REF!</v>
      </c>
      <c r="J205">
        <f>IFERROR(SEARCH(search!$B$6,samples!#REF!,1),0)</f>
        <v>0</v>
      </c>
      <c r="K205" t="e">
        <f>IF(samples!#REF!=0,"",samples!#REF!)</f>
        <v>#REF!</v>
      </c>
      <c r="L205">
        <f>IFERROR(SEARCH(search!$B$6,samples!#REF!,1),0)</f>
        <v>0</v>
      </c>
      <c r="M205" t="e">
        <f>IF(samples!#REF!=0,"",samples!#REF!)</f>
        <v>#REF!</v>
      </c>
      <c r="N205">
        <f>IFERROR(SEARCH(search!$B$6,samples!#REF!,1),0)</f>
        <v>0</v>
      </c>
      <c r="O205" t="e">
        <f>IF(samples!#REF!=0,"",samples!#REF!)</f>
        <v>#REF!</v>
      </c>
      <c r="P205">
        <f>IFERROR(SEARCH(search!$B$6,samples!#REF!,1),0)</f>
        <v>0</v>
      </c>
      <c r="Q205" t="e">
        <f>IF(samples!#REF!=0,"",samples!#REF!)</f>
        <v>#REF!</v>
      </c>
      <c r="R205">
        <f>IFERROR(SEARCH(search!$B$6,samples!#REF!,1),0)</f>
        <v>0</v>
      </c>
      <c r="S205" t="e">
        <f>IF(samples!#REF!=0,"",samples!#REF!)</f>
        <v>#REF!</v>
      </c>
      <c r="T205">
        <f>IFERROR(SEARCH(search!$B$6,samples!#REF!,1),0)</f>
        <v>0</v>
      </c>
      <c r="U205" t="e">
        <f>IF(samples!#REF!=0,"",samples!#REF!)</f>
        <v>#REF!</v>
      </c>
      <c r="V205">
        <f>IFERROR(SEARCH(search!$B$6,samples!#REF!,1),0)</f>
        <v>0</v>
      </c>
      <c r="W205" t="e">
        <f>IF(samples!#REF!=0,"",samples!#REF!)</f>
        <v>#REF!</v>
      </c>
      <c r="X205">
        <f>IFERROR(SEARCH(search!$B$6,samples!#REF!,1),0)</f>
        <v>0</v>
      </c>
      <c r="Y205" t="e">
        <f>IF(samples!#REF!=0,"",samples!#REF!)</f>
        <v>#REF!</v>
      </c>
      <c r="Z205">
        <f>IFERROR(SEARCH(search!$B$6,samples!#REF!,1),0)</f>
        <v>0</v>
      </c>
      <c r="AA205" t="e">
        <f>IF(samples!#REF!=0,"",samples!#REF!)</f>
        <v>#REF!</v>
      </c>
      <c r="AB205">
        <f>IFERROR(SEARCH(search!$B$6,samples!#REF!,1),0)</f>
        <v>0</v>
      </c>
      <c r="AC205" t="e">
        <f>IF(samples!#REF!=0,"",samples!#REF!)</f>
        <v>#REF!</v>
      </c>
      <c r="AD205">
        <f>IFERROR(SEARCH(search!$B$6,samples!#REF!,1),0)</f>
        <v>0</v>
      </c>
    </row>
    <row r="206" spans="1:30">
      <c r="A206">
        <f t="shared" si="3"/>
        <v>0</v>
      </c>
      <c r="B206">
        <f>IF(SUM(D206,F206,H206,J206,L206,N206,P206,R206,T206,V206,X206,Z206,AB206,AD206)&gt;0,SUM($A$2:A206),0)</f>
        <v>0</v>
      </c>
      <c r="C206" t="e">
        <f>samples!#REF!</f>
        <v>#REF!</v>
      </c>
      <c r="D206">
        <f>IFERROR(SEARCH(search!$B$6,samples!#REF!,1),0)</f>
        <v>0</v>
      </c>
      <c r="E206" t="e">
        <f>IF(samples!#REF!=0,"",samples!#REF!)</f>
        <v>#REF!</v>
      </c>
      <c r="F206">
        <f>IFERROR(SEARCH(search!$B$6,samples!#REF!,1),0)</f>
        <v>0</v>
      </c>
      <c r="G206" t="e">
        <f>IF(samples!#REF!=0,"",samples!#REF!)</f>
        <v>#REF!</v>
      </c>
      <c r="H206">
        <f>IFERROR(SEARCH(search!$B$6,samples!#REF!,1),0)</f>
        <v>0</v>
      </c>
      <c r="I206" t="e">
        <f>IF(samples!#REF!=0,"",samples!#REF!)</f>
        <v>#REF!</v>
      </c>
      <c r="J206">
        <f>IFERROR(SEARCH(search!$B$6,samples!#REF!,1),0)</f>
        <v>0</v>
      </c>
      <c r="K206" t="e">
        <f>IF(samples!#REF!=0,"",samples!#REF!)</f>
        <v>#REF!</v>
      </c>
      <c r="L206">
        <f>IFERROR(SEARCH(search!$B$6,samples!#REF!,1),0)</f>
        <v>0</v>
      </c>
      <c r="M206" t="e">
        <f>IF(samples!#REF!=0,"",samples!#REF!)</f>
        <v>#REF!</v>
      </c>
      <c r="N206">
        <f>IFERROR(SEARCH(search!$B$6,samples!#REF!,1),0)</f>
        <v>0</v>
      </c>
      <c r="O206" t="e">
        <f>IF(samples!#REF!=0,"",samples!#REF!)</f>
        <v>#REF!</v>
      </c>
      <c r="P206">
        <f>IFERROR(SEARCH(search!$B$6,samples!#REF!,1),0)</f>
        <v>0</v>
      </c>
      <c r="Q206" t="e">
        <f>IF(samples!#REF!=0,"",samples!#REF!)</f>
        <v>#REF!</v>
      </c>
      <c r="R206">
        <f>IFERROR(SEARCH(search!$B$6,samples!#REF!,1),0)</f>
        <v>0</v>
      </c>
      <c r="S206" t="e">
        <f>IF(samples!#REF!=0,"",samples!#REF!)</f>
        <v>#REF!</v>
      </c>
      <c r="T206">
        <f>IFERROR(SEARCH(search!$B$6,samples!#REF!,1),0)</f>
        <v>0</v>
      </c>
      <c r="U206" t="e">
        <f>IF(samples!#REF!=0,"",samples!#REF!)</f>
        <v>#REF!</v>
      </c>
      <c r="V206">
        <f>IFERROR(SEARCH(search!$B$6,samples!#REF!,1),0)</f>
        <v>0</v>
      </c>
      <c r="W206" t="e">
        <f>IF(samples!#REF!=0,"",samples!#REF!)</f>
        <v>#REF!</v>
      </c>
      <c r="X206">
        <f>IFERROR(SEARCH(search!$B$6,samples!#REF!,1),0)</f>
        <v>0</v>
      </c>
      <c r="Y206" t="e">
        <f>IF(samples!#REF!=0,"",samples!#REF!)</f>
        <v>#REF!</v>
      </c>
      <c r="Z206">
        <f>IFERROR(SEARCH(search!$B$6,samples!#REF!,1),0)</f>
        <v>0</v>
      </c>
      <c r="AA206" t="e">
        <f>IF(samples!#REF!=0,"",samples!#REF!)</f>
        <v>#REF!</v>
      </c>
      <c r="AB206">
        <f>IFERROR(SEARCH(search!$B$6,samples!#REF!,1),0)</f>
        <v>0</v>
      </c>
      <c r="AC206" t="e">
        <f>IF(samples!#REF!=0,"",samples!#REF!)</f>
        <v>#REF!</v>
      </c>
      <c r="AD206">
        <f>IFERROR(SEARCH(search!$B$6,samples!#REF!,1),0)</f>
        <v>0</v>
      </c>
    </row>
    <row r="207" spans="1:30">
      <c r="A207">
        <f t="shared" si="3"/>
        <v>0</v>
      </c>
      <c r="B207">
        <f>IF(SUM(D207,F207,H207,J207,L207,N207,P207,R207,T207,V207,X207,Z207,AB207,AD207)&gt;0,SUM($A$2:A207),0)</f>
        <v>0</v>
      </c>
      <c r="C207" t="e">
        <f>samples!#REF!</f>
        <v>#REF!</v>
      </c>
      <c r="D207">
        <f>IFERROR(SEARCH(search!$B$6,samples!#REF!,1),0)</f>
        <v>0</v>
      </c>
      <c r="E207" t="e">
        <f>IF(samples!#REF!=0,"",samples!#REF!)</f>
        <v>#REF!</v>
      </c>
      <c r="F207">
        <f>IFERROR(SEARCH(search!$B$6,samples!#REF!,1),0)</f>
        <v>0</v>
      </c>
      <c r="G207" t="e">
        <f>IF(samples!#REF!=0,"",samples!#REF!)</f>
        <v>#REF!</v>
      </c>
      <c r="H207">
        <f>IFERROR(SEARCH(search!$B$6,samples!#REF!,1),0)</f>
        <v>0</v>
      </c>
      <c r="I207" t="e">
        <f>IF(samples!#REF!=0,"",samples!#REF!)</f>
        <v>#REF!</v>
      </c>
      <c r="J207">
        <f>IFERROR(SEARCH(search!$B$6,samples!#REF!,1),0)</f>
        <v>0</v>
      </c>
      <c r="K207" t="e">
        <f>IF(samples!#REF!=0,"",samples!#REF!)</f>
        <v>#REF!</v>
      </c>
      <c r="L207">
        <f>IFERROR(SEARCH(search!$B$6,samples!#REF!,1),0)</f>
        <v>0</v>
      </c>
      <c r="M207" t="e">
        <f>IF(samples!#REF!=0,"",samples!#REF!)</f>
        <v>#REF!</v>
      </c>
      <c r="N207">
        <f>IFERROR(SEARCH(search!$B$6,samples!#REF!,1),0)</f>
        <v>0</v>
      </c>
      <c r="O207" t="e">
        <f>IF(samples!#REF!=0,"",samples!#REF!)</f>
        <v>#REF!</v>
      </c>
      <c r="P207">
        <f>IFERROR(SEARCH(search!$B$6,samples!#REF!,1),0)</f>
        <v>0</v>
      </c>
      <c r="Q207" t="e">
        <f>IF(samples!#REF!=0,"",samples!#REF!)</f>
        <v>#REF!</v>
      </c>
      <c r="R207">
        <f>IFERROR(SEARCH(search!$B$6,samples!#REF!,1),0)</f>
        <v>0</v>
      </c>
      <c r="S207" t="e">
        <f>IF(samples!#REF!=0,"",samples!#REF!)</f>
        <v>#REF!</v>
      </c>
      <c r="T207">
        <f>IFERROR(SEARCH(search!$B$6,samples!#REF!,1),0)</f>
        <v>0</v>
      </c>
      <c r="U207" t="e">
        <f>IF(samples!#REF!=0,"",samples!#REF!)</f>
        <v>#REF!</v>
      </c>
      <c r="V207">
        <f>IFERROR(SEARCH(search!$B$6,samples!#REF!,1),0)</f>
        <v>0</v>
      </c>
      <c r="W207" t="e">
        <f>IF(samples!#REF!=0,"",samples!#REF!)</f>
        <v>#REF!</v>
      </c>
      <c r="X207">
        <f>IFERROR(SEARCH(search!$B$6,samples!#REF!,1),0)</f>
        <v>0</v>
      </c>
      <c r="Y207" t="e">
        <f>IF(samples!#REF!=0,"",samples!#REF!)</f>
        <v>#REF!</v>
      </c>
      <c r="Z207">
        <f>IFERROR(SEARCH(search!$B$6,samples!#REF!,1),0)</f>
        <v>0</v>
      </c>
      <c r="AA207" t="e">
        <f>IF(samples!#REF!=0,"",samples!#REF!)</f>
        <v>#REF!</v>
      </c>
      <c r="AB207">
        <f>IFERROR(SEARCH(search!$B$6,samples!#REF!,1),0)</f>
        <v>0</v>
      </c>
      <c r="AC207" t="e">
        <f>IF(samples!#REF!=0,"",samples!#REF!)</f>
        <v>#REF!</v>
      </c>
      <c r="AD207">
        <f>IFERROR(SEARCH(search!$B$6,samples!#REF!,1),0)</f>
        <v>0</v>
      </c>
    </row>
    <row r="208" spans="1:30">
      <c r="A208">
        <f t="shared" si="3"/>
        <v>0</v>
      </c>
      <c r="B208">
        <f>IF(SUM(D208,F208,H208,J208,L208,N208,P208,R208,T208,V208,X208,Z208,AB208,AD208)&gt;0,SUM($A$2:A208),0)</f>
        <v>0</v>
      </c>
      <c r="C208" t="e">
        <f>samples!#REF!</f>
        <v>#REF!</v>
      </c>
      <c r="D208">
        <f>IFERROR(SEARCH(search!$B$6,samples!#REF!,1),0)</f>
        <v>0</v>
      </c>
      <c r="E208" t="e">
        <f>IF(samples!#REF!=0,"",samples!#REF!)</f>
        <v>#REF!</v>
      </c>
      <c r="F208">
        <f>IFERROR(SEARCH(search!$B$6,samples!#REF!,1),0)</f>
        <v>0</v>
      </c>
      <c r="G208" t="e">
        <f>IF(samples!#REF!=0,"",samples!#REF!)</f>
        <v>#REF!</v>
      </c>
      <c r="H208">
        <f>IFERROR(SEARCH(search!$B$6,samples!#REF!,1),0)</f>
        <v>0</v>
      </c>
      <c r="I208" t="e">
        <f>IF(samples!#REF!=0,"",samples!#REF!)</f>
        <v>#REF!</v>
      </c>
      <c r="J208">
        <f>IFERROR(SEARCH(search!$B$6,samples!#REF!,1),0)</f>
        <v>0</v>
      </c>
      <c r="K208" t="e">
        <f>IF(samples!#REF!=0,"",samples!#REF!)</f>
        <v>#REF!</v>
      </c>
      <c r="L208">
        <f>IFERROR(SEARCH(search!$B$6,samples!#REF!,1),0)</f>
        <v>0</v>
      </c>
      <c r="M208" t="e">
        <f>IF(samples!#REF!=0,"",samples!#REF!)</f>
        <v>#REF!</v>
      </c>
      <c r="N208">
        <f>IFERROR(SEARCH(search!$B$6,samples!#REF!,1),0)</f>
        <v>0</v>
      </c>
      <c r="O208" t="e">
        <f>IF(samples!#REF!=0,"",samples!#REF!)</f>
        <v>#REF!</v>
      </c>
      <c r="P208">
        <f>IFERROR(SEARCH(search!$B$6,samples!#REF!,1),0)</f>
        <v>0</v>
      </c>
      <c r="Q208" t="e">
        <f>IF(samples!#REF!=0,"",samples!#REF!)</f>
        <v>#REF!</v>
      </c>
      <c r="R208">
        <f>IFERROR(SEARCH(search!$B$6,samples!#REF!,1),0)</f>
        <v>0</v>
      </c>
      <c r="S208" t="e">
        <f>IF(samples!#REF!=0,"",samples!#REF!)</f>
        <v>#REF!</v>
      </c>
      <c r="T208">
        <f>IFERROR(SEARCH(search!$B$6,samples!#REF!,1),0)</f>
        <v>0</v>
      </c>
      <c r="U208" t="e">
        <f>IF(samples!#REF!=0,"",samples!#REF!)</f>
        <v>#REF!</v>
      </c>
      <c r="V208">
        <f>IFERROR(SEARCH(search!$B$6,samples!#REF!,1),0)</f>
        <v>0</v>
      </c>
      <c r="W208" t="e">
        <f>IF(samples!#REF!=0,"",samples!#REF!)</f>
        <v>#REF!</v>
      </c>
      <c r="X208">
        <f>IFERROR(SEARCH(search!$B$6,samples!#REF!,1),0)</f>
        <v>0</v>
      </c>
      <c r="Y208" t="e">
        <f>IF(samples!#REF!=0,"",samples!#REF!)</f>
        <v>#REF!</v>
      </c>
      <c r="Z208">
        <f>IFERROR(SEARCH(search!$B$6,samples!#REF!,1),0)</f>
        <v>0</v>
      </c>
      <c r="AA208" t="e">
        <f>IF(samples!#REF!=0,"",samples!#REF!)</f>
        <v>#REF!</v>
      </c>
      <c r="AB208">
        <f>IFERROR(SEARCH(search!$B$6,samples!#REF!,1),0)</f>
        <v>0</v>
      </c>
      <c r="AC208" t="e">
        <f>IF(samples!#REF!=0,"",samples!#REF!)</f>
        <v>#REF!</v>
      </c>
      <c r="AD208">
        <f>IFERROR(SEARCH(search!$B$6,samples!#REF!,1),0)</f>
        <v>0</v>
      </c>
    </row>
    <row r="209" spans="1:30">
      <c r="A209">
        <f t="shared" si="3"/>
        <v>0</v>
      </c>
      <c r="B209">
        <f>IF(SUM(D209,F209,H209,J209,L209,N209,P209,R209,T209,V209,X209,Z209,AB209,AD209)&gt;0,SUM($A$2:A209),0)</f>
        <v>0</v>
      </c>
      <c r="C209" t="e">
        <f>samples!#REF!</f>
        <v>#REF!</v>
      </c>
      <c r="D209">
        <f>IFERROR(SEARCH(search!$B$6,samples!#REF!,1),0)</f>
        <v>0</v>
      </c>
      <c r="E209" t="e">
        <f>IF(samples!#REF!=0,"",samples!#REF!)</f>
        <v>#REF!</v>
      </c>
      <c r="F209">
        <f>IFERROR(SEARCH(search!$B$6,samples!#REF!,1),0)</f>
        <v>0</v>
      </c>
      <c r="G209" t="e">
        <f>IF(samples!#REF!=0,"",samples!#REF!)</f>
        <v>#REF!</v>
      </c>
      <c r="H209">
        <f>IFERROR(SEARCH(search!$B$6,samples!#REF!,1),0)</f>
        <v>0</v>
      </c>
      <c r="I209" t="e">
        <f>IF(samples!#REF!=0,"",samples!#REF!)</f>
        <v>#REF!</v>
      </c>
      <c r="J209">
        <f>IFERROR(SEARCH(search!$B$6,samples!#REF!,1),0)</f>
        <v>0</v>
      </c>
      <c r="K209" t="e">
        <f>IF(samples!#REF!=0,"",samples!#REF!)</f>
        <v>#REF!</v>
      </c>
      <c r="L209">
        <f>IFERROR(SEARCH(search!$B$6,samples!#REF!,1),0)</f>
        <v>0</v>
      </c>
      <c r="M209" t="e">
        <f>IF(samples!#REF!=0,"",samples!#REF!)</f>
        <v>#REF!</v>
      </c>
      <c r="N209">
        <f>IFERROR(SEARCH(search!$B$6,samples!#REF!,1),0)</f>
        <v>0</v>
      </c>
      <c r="O209" t="e">
        <f>IF(samples!#REF!=0,"",samples!#REF!)</f>
        <v>#REF!</v>
      </c>
      <c r="P209">
        <f>IFERROR(SEARCH(search!$B$6,samples!#REF!,1),0)</f>
        <v>0</v>
      </c>
      <c r="Q209" t="e">
        <f>IF(samples!#REF!=0,"",samples!#REF!)</f>
        <v>#REF!</v>
      </c>
      <c r="R209">
        <f>IFERROR(SEARCH(search!$B$6,samples!#REF!,1),0)</f>
        <v>0</v>
      </c>
      <c r="S209" t="e">
        <f>IF(samples!#REF!=0,"",samples!#REF!)</f>
        <v>#REF!</v>
      </c>
      <c r="T209">
        <f>IFERROR(SEARCH(search!$B$6,samples!#REF!,1),0)</f>
        <v>0</v>
      </c>
      <c r="U209" t="e">
        <f>IF(samples!#REF!=0,"",samples!#REF!)</f>
        <v>#REF!</v>
      </c>
      <c r="V209">
        <f>IFERROR(SEARCH(search!$B$6,samples!#REF!,1),0)</f>
        <v>0</v>
      </c>
      <c r="W209" t="e">
        <f>IF(samples!#REF!=0,"",samples!#REF!)</f>
        <v>#REF!</v>
      </c>
      <c r="X209">
        <f>IFERROR(SEARCH(search!$B$6,samples!#REF!,1),0)</f>
        <v>0</v>
      </c>
      <c r="Y209" t="e">
        <f>IF(samples!#REF!=0,"",samples!#REF!)</f>
        <v>#REF!</v>
      </c>
      <c r="Z209">
        <f>IFERROR(SEARCH(search!$B$6,samples!#REF!,1),0)</f>
        <v>0</v>
      </c>
      <c r="AA209" t="e">
        <f>IF(samples!#REF!=0,"",samples!#REF!)</f>
        <v>#REF!</v>
      </c>
      <c r="AB209">
        <f>IFERROR(SEARCH(search!$B$6,samples!#REF!,1),0)</f>
        <v>0</v>
      </c>
      <c r="AC209" t="e">
        <f>IF(samples!#REF!=0,"",samples!#REF!)</f>
        <v>#REF!</v>
      </c>
      <c r="AD209">
        <f>IFERROR(SEARCH(search!$B$6,samples!#REF!,1),0)</f>
        <v>0</v>
      </c>
    </row>
    <row r="210" spans="1:30">
      <c r="A210">
        <f t="shared" si="3"/>
        <v>0</v>
      </c>
      <c r="B210">
        <f>IF(SUM(D210,F210,H210,J210,L210,N210,P210,R210,T210,V210,X210,Z210,AB210,AD210)&gt;0,SUM($A$2:A210),0)</f>
        <v>0</v>
      </c>
      <c r="C210" t="e">
        <f>samples!#REF!</f>
        <v>#REF!</v>
      </c>
      <c r="D210">
        <f>IFERROR(SEARCH(search!$B$6,samples!#REF!,1),0)</f>
        <v>0</v>
      </c>
      <c r="E210" t="e">
        <f>IF(samples!#REF!=0,"",samples!#REF!)</f>
        <v>#REF!</v>
      </c>
      <c r="F210">
        <f>IFERROR(SEARCH(search!$B$6,samples!#REF!,1),0)</f>
        <v>0</v>
      </c>
      <c r="G210" t="e">
        <f>IF(samples!#REF!=0,"",samples!#REF!)</f>
        <v>#REF!</v>
      </c>
      <c r="H210">
        <f>IFERROR(SEARCH(search!$B$6,samples!#REF!,1),0)</f>
        <v>0</v>
      </c>
      <c r="I210" t="e">
        <f>IF(samples!#REF!=0,"",samples!#REF!)</f>
        <v>#REF!</v>
      </c>
      <c r="J210">
        <f>IFERROR(SEARCH(search!$B$6,samples!#REF!,1),0)</f>
        <v>0</v>
      </c>
      <c r="K210" t="e">
        <f>IF(samples!#REF!=0,"",samples!#REF!)</f>
        <v>#REF!</v>
      </c>
      <c r="L210">
        <f>IFERROR(SEARCH(search!$B$6,samples!#REF!,1),0)</f>
        <v>0</v>
      </c>
      <c r="M210" t="e">
        <f>IF(samples!#REF!=0,"",samples!#REF!)</f>
        <v>#REF!</v>
      </c>
      <c r="N210">
        <f>IFERROR(SEARCH(search!$B$6,samples!#REF!,1),0)</f>
        <v>0</v>
      </c>
      <c r="O210" t="e">
        <f>IF(samples!#REF!=0,"",samples!#REF!)</f>
        <v>#REF!</v>
      </c>
      <c r="P210">
        <f>IFERROR(SEARCH(search!$B$6,samples!#REF!,1),0)</f>
        <v>0</v>
      </c>
      <c r="Q210" t="e">
        <f>IF(samples!#REF!=0,"",samples!#REF!)</f>
        <v>#REF!</v>
      </c>
      <c r="R210">
        <f>IFERROR(SEARCH(search!$B$6,samples!#REF!,1),0)</f>
        <v>0</v>
      </c>
      <c r="S210" t="e">
        <f>IF(samples!#REF!=0,"",samples!#REF!)</f>
        <v>#REF!</v>
      </c>
      <c r="T210">
        <f>IFERROR(SEARCH(search!$B$6,samples!#REF!,1),0)</f>
        <v>0</v>
      </c>
      <c r="U210" t="e">
        <f>IF(samples!#REF!=0,"",samples!#REF!)</f>
        <v>#REF!</v>
      </c>
      <c r="V210">
        <f>IFERROR(SEARCH(search!$B$6,samples!#REF!,1),0)</f>
        <v>0</v>
      </c>
      <c r="W210" t="e">
        <f>IF(samples!#REF!=0,"",samples!#REF!)</f>
        <v>#REF!</v>
      </c>
      <c r="X210">
        <f>IFERROR(SEARCH(search!$B$6,samples!#REF!,1),0)</f>
        <v>0</v>
      </c>
      <c r="Y210" t="e">
        <f>IF(samples!#REF!=0,"",samples!#REF!)</f>
        <v>#REF!</v>
      </c>
      <c r="Z210">
        <f>IFERROR(SEARCH(search!$B$6,samples!#REF!,1),0)</f>
        <v>0</v>
      </c>
      <c r="AA210" t="e">
        <f>IF(samples!#REF!=0,"",samples!#REF!)</f>
        <v>#REF!</v>
      </c>
      <c r="AB210">
        <f>IFERROR(SEARCH(search!$B$6,samples!#REF!,1),0)</f>
        <v>0</v>
      </c>
      <c r="AC210" t="e">
        <f>IF(samples!#REF!=0,"",samples!#REF!)</f>
        <v>#REF!</v>
      </c>
      <c r="AD210">
        <f>IFERROR(SEARCH(search!$B$6,samples!#REF!,1),0)</f>
        <v>0</v>
      </c>
    </row>
    <row r="211" spans="1:30">
      <c r="A211">
        <f t="shared" si="3"/>
        <v>0</v>
      </c>
      <c r="B211">
        <f>IF(SUM(D211,F211,H211,J211,L211,N211,P211,R211,T211,V211,X211,Z211,AB211,AD211)&gt;0,SUM($A$2:A211),0)</f>
        <v>0</v>
      </c>
      <c r="C211" t="e">
        <f>samples!#REF!</f>
        <v>#REF!</v>
      </c>
      <c r="D211">
        <f>IFERROR(SEARCH(search!$B$6,samples!#REF!,1),0)</f>
        <v>0</v>
      </c>
      <c r="E211" t="e">
        <f>IF(samples!#REF!=0,"",samples!#REF!)</f>
        <v>#REF!</v>
      </c>
      <c r="F211">
        <f>IFERROR(SEARCH(search!$B$6,samples!#REF!,1),0)</f>
        <v>0</v>
      </c>
      <c r="G211" t="e">
        <f>IF(samples!#REF!=0,"",samples!#REF!)</f>
        <v>#REF!</v>
      </c>
      <c r="H211">
        <f>IFERROR(SEARCH(search!$B$6,samples!#REF!,1),0)</f>
        <v>0</v>
      </c>
      <c r="I211" t="e">
        <f>IF(samples!#REF!=0,"",samples!#REF!)</f>
        <v>#REF!</v>
      </c>
      <c r="J211">
        <f>IFERROR(SEARCH(search!$B$6,samples!#REF!,1),0)</f>
        <v>0</v>
      </c>
      <c r="K211" t="e">
        <f>IF(samples!#REF!=0,"",samples!#REF!)</f>
        <v>#REF!</v>
      </c>
      <c r="L211">
        <f>IFERROR(SEARCH(search!$B$6,samples!#REF!,1),0)</f>
        <v>0</v>
      </c>
      <c r="M211" t="e">
        <f>IF(samples!#REF!=0,"",samples!#REF!)</f>
        <v>#REF!</v>
      </c>
      <c r="N211">
        <f>IFERROR(SEARCH(search!$B$6,samples!#REF!,1),0)</f>
        <v>0</v>
      </c>
      <c r="O211" t="e">
        <f>IF(samples!#REF!=0,"",samples!#REF!)</f>
        <v>#REF!</v>
      </c>
      <c r="P211">
        <f>IFERROR(SEARCH(search!$B$6,samples!#REF!,1),0)</f>
        <v>0</v>
      </c>
      <c r="Q211" t="e">
        <f>IF(samples!#REF!=0,"",samples!#REF!)</f>
        <v>#REF!</v>
      </c>
      <c r="R211">
        <f>IFERROR(SEARCH(search!$B$6,samples!#REF!,1),0)</f>
        <v>0</v>
      </c>
      <c r="S211" t="e">
        <f>IF(samples!#REF!=0,"",samples!#REF!)</f>
        <v>#REF!</v>
      </c>
      <c r="T211">
        <f>IFERROR(SEARCH(search!$B$6,samples!#REF!,1),0)</f>
        <v>0</v>
      </c>
      <c r="U211" t="e">
        <f>IF(samples!#REF!=0,"",samples!#REF!)</f>
        <v>#REF!</v>
      </c>
      <c r="V211">
        <f>IFERROR(SEARCH(search!$B$6,samples!#REF!,1),0)</f>
        <v>0</v>
      </c>
      <c r="W211" t="e">
        <f>IF(samples!#REF!=0,"",samples!#REF!)</f>
        <v>#REF!</v>
      </c>
      <c r="X211">
        <f>IFERROR(SEARCH(search!$B$6,samples!#REF!,1),0)</f>
        <v>0</v>
      </c>
      <c r="Y211" t="e">
        <f>IF(samples!#REF!=0,"",samples!#REF!)</f>
        <v>#REF!</v>
      </c>
      <c r="Z211">
        <f>IFERROR(SEARCH(search!$B$6,samples!#REF!,1),0)</f>
        <v>0</v>
      </c>
      <c r="AA211" t="e">
        <f>IF(samples!#REF!=0,"",samples!#REF!)</f>
        <v>#REF!</v>
      </c>
      <c r="AB211">
        <f>IFERROR(SEARCH(search!$B$6,samples!#REF!,1),0)</f>
        <v>0</v>
      </c>
      <c r="AC211" t="e">
        <f>IF(samples!#REF!=0,"",samples!#REF!)</f>
        <v>#REF!</v>
      </c>
      <c r="AD211">
        <f>IFERROR(SEARCH(search!$B$6,samples!#REF!,1),0)</f>
        <v>0</v>
      </c>
    </row>
    <row r="212" spans="1:30">
      <c r="A212">
        <f t="shared" si="3"/>
        <v>0</v>
      </c>
      <c r="B212">
        <f>IF(SUM(D212,F212,H212,J212,L212,N212,P212,R212,T212,V212,X212,Z212,AB212,AD212)&gt;0,SUM($A$2:A212),0)</f>
        <v>0</v>
      </c>
      <c r="C212" t="e">
        <f>samples!#REF!</f>
        <v>#REF!</v>
      </c>
      <c r="D212">
        <f>IFERROR(SEARCH(search!$B$6,samples!#REF!,1),0)</f>
        <v>0</v>
      </c>
      <c r="E212" t="e">
        <f>IF(samples!#REF!=0,"",samples!#REF!)</f>
        <v>#REF!</v>
      </c>
      <c r="F212">
        <f>IFERROR(SEARCH(search!$B$6,samples!#REF!,1),0)</f>
        <v>0</v>
      </c>
      <c r="G212" t="e">
        <f>IF(samples!#REF!=0,"",samples!#REF!)</f>
        <v>#REF!</v>
      </c>
      <c r="H212">
        <f>IFERROR(SEARCH(search!$B$6,samples!#REF!,1),0)</f>
        <v>0</v>
      </c>
      <c r="I212" t="e">
        <f>IF(samples!#REF!=0,"",samples!#REF!)</f>
        <v>#REF!</v>
      </c>
      <c r="J212">
        <f>IFERROR(SEARCH(search!$B$6,samples!#REF!,1),0)</f>
        <v>0</v>
      </c>
      <c r="K212" t="e">
        <f>IF(samples!#REF!=0,"",samples!#REF!)</f>
        <v>#REF!</v>
      </c>
      <c r="L212">
        <f>IFERROR(SEARCH(search!$B$6,samples!#REF!,1),0)</f>
        <v>0</v>
      </c>
      <c r="M212" t="e">
        <f>IF(samples!#REF!=0,"",samples!#REF!)</f>
        <v>#REF!</v>
      </c>
      <c r="N212">
        <f>IFERROR(SEARCH(search!$B$6,samples!#REF!,1),0)</f>
        <v>0</v>
      </c>
      <c r="O212" t="e">
        <f>IF(samples!#REF!=0,"",samples!#REF!)</f>
        <v>#REF!</v>
      </c>
      <c r="P212">
        <f>IFERROR(SEARCH(search!$B$6,samples!#REF!,1),0)</f>
        <v>0</v>
      </c>
      <c r="Q212" t="e">
        <f>IF(samples!#REF!=0,"",samples!#REF!)</f>
        <v>#REF!</v>
      </c>
      <c r="R212">
        <f>IFERROR(SEARCH(search!$B$6,samples!#REF!,1),0)</f>
        <v>0</v>
      </c>
      <c r="S212" t="e">
        <f>IF(samples!#REF!=0,"",samples!#REF!)</f>
        <v>#REF!</v>
      </c>
      <c r="T212">
        <f>IFERROR(SEARCH(search!$B$6,samples!#REF!,1),0)</f>
        <v>0</v>
      </c>
      <c r="U212" t="e">
        <f>IF(samples!#REF!=0,"",samples!#REF!)</f>
        <v>#REF!</v>
      </c>
      <c r="V212">
        <f>IFERROR(SEARCH(search!$B$6,samples!#REF!,1),0)</f>
        <v>0</v>
      </c>
      <c r="W212" t="e">
        <f>IF(samples!#REF!=0,"",samples!#REF!)</f>
        <v>#REF!</v>
      </c>
      <c r="X212">
        <f>IFERROR(SEARCH(search!$B$6,samples!#REF!,1),0)</f>
        <v>0</v>
      </c>
      <c r="Y212" t="e">
        <f>IF(samples!#REF!=0,"",samples!#REF!)</f>
        <v>#REF!</v>
      </c>
      <c r="Z212">
        <f>IFERROR(SEARCH(search!$B$6,samples!#REF!,1),0)</f>
        <v>0</v>
      </c>
      <c r="AA212" t="e">
        <f>IF(samples!#REF!=0,"",samples!#REF!)</f>
        <v>#REF!</v>
      </c>
      <c r="AB212">
        <f>IFERROR(SEARCH(search!$B$6,samples!#REF!,1),0)</f>
        <v>0</v>
      </c>
      <c r="AC212" t="e">
        <f>IF(samples!#REF!=0,"",samples!#REF!)</f>
        <v>#REF!</v>
      </c>
      <c r="AD212">
        <f>IFERROR(SEARCH(search!$B$6,samples!#REF!,1),0)</f>
        <v>0</v>
      </c>
    </row>
    <row r="213" spans="1:30">
      <c r="A213">
        <f t="shared" si="3"/>
        <v>0</v>
      </c>
      <c r="B213">
        <f>IF(SUM(D213,F213,H213,J213,L213,N213,P213,R213,T213,V213,X213,Z213,AB213,AD213)&gt;0,SUM($A$2:A213),0)</f>
        <v>0</v>
      </c>
      <c r="C213" t="e">
        <f>samples!#REF!</f>
        <v>#REF!</v>
      </c>
      <c r="D213">
        <f>IFERROR(SEARCH(search!$B$6,samples!#REF!,1),0)</f>
        <v>0</v>
      </c>
      <c r="E213" t="e">
        <f>IF(samples!#REF!=0,"",samples!#REF!)</f>
        <v>#REF!</v>
      </c>
      <c r="F213">
        <f>IFERROR(SEARCH(search!$B$6,samples!#REF!,1),0)</f>
        <v>0</v>
      </c>
      <c r="G213" t="e">
        <f>IF(samples!#REF!=0,"",samples!#REF!)</f>
        <v>#REF!</v>
      </c>
      <c r="H213">
        <f>IFERROR(SEARCH(search!$B$6,samples!#REF!,1),0)</f>
        <v>0</v>
      </c>
      <c r="I213" t="e">
        <f>IF(samples!#REF!=0,"",samples!#REF!)</f>
        <v>#REF!</v>
      </c>
      <c r="J213">
        <f>IFERROR(SEARCH(search!$B$6,samples!#REF!,1),0)</f>
        <v>0</v>
      </c>
      <c r="K213" t="e">
        <f>IF(samples!#REF!=0,"",samples!#REF!)</f>
        <v>#REF!</v>
      </c>
      <c r="L213">
        <f>IFERROR(SEARCH(search!$B$6,samples!#REF!,1),0)</f>
        <v>0</v>
      </c>
      <c r="M213" t="e">
        <f>IF(samples!#REF!=0,"",samples!#REF!)</f>
        <v>#REF!</v>
      </c>
      <c r="N213">
        <f>IFERROR(SEARCH(search!$B$6,samples!#REF!,1),0)</f>
        <v>0</v>
      </c>
      <c r="O213" t="e">
        <f>IF(samples!#REF!=0,"",samples!#REF!)</f>
        <v>#REF!</v>
      </c>
      <c r="P213">
        <f>IFERROR(SEARCH(search!$B$6,samples!#REF!,1),0)</f>
        <v>0</v>
      </c>
      <c r="Q213" t="e">
        <f>IF(samples!#REF!=0,"",samples!#REF!)</f>
        <v>#REF!</v>
      </c>
      <c r="R213">
        <f>IFERROR(SEARCH(search!$B$6,samples!#REF!,1),0)</f>
        <v>0</v>
      </c>
      <c r="S213" t="e">
        <f>IF(samples!#REF!=0,"",samples!#REF!)</f>
        <v>#REF!</v>
      </c>
      <c r="T213">
        <f>IFERROR(SEARCH(search!$B$6,samples!#REF!,1),0)</f>
        <v>0</v>
      </c>
      <c r="U213" t="e">
        <f>IF(samples!#REF!=0,"",samples!#REF!)</f>
        <v>#REF!</v>
      </c>
      <c r="V213">
        <f>IFERROR(SEARCH(search!$B$6,samples!#REF!,1),0)</f>
        <v>0</v>
      </c>
      <c r="W213" t="e">
        <f>IF(samples!#REF!=0,"",samples!#REF!)</f>
        <v>#REF!</v>
      </c>
      <c r="X213">
        <f>IFERROR(SEARCH(search!$B$6,samples!#REF!,1),0)</f>
        <v>0</v>
      </c>
      <c r="Y213" t="e">
        <f>IF(samples!#REF!=0,"",samples!#REF!)</f>
        <v>#REF!</v>
      </c>
      <c r="Z213">
        <f>IFERROR(SEARCH(search!$B$6,samples!#REF!,1),0)</f>
        <v>0</v>
      </c>
      <c r="AA213" t="e">
        <f>IF(samples!#REF!=0,"",samples!#REF!)</f>
        <v>#REF!</v>
      </c>
      <c r="AB213">
        <f>IFERROR(SEARCH(search!$B$6,samples!#REF!,1),0)</f>
        <v>0</v>
      </c>
      <c r="AC213" t="e">
        <f>IF(samples!#REF!=0,"",samples!#REF!)</f>
        <v>#REF!</v>
      </c>
      <c r="AD213">
        <f>IFERROR(SEARCH(search!$B$6,samples!#REF!,1),0)</f>
        <v>0</v>
      </c>
    </row>
    <row r="214" spans="1:30">
      <c r="A214">
        <f t="shared" si="3"/>
        <v>0</v>
      </c>
      <c r="B214">
        <f>IF(SUM(D214,F214,H214,J214,L214,N214,P214,R214,T214,V214,X214,Z214,AB214,AD214)&gt;0,SUM($A$2:A214),0)</f>
        <v>0</v>
      </c>
      <c r="C214" t="e">
        <f>samples!#REF!</f>
        <v>#REF!</v>
      </c>
      <c r="D214">
        <f>IFERROR(SEARCH(search!$B$6,samples!#REF!,1),0)</f>
        <v>0</v>
      </c>
      <c r="E214" t="e">
        <f>IF(samples!#REF!=0,"",samples!#REF!)</f>
        <v>#REF!</v>
      </c>
      <c r="F214">
        <f>IFERROR(SEARCH(search!$B$6,samples!#REF!,1),0)</f>
        <v>0</v>
      </c>
      <c r="G214" t="e">
        <f>IF(samples!#REF!=0,"",samples!#REF!)</f>
        <v>#REF!</v>
      </c>
      <c r="H214">
        <f>IFERROR(SEARCH(search!$B$6,samples!#REF!,1),0)</f>
        <v>0</v>
      </c>
      <c r="I214" t="e">
        <f>IF(samples!#REF!=0,"",samples!#REF!)</f>
        <v>#REF!</v>
      </c>
      <c r="J214">
        <f>IFERROR(SEARCH(search!$B$6,samples!#REF!,1),0)</f>
        <v>0</v>
      </c>
      <c r="K214" t="e">
        <f>IF(samples!#REF!=0,"",samples!#REF!)</f>
        <v>#REF!</v>
      </c>
      <c r="L214">
        <f>IFERROR(SEARCH(search!$B$6,samples!#REF!,1),0)</f>
        <v>0</v>
      </c>
      <c r="M214" t="e">
        <f>IF(samples!#REF!=0,"",samples!#REF!)</f>
        <v>#REF!</v>
      </c>
      <c r="N214">
        <f>IFERROR(SEARCH(search!$B$6,samples!#REF!,1),0)</f>
        <v>0</v>
      </c>
      <c r="O214" t="e">
        <f>IF(samples!#REF!=0,"",samples!#REF!)</f>
        <v>#REF!</v>
      </c>
      <c r="P214">
        <f>IFERROR(SEARCH(search!$B$6,samples!#REF!,1),0)</f>
        <v>0</v>
      </c>
      <c r="Q214" t="e">
        <f>IF(samples!#REF!=0,"",samples!#REF!)</f>
        <v>#REF!</v>
      </c>
      <c r="R214">
        <f>IFERROR(SEARCH(search!$B$6,samples!#REF!,1),0)</f>
        <v>0</v>
      </c>
      <c r="S214" t="e">
        <f>IF(samples!#REF!=0,"",samples!#REF!)</f>
        <v>#REF!</v>
      </c>
      <c r="T214">
        <f>IFERROR(SEARCH(search!$B$6,samples!#REF!,1),0)</f>
        <v>0</v>
      </c>
      <c r="U214" t="e">
        <f>IF(samples!#REF!=0,"",samples!#REF!)</f>
        <v>#REF!</v>
      </c>
      <c r="V214">
        <f>IFERROR(SEARCH(search!$B$6,samples!#REF!,1),0)</f>
        <v>0</v>
      </c>
      <c r="W214" t="e">
        <f>IF(samples!#REF!=0,"",samples!#REF!)</f>
        <v>#REF!</v>
      </c>
      <c r="X214">
        <f>IFERROR(SEARCH(search!$B$6,samples!#REF!,1),0)</f>
        <v>0</v>
      </c>
      <c r="Y214" t="e">
        <f>IF(samples!#REF!=0,"",samples!#REF!)</f>
        <v>#REF!</v>
      </c>
      <c r="Z214">
        <f>IFERROR(SEARCH(search!$B$6,samples!#REF!,1),0)</f>
        <v>0</v>
      </c>
      <c r="AA214" t="e">
        <f>IF(samples!#REF!=0,"",samples!#REF!)</f>
        <v>#REF!</v>
      </c>
      <c r="AB214">
        <f>IFERROR(SEARCH(search!$B$6,samples!#REF!,1),0)</f>
        <v>0</v>
      </c>
      <c r="AC214" t="e">
        <f>IF(samples!#REF!=0,"",samples!#REF!)</f>
        <v>#REF!</v>
      </c>
      <c r="AD214">
        <f>IFERROR(SEARCH(search!$B$6,samples!#REF!,1),0)</f>
        <v>0</v>
      </c>
    </row>
    <row r="215" spans="1:30">
      <c r="A215">
        <f t="shared" si="3"/>
        <v>0</v>
      </c>
      <c r="B215">
        <f>IF(SUM(D215,F215,H215,J215,L215,N215,P215,R215,T215,V215,X215,Z215,AB215,AD215)&gt;0,SUM($A$2:A215),0)</f>
        <v>0</v>
      </c>
      <c r="C215" t="e">
        <f>samples!#REF!</f>
        <v>#REF!</v>
      </c>
      <c r="D215">
        <f>IFERROR(SEARCH(search!$B$6,samples!#REF!,1),0)</f>
        <v>0</v>
      </c>
      <c r="E215" t="e">
        <f>IF(samples!#REF!=0,"",samples!#REF!)</f>
        <v>#REF!</v>
      </c>
      <c r="F215">
        <f>IFERROR(SEARCH(search!$B$6,samples!#REF!,1),0)</f>
        <v>0</v>
      </c>
      <c r="G215" t="e">
        <f>IF(samples!#REF!=0,"",samples!#REF!)</f>
        <v>#REF!</v>
      </c>
      <c r="H215">
        <f>IFERROR(SEARCH(search!$B$6,samples!#REF!,1),0)</f>
        <v>0</v>
      </c>
      <c r="I215" t="e">
        <f>IF(samples!#REF!=0,"",samples!#REF!)</f>
        <v>#REF!</v>
      </c>
      <c r="J215">
        <f>IFERROR(SEARCH(search!$B$6,samples!#REF!,1),0)</f>
        <v>0</v>
      </c>
      <c r="K215" t="e">
        <f>IF(samples!#REF!=0,"",samples!#REF!)</f>
        <v>#REF!</v>
      </c>
      <c r="L215">
        <f>IFERROR(SEARCH(search!$B$6,samples!#REF!,1),0)</f>
        <v>0</v>
      </c>
      <c r="M215" t="e">
        <f>IF(samples!#REF!=0,"",samples!#REF!)</f>
        <v>#REF!</v>
      </c>
      <c r="N215">
        <f>IFERROR(SEARCH(search!$B$6,samples!#REF!,1),0)</f>
        <v>0</v>
      </c>
      <c r="O215" t="e">
        <f>IF(samples!#REF!=0,"",samples!#REF!)</f>
        <v>#REF!</v>
      </c>
      <c r="P215">
        <f>IFERROR(SEARCH(search!$B$6,samples!#REF!,1),0)</f>
        <v>0</v>
      </c>
      <c r="Q215" t="e">
        <f>IF(samples!#REF!=0,"",samples!#REF!)</f>
        <v>#REF!</v>
      </c>
      <c r="R215">
        <f>IFERROR(SEARCH(search!$B$6,samples!#REF!,1),0)</f>
        <v>0</v>
      </c>
      <c r="S215" t="e">
        <f>IF(samples!#REF!=0,"",samples!#REF!)</f>
        <v>#REF!</v>
      </c>
      <c r="T215">
        <f>IFERROR(SEARCH(search!$B$6,samples!#REF!,1),0)</f>
        <v>0</v>
      </c>
      <c r="U215" t="e">
        <f>IF(samples!#REF!=0,"",samples!#REF!)</f>
        <v>#REF!</v>
      </c>
      <c r="V215">
        <f>IFERROR(SEARCH(search!$B$6,samples!#REF!,1),0)</f>
        <v>0</v>
      </c>
      <c r="W215" t="e">
        <f>IF(samples!#REF!=0,"",samples!#REF!)</f>
        <v>#REF!</v>
      </c>
      <c r="X215">
        <f>IFERROR(SEARCH(search!$B$6,samples!#REF!,1),0)</f>
        <v>0</v>
      </c>
      <c r="Y215" t="e">
        <f>IF(samples!#REF!=0,"",samples!#REF!)</f>
        <v>#REF!</v>
      </c>
      <c r="Z215">
        <f>IFERROR(SEARCH(search!$B$6,samples!#REF!,1),0)</f>
        <v>0</v>
      </c>
      <c r="AA215" t="e">
        <f>IF(samples!#REF!=0,"",samples!#REF!)</f>
        <v>#REF!</v>
      </c>
      <c r="AB215">
        <f>IFERROR(SEARCH(search!$B$6,samples!#REF!,1),0)</f>
        <v>0</v>
      </c>
      <c r="AC215" t="e">
        <f>IF(samples!#REF!=0,"",samples!#REF!)</f>
        <v>#REF!</v>
      </c>
      <c r="AD215">
        <f>IFERROR(SEARCH(search!$B$6,samples!#REF!,1),0)</f>
        <v>0</v>
      </c>
    </row>
    <row r="216" spans="1:30">
      <c r="A216">
        <f t="shared" si="3"/>
        <v>0</v>
      </c>
      <c r="B216">
        <f>IF(SUM(D216,F216,H216,J216,L216,N216,P216,R216,T216,V216,X216,Z216,AB216,AD216)&gt;0,SUM($A$2:A216),0)</f>
        <v>0</v>
      </c>
      <c r="C216" t="e">
        <f>samples!#REF!</f>
        <v>#REF!</v>
      </c>
      <c r="D216">
        <f>IFERROR(SEARCH(search!$B$6,samples!#REF!,1),0)</f>
        <v>0</v>
      </c>
      <c r="E216" t="e">
        <f>IF(samples!#REF!=0,"",samples!#REF!)</f>
        <v>#REF!</v>
      </c>
      <c r="F216">
        <f>IFERROR(SEARCH(search!$B$6,samples!#REF!,1),0)</f>
        <v>0</v>
      </c>
      <c r="G216" t="e">
        <f>IF(samples!#REF!=0,"",samples!#REF!)</f>
        <v>#REF!</v>
      </c>
      <c r="H216">
        <f>IFERROR(SEARCH(search!$B$6,samples!#REF!,1),0)</f>
        <v>0</v>
      </c>
      <c r="I216" t="e">
        <f>IF(samples!#REF!=0,"",samples!#REF!)</f>
        <v>#REF!</v>
      </c>
      <c r="J216">
        <f>IFERROR(SEARCH(search!$B$6,samples!#REF!,1),0)</f>
        <v>0</v>
      </c>
      <c r="K216" t="e">
        <f>IF(samples!#REF!=0,"",samples!#REF!)</f>
        <v>#REF!</v>
      </c>
      <c r="L216">
        <f>IFERROR(SEARCH(search!$B$6,samples!#REF!,1),0)</f>
        <v>0</v>
      </c>
      <c r="M216" t="e">
        <f>IF(samples!#REF!=0,"",samples!#REF!)</f>
        <v>#REF!</v>
      </c>
      <c r="N216">
        <f>IFERROR(SEARCH(search!$B$6,samples!#REF!,1),0)</f>
        <v>0</v>
      </c>
      <c r="O216" t="e">
        <f>IF(samples!#REF!=0,"",samples!#REF!)</f>
        <v>#REF!</v>
      </c>
      <c r="P216">
        <f>IFERROR(SEARCH(search!$B$6,samples!#REF!,1),0)</f>
        <v>0</v>
      </c>
      <c r="Q216" t="e">
        <f>IF(samples!#REF!=0,"",samples!#REF!)</f>
        <v>#REF!</v>
      </c>
      <c r="R216">
        <f>IFERROR(SEARCH(search!$B$6,samples!#REF!,1),0)</f>
        <v>0</v>
      </c>
      <c r="S216" t="e">
        <f>IF(samples!#REF!=0,"",samples!#REF!)</f>
        <v>#REF!</v>
      </c>
      <c r="T216">
        <f>IFERROR(SEARCH(search!$B$6,samples!#REF!,1),0)</f>
        <v>0</v>
      </c>
      <c r="U216" t="e">
        <f>IF(samples!#REF!=0,"",samples!#REF!)</f>
        <v>#REF!</v>
      </c>
      <c r="V216">
        <f>IFERROR(SEARCH(search!$B$6,samples!#REF!,1),0)</f>
        <v>0</v>
      </c>
      <c r="W216" t="e">
        <f>IF(samples!#REF!=0,"",samples!#REF!)</f>
        <v>#REF!</v>
      </c>
      <c r="X216">
        <f>IFERROR(SEARCH(search!$B$6,samples!#REF!,1),0)</f>
        <v>0</v>
      </c>
      <c r="Y216" t="e">
        <f>IF(samples!#REF!=0,"",samples!#REF!)</f>
        <v>#REF!</v>
      </c>
      <c r="Z216">
        <f>IFERROR(SEARCH(search!$B$6,samples!#REF!,1),0)</f>
        <v>0</v>
      </c>
      <c r="AA216" t="e">
        <f>IF(samples!#REF!=0,"",samples!#REF!)</f>
        <v>#REF!</v>
      </c>
      <c r="AB216">
        <f>IFERROR(SEARCH(search!$B$6,samples!#REF!,1),0)</f>
        <v>0</v>
      </c>
      <c r="AC216" t="e">
        <f>IF(samples!#REF!=0,"",samples!#REF!)</f>
        <v>#REF!</v>
      </c>
      <c r="AD216">
        <f>IFERROR(SEARCH(search!$B$6,samples!#REF!,1),0)</f>
        <v>0</v>
      </c>
    </row>
    <row r="217" spans="1:30">
      <c r="A217">
        <f t="shared" si="3"/>
        <v>0</v>
      </c>
      <c r="B217">
        <f>IF(SUM(D217,F217,H217,J217,L217,N217,P217,R217,T217,V217,X217,Z217,AB217,AD217)&gt;0,SUM($A$2:A217),0)</f>
        <v>0</v>
      </c>
      <c r="C217" t="e">
        <f>samples!#REF!</f>
        <v>#REF!</v>
      </c>
      <c r="D217">
        <f>IFERROR(SEARCH(search!$B$6,samples!#REF!,1),0)</f>
        <v>0</v>
      </c>
      <c r="E217" t="e">
        <f>IF(samples!#REF!=0,"",samples!#REF!)</f>
        <v>#REF!</v>
      </c>
      <c r="F217">
        <f>IFERROR(SEARCH(search!$B$6,samples!#REF!,1),0)</f>
        <v>0</v>
      </c>
      <c r="G217" t="e">
        <f>IF(samples!#REF!=0,"",samples!#REF!)</f>
        <v>#REF!</v>
      </c>
      <c r="H217">
        <f>IFERROR(SEARCH(search!$B$6,samples!#REF!,1),0)</f>
        <v>0</v>
      </c>
      <c r="I217" t="e">
        <f>IF(samples!#REF!=0,"",samples!#REF!)</f>
        <v>#REF!</v>
      </c>
      <c r="J217">
        <f>IFERROR(SEARCH(search!$B$6,samples!#REF!,1),0)</f>
        <v>0</v>
      </c>
      <c r="K217" t="e">
        <f>IF(samples!#REF!=0,"",samples!#REF!)</f>
        <v>#REF!</v>
      </c>
      <c r="L217">
        <f>IFERROR(SEARCH(search!$B$6,samples!#REF!,1),0)</f>
        <v>0</v>
      </c>
      <c r="M217" t="e">
        <f>IF(samples!#REF!=0,"",samples!#REF!)</f>
        <v>#REF!</v>
      </c>
      <c r="N217">
        <f>IFERROR(SEARCH(search!$B$6,samples!#REF!,1),0)</f>
        <v>0</v>
      </c>
      <c r="O217" t="e">
        <f>IF(samples!#REF!=0,"",samples!#REF!)</f>
        <v>#REF!</v>
      </c>
      <c r="P217">
        <f>IFERROR(SEARCH(search!$B$6,samples!#REF!,1),0)</f>
        <v>0</v>
      </c>
      <c r="Q217" t="e">
        <f>IF(samples!#REF!=0,"",samples!#REF!)</f>
        <v>#REF!</v>
      </c>
      <c r="R217">
        <f>IFERROR(SEARCH(search!$B$6,samples!#REF!,1),0)</f>
        <v>0</v>
      </c>
      <c r="S217" t="e">
        <f>IF(samples!#REF!=0,"",samples!#REF!)</f>
        <v>#REF!</v>
      </c>
      <c r="T217">
        <f>IFERROR(SEARCH(search!$B$6,samples!#REF!,1),0)</f>
        <v>0</v>
      </c>
      <c r="U217" t="e">
        <f>IF(samples!#REF!=0,"",samples!#REF!)</f>
        <v>#REF!</v>
      </c>
      <c r="V217">
        <f>IFERROR(SEARCH(search!$B$6,samples!#REF!,1),0)</f>
        <v>0</v>
      </c>
      <c r="W217" t="e">
        <f>IF(samples!#REF!=0,"",samples!#REF!)</f>
        <v>#REF!</v>
      </c>
      <c r="X217">
        <f>IFERROR(SEARCH(search!$B$6,samples!#REF!,1),0)</f>
        <v>0</v>
      </c>
      <c r="Y217" t="e">
        <f>IF(samples!#REF!=0,"",samples!#REF!)</f>
        <v>#REF!</v>
      </c>
      <c r="Z217">
        <f>IFERROR(SEARCH(search!$B$6,samples!#REF!,1),0)</f>
        <v>0</v>
      </c>
      <c r="AA217" t="e">
        <f>IF(samples!#REF!=0,"",samples!#REF!)</f>
        <v>#REF!</v>
      </c>
      <c r="AB217">
        <f>IFERROR(SEARCH(search!$B$6,samples!#REF!,1),0)</f>
        <v>0</v>
      </c>
      <c r="AC217" t="e">
        <f>IF(samples!#REF!=0,"",samples!#REF!)</f>
        <v>#REF!</v>
      </c>
      <c r="AD217">
        <f>IFERROR(SEARCH(search!$B$6,samples!#REF!,1),0)</f>
        <v>0</v>
      </c>
    </row>
    <row r="218" spans="1:30">
      <c r="A218">
        <f t="shared" si="3"/>
        <v>0</v>
      </c>
      <c r="B218">
        <f>IF(SUM(D218,F218,H218,J218,L218,N218,P218,R218,T218,V218,X218,Z218,AB218,AD218)&gt;0,SUM($A$2:A218),0)</f>
        <v>0</v>
      </c>
      <c r="C218" t="e">
        <f>samples!#REF!</f>
        <v>#REF!</v>
      </c>
      <c r="D218">
        <f>IFERROR(SEARCH(search!$B$6,samples!#REF!,1),0)</f>
        <v>0</v>
      </c>
      <c r="E218" t="e">
        <f>IF(samples!#REF!=0,"",samples!#REF!)</f>
        <v>#REF!</v>
      </c>
      <c r="F218">
        <f>IFERROR(SEARCH(search!$B$6,samples!#REF!,1),0)</f>
        <v>0</v>
      </c>
      <c r="G218" t="e">
        <f>IF(samples!#REF!=0,"",samples!#REF!)</f>
        <v>#REF!</v>
      </c>
      <c r="H218">
        <f>IFERROR(SEARCH(search!$B$6,samples!#REF!,1),0)</f>
        <v>0</v>
      </c>
      <c r="I218" t="e">
        <f>IF(samples!#REF!=0,"",samples!#REF!)</f>
        <v>#REF!</v>
      </c>
      <c r="J218">
        <f>IFERROR(SEARCH(search!$B$6,samples!#REF!,1),0)</f>
        <v>0</v>
      </c>
      <c r="K218" t="e">
        <f>IF(samples!#REF!=0,"",samples!#REF!)</f>
        <v>#REF!</v>
      </c>
      <c r="L218">
        <f>IFERROR(SEARCH(search!$B$6,samples!#REF!,1),0)</f>
        <v>0</v>
      </c>
      <c r="M218" t="e">
        <f>IF(samples!#REF!=0,"",samples!#REF!)</f>
        <v>#REF!</v>
      </c>
      <c r="N218">
        <f>IFERROR(SEARCH(search!$B$6,samples!#REF!,1),0)</f>
        <v>0</v>
      </c>
      <c r="O218" t="e">
        <f>IF(samples!#REF!=0,"",samples!#REF!)</f>
        <v>#REF!</v>
      </c>
      <c r="P218">
        <f>IFERROR(SEARCH(search!$B$6,samples!#REF!,1),0)</f>
        <v>0</v>
      </c>
      <c r="Q218" t="e">
        <f>IF(samples!#REF!=0,"",samples!#REF!)</f>
        <v>#REF!</v>
      </c>
      <c r="R218">
        <f>IFERROR(SEARCH(search!$B$6,samples!#REF!,1),0)</f>
        <v>0</v>
      </c>
      <c r="S218" t="e">
        <f>IF(samples!#REF!=0,"",samples!#REF!)</f>
        <v>#REF!</v>
      </c>
      <c r="T218">
        <f>IFERROR(SEARCH(search!$B$6,samples!#REF!,1),0)</f>
        <v>0</v>
      </c>
      <c r="U218" t="e">
        <f>IF(samples!#REF!=0,"",samples!#REF!)</f>
        <v>#REF!</v>
      </c>
      <c r="V218">
        <f>IFERROR(SEARCH(search!$B$6,samples!#REF!,1),0)</f>
        <v>0</v>
      </c>
      <c r="W218" t="e">
        <f>IF(samples!#REF!=0,"",samples!#REF!)</f>
        <v>#REF!</v>
      </c>
      <c r="X218">
        <f>IFERROR(SEARCH(search!$B$6,samples!#REF!,1),0)</f>
        <v>0</v>
      </c>
      <c r="Y218" t="e">
        <f>IF(samples!#REF!=0,"",samples!#REF!)</f>
        <v>#REF!</v>
      </c>
      <c r="Z218">
        <f>IFERROR(SEARCH(search!$B$6,samples!#REF!,1),0)</f>
        <v>0</v>
      </c>
      <c r="AA218" t="e">
        <f>IF(samples!#REF!=0,"",samples!#REF!)</f>
        <v>#REF!</v>
      </c>
      <c r="AB218">
        <f>IFERROR(SEARCH(search!$B$6,samples!#REF!,1),0)</f>
        <v>0</v>
      </c>
      <c r="AC218" t="e">
        <f>IF(samples!#REF!=0,"",samples!#REF!)</f>
        <v>#REF!</v>
      </c>
      <c r="AD218">
        <f>IFERROR(SEARCH(search!$B$6,samples!#REF!,1),0)</f>
        <v>0</v>
      </c>
    </row>
    <row r="219" spans="1:30">
      <c r="A219">
        <f t="shared" si="3"/>
        <v>0</v>
      </c>
      <c r="B219">
        <f>IF(SUM(D219,F219,H219,J219,L219,N219,P219,R219,T219,V219,X219,Z219,AB219,AD219)&gt;0,SUM($A$2:A219),0)</f>
        <v>0</v>
      </c>
      <c r="C219" t="e">
        <f>samples!#REF!</f>
        <v>#REF!</v>
      </c>
      <c r="D219">
        <f>IFERROR(SEARCH(search!$B$6,samples!#REF!,1),0)</f>
        <v>0</v>
      </c>
      <c r="E219" t="e">
        <f>IF(samples!#REF!=0,"",samples!#REF!)</f>
        <v>#REF!</v>
      </c>
      <c r="F219">
        <f>IFERROR(SEARCH(search!$B$6,samples!#REF!,1),0)</f>
        <v>0</v>
      </c>
      <c r="G219" t="e">
        <f>IF(samples!#REF!=0,"",samples!#REF!)</f>
        <v>#REF!</v>
      </c>
      <c r="H219">
        <f>IFERROR(SEARCH(search!$B$6,samples!#REF!,1),0)</f>
        <v>0</v>
      </c>
      <c r="I219" t="e">
        <f>IF(samples!#REF!=0,"",samples!#REF!)</f>
        <v>#REF!</v>
      </c>
      <c r="J219">
        <f>IFERROR(SEARCH(search!$B$6,samples!#REF!,1),0)</f>
        <v>0</v>
      </c>
      <c r="K219" t="e">
        <f>IF(samples!#REF!=0,"",samples!#REF!)</f>
        <v>#REF!</v>
      </c>
      <c r="L219">
        <f>IFERROR(SEARCH(search!$B$6,samples!#REF!,1),0)</f>
        <v>0</v>
      </c>
      <c r="M219" t="e">
        <f>IF(samples!#REF!=0,"",samples!#REF!)</f>
        <v>#REF!</v>
      </c>
      <c r="N219">
        <f>IFERROR(SEARCH(search!$B$6,samples!#REF!,1),0)</f>
        <v>0</v>
      </c>
      <c r="O219" t="e">
        <f>IF(samples!#REF!=0,"",samples!#REF!)</f>
        <v>#REF!</v>
      </c>
      <c r="P219">
        <f>IFERROR(SEARCH(search!$B$6,samples!#REF!,1),0)</f>
        <v>0</v>
      </c>
      <c r="Q219" t="e">
        <f>IF(samples!#REF!=0,"",samples!#REF!)</f>
        <v>#REF!</v>
      </c>
      <c r="R219">
        <f>IFERROR(SEARCH(search!$B$6,samples!#REF!,1),0)</f>
        <v>0</v>
      </c>
      <c r="S219" t="e">
        <f>IF(samples!#REF!=0,"",samples!#REF!)</f>
        <v>#REF!</v>
      </c>
      <c r="T219">
        <f>IFERROR(SEARCH(search!$B$6,samples!#REF!,1),0)</f>
        <v>0</v>
      </c>
      <c r="U219" t="e">
        <f>IF(samples!#REF!=0,"",samples!#REF!)</f>
        <v>#REF!</v>
      </c>
      <c r="V219">
        <f>IFERROR(SEARCH(search!$B$6,samples!#REF!,1),0)</f>
        <v>0</v>
      </c>
      <c r="W219" t="e">
        <f>IF(samples!#REF!=0,"",samples!#REF!)</f>
        <v>#REF!</v>
      </c>
      <c r="X219">
        <f>IFERROR(SEARCH(search!$B$6,samples!#REF!,1),0)</f>
        <v>0</v>
      </c>
      <c r="Y219" t="e">
        <f>IF(samples!#REF!=0,"",samples!#REF!)</f>
        <v>#REF!</v>
      </c>
      <c r="Z219">
        <f>IFERROR(SEARCH(search!$B$6,samples!#REF!,1),0)</f>
        <v>0</v>
      </c>
      <c r="AA219" t="e">
        <f>IF(samples!#REF!=0,"",samples!#REF!)</f>
        <v>#REF!</v>
      </c>
      <c r="AB219">
        <f>IFERROR(SEARCH(search!$B$6,samples!#REF!,1),0)</f>
        <v>0</v>
      </c>
      <c r="AC219" t="e">
        <f>IF(samples!#REF!=0,"",samples!#REF!)</f>
        <v>#REF!</v>
      </c>
      <c r="AD219">
        <f>IFERROR(SEARCH(search!$B$6,samples!#REF!,1),0)</f>
        <v>0</v>
      </c>
    </row>
    <row r="220" spans="1:30">
      <c r="A220">
        <f t="shared" si="3"/>
        <v>0</v>
      </c>
      <c r="B220">
        <f>IF(SUM(D220,F220,H220,J220,L220,N220,P220,R220,T220,V220,X220,Z220,AB220,AD220)&gt;0,SUM($A$2:A220),0)</f>
        <v>0</v>
      </c>
      <c r="C220" t="e">
        <f>samples!#REF!</f>
        <v>#REF!</v>
      </c>
      <c r="D220">
        <f>IFERROR(SEARCH(search!$B$6,samples!#REF!,1),0)</f>
        <v>0</v>
      </c>
      <c r="E220" t="e">
        <f>IF(samples!#REF!=0,"",samples!#REF!)</f>
        <v>#REF!</v>
      </c>
      <c r="F220">
        <f>IFERROR(SEARCH(search!$B$6,samples!#REF!,1),0)</f>
        <v>0</v>
      </c>
      <c r="G220" t="e">
        <f>IF(samples!#REF!=0,"",samples!#REF!)</f>
        <v>#REF!</v>
      </c>
      <c r="H220">
        <f>IFERROR(SEARCH(search!$B$6,samples!#REF!,1),0)</f>
        <v>0</v>
      </c>
      <c r="I220" t="e">
        <f>IF(samples!#REF!=0,"",samples!#REF!)</f>
        <v>#REF!</v>
      </c>
      <c r="J220">
        <f>IFERROR(SEARCH(search!$B$6,samples!#REF!,1),0)</f>
        <v>0</v>
      </c>
      <c r="K220" t="e">
        <f>IF(samples!#REF!=0,"",samples!#REF!)</f>
        <v>#REF!</v>
      </c>
      <c r="L220">
        <f>IFERROR(SEARCH(search!$B$6,samples!#REF!,1),0)</f>
        <v>0</v>
      </c>
      <c r="M220" t="e">
        <f>IF(samples!#REF!=0,"",samples!#REF!)</f>
        <v>#REF!</v>
      </c>
      <c r="N220">
        <f>IFERROR(SEARCH(search!$B$6,samples!#REF!,1),0)</f>
        <v>0</v>
      </c>
      <c r="O220" t="e">
        <f>IF(samples!#REF!=0,"",samples!#REF!)</f>
        <v>#REF!</v>
      </c>
      <c r="P220">
        <f>IFERROR(SEARCH(search!$B$6,samples!#REF!,1),0)</f>
        <v>0</v>
      </c>
      <c r="Q220" t="e">
        <f>IF(samples!#REF!=0,"",samples!#REF!)</f>
        <v>#REF!</v>
      </c>
      <c r="R220">
        <f>IFERROR(SEARCH(search!$B$6,samples!#REF!,1),0)</f>
        <v>0</v>
      </c>
      <c r="S220" t="e">
        <f>IF(samples!#REF!=0,"",samples!#REF!)</f>
        <v>#REF!</v>
      </c>
      <c r="T220">
        <f>IFERROR(SEARCH(search!$B$6,samples!#REF!,1),0)</f>
        <v>0</v>
      </c>
      <c r="U220" t="e">
        <f>IF(samples!#REF!=0,"",samples!#REF!)</f>
        <v>#REF!</v>
      </c>
      <c r="V220">
        <f>IFERROR(SEARCH(search!$B$6,samples!#REF!,1),0)</f>
        <v>0</v>
      </c>
      <c r="W220" t="e">
        <f>IF(samples!#REF!=0,"",samples!#REF!)</f>
        <v>#REF!</v>
      </c>
      <c r="X220">
        <f>IFERROR(SEARCH(search!$B$6,samples!#REF!,1),0)</f>
        <v>0</v>
      </c>
      <c r="Y220" t="e">
        <f>IF(samples!#REF!=0,"",samples!#REF!)</f>
        <v>#REF!</v>
      </c>
      <c r="Z220">
        <f>IFERROR(SEARCH(search!$B$6,samples!#REF!,1),0)</f>
        <v>0</v>
      </c>
      <c r="AA220" t="e">
        <f>IF(samples!#REF!=0,"",samples!#REF!)</f>
        <v>#REF!</v>
      </c>
      <c r="AB220">
        <f>IFERROR(SEARCH(search!$B$6,samples!#REF!,1),0)</f>
        <v>0</v>
      </c>
      <c r="AC220" t="e">
        <f>IF(samples!#REF!=0,"",samples!#REF!)</f>
        <v>#REF!</v>
      </c>
      <c r="AD220">
        <f>IFERROR(SEARCH(search!$B$6,samples!#REF!,1),0)</f>
        <v>0</v>
      </c>
    </row>
    <row r="221" spans="1:30">
      <c r="A221">
        <f t="shared" si="3"/>
        <v>0</v>
      </c>
      <c r="B221">
        <f>IF(SUM(D221,F221,H221,J221,L221,N221,P221,R221,T221,V221,X221,Z221,AB221,AD221)&gt;0,SUM($A$2:A221),0)</f>
        <v>0</v>
      </c>
      <c r="C221" t="e">
        <f>samples!#REF!</f>
        <v>#REF!</v>
      </c>
      <c r="D221">
        <f>IFERROR(SEARCH(search!$B$6,samples!#REF!,1),0)</f>
        <v>0</v>
      </c>
      <c r="E221" t="e">
        <f>IF(samples!#REF!=0,"",samples!#REF!)</f>
        <v>#REF!</v>
      </c>
      <c r="F221">
        <f>IFERROR(SEARCH(search!$B$6,samples!#REF!,1),0)</f>
        <v>0</v>
      </c>
      <c r="G221" t="e">
        <f>IF(samples!#REF!=0,"",samples!#REF!)</f>
        <v>#REF!</v>
      </c>
      <c r="H221">
        <f>IFERROR(SEARCH(search!$B$6,samples!#REF!,1),0)</f>
        <v>0</v>
      </c>
      <c r="I221" t="e">
        <f>IF(samples!#REF!=0,"",samples!#REF!)</f>
        <v>#REF!</v>
      </c>
      <c r="J221">
        <f>IFERROR(SEARCH(search!$B$6,samples!#REF!,1),0)</f>
        <v>0</v>
      </c>
      <c r="K221" t="e">
        <f>IF(samples!#REF!=0,"",samples!#REF!)</f>
        <v>#REF!</v>
      </c>
      <c r="L221">
        <f>IFERROR(SEARCH(search!$B$6,samples!#REF!,1),0)</f>
        <v>0</v>
      </c>
      <c r="M221" t="e">
        <f>IF(samples!#REF!=0,"",samples!#REF!)</f>
        <v>#REF!</v>
      </c>
      <c r="N221">
        <f>IFERROR(SEARCH(search!$B$6,samples!#REF!,1),0)</f>
        <v>0</v>
      </c>
      <c r="O221" t="e">
        <f>IF(samples!#REF!=0,"",samples!#REF!)</f>
        <v>#REF!</v>
      </c>
      <c r="P221">
        <f>IFERROR(SEARCH(search!$B$6,samples!#REF!,1),0)</f>
        <v>0</v>
      </c>
      <c r="Q221" t="e">
        <f>IF(samples!#REF!=0,"",samples!#REF!)</f>
        <v>#REF!</v>
      </c>
      <c r="R221">
        <f>IFERROR(SEARCH(search!$B$6,samples!#REF!,1),0)</f>
        <v>0</v>
      </c>
      <c r="S221" t="e">
        <f>IF(samples!#REF!=0,"",samples!#REF!)</f>
        <v>#REF!</v>
      </c>
      <c r="T221">
        <f>IFERROR(SEARCH(search!$B$6,samples!#REF!,1),0)</f>
        <v>0</v>
      </c>
      <c r="U221" t="e">
        <f>IF(samples!#REF!=0,"",samples!#REF!)</f>
        <v>#REF!</v>
      </c>
      <c r="V221">
        <f>IFERROR(SEARCH(search!$B$6,samples!#REF!,1),0)</f>
        <v>0</v>
      </c>
      <c r="W221" t="e">
        <f>IF(samples!#REF!=0,"",samples!#REF!)</f>
        <v>#REF!</v>
      </c>
      <c r="X221">
        <f>IFERROR(SEARCH(search!$B$6,samples!#REF!,1),0)</f>
        <v>0</v>
      </c>
      <c r="Y221" t="e">
        <f>IF(samples!#REF!=0,"",samples!#REF!)</f>
        <v>#REF!</v>
      </c>
      <c r="Z221">
        <f>IFERROR(SEARCH(search!$B$6,samples!#REF!,1),0)</f>
        <v>0</v>
      </c>
      <c r="AA221" t="e">
        <f>IF(samples!#REF!=0,"",samples!#REF!)</f>
        <v>#REF!</v>
      </c>
      <c r="AB221">
        <f>IFERROR(SEARCH(search!$B$6,samples!#REF!,1),0)</f>
        <v>0</v>
      </c>
      <c r="AC221" t="e">
        <f>IF(samples!#REF!=0,"",samples!#REF!)</f>
        <v>#REF!</v>
      </c>
      <c r="AD221">
        <f>IFERROR(SEARCH(search!$B$6,samples!#REF!,1),0)</f>
        <v>0</v>
      </c>
    </row>
    <row r="222" spans="1:30">
      <c r="A222">
        <f t="shared" si="3"/>
        <v>0</v>
      </c>
      <c r="B222">
        <f>IF(SUM(D222,F222,H222,J222,L222,N222,P222,R222,T222,V222,X222,Z222,AB222,AD222)&gt;0,SUM($A$2:A222),0)</f>
        <v>0</v>
      </c>
      <c r="C222" t="e">
        <f>samples!#REF!</f>
        <v>#REF!</v>
      </c>
      <c r="D222">
        <f>IFERROR(SEARCH(search!$B$6,samples!#REF!,1),0)</f>
        <v>0</v>
      </c>
      <c r="E222" t="e">
        <f>IF(samples!#REF!=0,"",samples!#REF!)</f>
        <v>#REF!</v>
      </c>
      <c r="F222">
        <f>IFERROR(SEARCH(search!$B$6,samples!#REF!,1),0)</f>
        <v>0</v>
      </c>
      <c r="G222" t="e">
        <f>IF(samples!#REF!=0,"",samples!#REF!)</f>
        <v>#REF!</v>
      </c>
      <c r="H222">
        <f>IFERROR(SEARCH(search!$B$6,samples!#REF!,1),0)</f>
        <v>0</v>
      </c>
      <c r="I222" t="e">
        <f>IF(samples!#REF!=0,"",samples!#REF!)</f>
        <v>#REF!</v>
      </c>
      <c r="J222">
        <f>IFERROR(SEARCH(search!$B$6,samples!#REF!,1),0)</f>
        <v>0</v>
      </c>
      <c r="K222" t="e">
        <f>IF(samples!#REF!=0,"",samples!#REF!)</f>
        <v>#REF!</v>
      </c>
      <c r="L222">
        <f>IFERROR(SEARCH(search!$B$6,samples!#REF!,1),0)</f>
        <v>0</v>
      </c>
      <c r="M222" t="e">
        <f>IF(samples!#REF!=0,"",samples!#REF!)</f>
        <v>#REF!</v>
      </c>
      <c r="N222">
        <f>IFERROR(SEARCH(search!$B$6,samples!#REF!,1),0)</f>
        <v>0</v>
      </c>
      <c r="O222" t="e">
        <f>IF(samples!#REF!=0,"",samples!#REF!)</f>
        <v>#REF!</v>
      </c>
      <c r="P222">
        <f>IFERROR(SEARCH(search!$B$6,samples!#REF!,1),0)</f>
        <v>0</v>
      </c>
      <c r="Q222" t="e">
        <f>IF(samples!#REF!=0,"",samples!#REF!)</f>
        <v>#REF!</v>
      </c>
      <c r="R222">
        <f>IFERROR(SEARCH(search!$B$6,samples!#REF!,1),0)</f>
        <v>0</v>
      </c>
      <c r="S222" t="e">
        <f>IF(samples!#REF!=0,"",samples!#REF!)</f>
        <v>#REF!</v>
      </c>
      <c r="T222">
        <f>IFERROR(SEARCH(search!$B$6,samples!#REF!,1),0)</f>
        <v>0</v>
      </c>
      <c r="U222" t="e">
        <f>IF(samples!#REF!=0,"",samples!#REF!)</f>
        <v>#REF!</v>
      </c>
      <c r="V222">
        <f>IFERROR(SEARCH(search!$B$6,samples!#REF!,1),0)</f>
        <v>0</v>
      </c>
      <c r="W222" t="e">
        <f>IF(samples!#REF!=0,"",samples!#REF!)</f>
        <v>#REF!</v>
      </c>
      <c r="X222">
        <f>IFERROR(SEARCH(search!$B$6,samples!#REF!,1),0)</f>
        <v>0</v>
      </c>
      <c r="Y222" t="e">
        <f>IF(samples!#REF!=0,"",samples!#REF!)</f>
        <v>#REF!</v>
      </c>
      <c r="Z222">
        <f>IFERROR(SEARCH(search!$B$6,samples!#REF!,1),0)</f>
        <v>0</v>
      </c>
      <c r="AA222" t="e">
        <f>IF(samples!#REF!=0,"",samples!#REF!)</f>
        <v>#REF!</v>
      </c>
      <c r="AB222">
        <f>IFERROR(SEARCH(search!$B$6,samples!#REF!,1),0)</f>
        <v>0</v>
      </c>
      <c r="AC222" t="e">
        <f>IF(samples!#REF!=0,"",samples!#REF!)</f>
        <v>#REF!</v>
      </c>
      <c r="AD222">
        <f>IFERROR(SEARCH(search!$B$6,samples!#REF!,1),0)</f>
        <v>0</v>
      </c>
    </row>
    <row r="223" spans="1:30">
      <c r="A223">
        <f t="shared" si="3"/>
        <v>0</v>
      </c>
      <c r="B223">
        <f>IF(SUM(D223,F223,H223,J223,L223,N223,P223,R223,T223,V223,X223,Z223,AB223,AD223)&gt;0,SUM($A$2:A223),0)</f>
        <v>0</v>
      </c>
      <c r="C223" t="e">
        <f>samples!#REF!</f>
        <v>#REF!</v>
      </c>
      <c r="D223">
        <f>IFERROR(SEARCH(search!$B$6,samples!#REF!,1),0)</f>
        <v>0</v>
      </c>
      <c r="E223" t="e">
        <f>IF(samples!#REF!=0,"",samples!#REF!)</f>
        <v>#REF!</v>
      </c>
      <c r="F223">
        <f>IFERROR(SEARCH(search!$B$6,samples!#REF!,1),0)</f>
        <v>0</v>
      </c>
      <c r="G223" t="e">
        <f>IF(samples!#REF!=0,"",samples!#REF!)</f>
        <v>#REF!</v>
      </c>
      <c r="H223">
        <f>IFERROR(SEARCH(search!$B$6,samples!#REF!,1),0)</f>
        <v>0</v>
      </c>
      <c r="I223" t="e">
        <f>IF(samples!#REF!=0,"",samples!#REF!)</f>
        <v>#REF!</v>
      </c>
      <c r="J223">
        <f>IFERROR(SEARCH(search!$B$6,samples!#REF!,1),0)</f>
        <v>0</v>
      </c>
      <c r="K223" t="e">
        <f>IF(samples!#REF!=0,"",samples!#REF!)</f>
        <v>#REF!</v>
      </c>
      <c r="L223">
        <f>IFERROR(SEARCH(search!$B$6,samples!#REF!,1),0)</f>
        <v>0</v>
      </c>
      <c r="M223" t="e">
        <f>IF(samples!#REF!=0,"",samples!#REF!)</f>
        <v>#REF!</v>
      </c>
      <c r="N223">
        <f>IFERROR(SEARCH(search!$B$6,samples!#REF!,1),0)</f>
        <v>0</v>
      </c>
      <c r="O223" t="e">
        <f>IF(samples!#REF!=0,"",samples!#REF!)</f>
        <v>#REF!</v>
      </c>
      <c r="P223">
        <f>IFERROR(SEARCH(search!$B$6,samples!#REF!,1),0)</f>
        <v>0</v>
      </c>
      <c r="Q223" t="e">
        <f>IF(samples!#REF!=0,"",samples!#REF!)</f>
        <v>#REF!</v>
      </c>
      <c r="R223">
        <f>IFERROR(SEARCH(search!$B$6,samples!#REF!,1),0)</f>
        <v>0</v>
      </c>
      <c r="S223" t="e">
        <f>IF(samples!#REF!=0,"",samples!#REF!)</f>
        <v>#REF!</v>
      </c>
      <c r="T223">
        <f>IFERROR(SEARCH(search!$B$6,samples!#REF!,1),0)</f>
        <v>0</v>
      </c>
      <c r="U223" t="e">
        <f>IF(samples!#REF!=0,"",samples!#REF!)</f>
        <v>#REF!</v>
      </c>
      <c r="V223">
        <f>IFERROR(SEARCH(search!$B$6,samples!#REF!,1),0)</f>
        <v>0</v>
      </c>
      <c r="W223" t="e">
        <f>IF(samples!#REF!=0,"",samples!#REF!)</f>
        <v>#REF!</v>
      </c>
      <c r="X223">
        <f>IFERROR(SEARCH(search!$B$6,samples!#REF!,1),0)</f>
        <v>0</v>
      </c>
      <c r="Y223" t="e">
        <f>IF(samples!#REF!=0,"",samples!#REF!)</f>
        <v>#REF!</v>
      </c>
      <c r="Z223">
        <f>IFERROR(SEARCH(search!$B$6,samples!#REF!,1),0)</f>
        <v>0</v>
      </c>
      <c r="AA223" t="e">
        <f>IF(samples!#REF!=0,"",samples!#REF!)</f>
        <v>#REF!</v>
      </c>
      <c r="AB223">
        <f>IFERROR(SEARCH(search!$B$6,samples!#REF!,1),0)</f>
        <v>0</v>
      </c>
      <c r="AC223" t="e">
        <f>IF(samples!#REF!=0,"",samples!#REF!)</f>
        <v>#REF!</v>
      </c>
      <c r="AD223">
        <f>IFERROR(SEARCH(search!$B$6,samples!#REF!,1),0)</f>
        <v>0</v>
      </c>
    </row>
    <row r="224" spans="1:30">
      <c r="A224">
        <f t="shared" si="3"/>
        <v>0</v>
      </c>
      <c r="B224">
        <f>IF(SUM(D224,F224,H224,J224,L224,N224,P224,R224,T224,V224,X224,Z224,AB224,AD224)&gt;0,SUM($A$2:A224),0)</f>
        <v>0</v>
      </c>
      <c r="C224" t="e">
        <f>samples!#REF!</f>
        <v>#REF!</v>
      </c>
      <c r="D224">
        <f>IFERROR(SEARCH(search!$B$6,samples!#REF!,1),0)</f>
        <v>0</v>
      </c>
      <c r="E224" t="e">
        <f>IF(samples!#REF!=0,"",samples!#REF!)</f>
        <v>#REF!</v>
      </c>
      <c r="F224">
        <f>IFERROR(SEARCH(search!$B$6,samples!#REF!,1),0)</f>
        <v>0</v>
      </c>
      <c r="G224" t="e">
        <f>IF(samples!#REF!=0,"",samples!#REF!)</f>
        <v>#REF!</v>
      </c>
      <c r="H224">
        <f>IFERROR(SEARCH(search!$B$6,samples!#REF!,1),0)</f>
        <v>0</v>
      </c>
      <c r="I224" t="e">
        <f>IF(samples!#REF!=0,"",samples!#REF!)</f>
        <v>#REF!</v>
      </c>
      <c r="J224">
        <f>IFERROR(SEARCH(search!$B$6,samples!#REF!,1),0)</f>
        <v>0</v>
      </c>
      <c r="K224" t="e">
        <f>IF(samples!#REF!=0,"",samples!#REF!)</f>
        <v>#REF!</v>
      </c>
      <c r="L224">
        <f>IFERROR(SEARCH(search!$B$6,samples!#REF!,1),0)</f>
        <v>0</v>
      </c>
      <c r="M224" t="e">
        <f>IF(samples!#REF!=0,"",samples!#REF!)</f>
        <v>#REF!</v>
      </c>
      <c r="N224">
        <f>IFERROR(SEARCH(search!$B$6,samples!#REF!,1),0)</f>
        <v>0</v>
      </c>
      <c r="O224" t="e">
        <f>IF(samples!#REF!=0,"",samples!#REF!)</f>
        <v>#REF!</v>
      </c>
      <c r="P224">
        <f>IFERROR(SEARCH(search!$B$6,samples!#REF!,1),0)</f>
        <v>0</v>
      </c>
      <c r="Q224" t="e">
        <f>IF(samples!#REF!=0,"",samples!#REF!)</f>
        <v>#REF!</v>
      </c>
      <c r="R224">
        <f>IFERROR(SEARCH(search!$B$6,samples!#REF!,1),0)</f>
        <v>0</v>
      </c>
      <c r="S224" t="e">
        <f>IF(samples!#REF!=0,"",samples!#REF!)</f>
        <v>#REF!</v>
      </c>
      <c r="T224">
        <f>IFERROR(SEARCH(search!$B$6,samples!#REF!,1),0)</f>
        <v>0</v>
      </c>
      <c r="U224" t="e">
        <f>IF(samples!#REF!=0,"",samples!#REF!)</f>
        <v>#REF!</v>
      </c>
      <c r="V224">
        <f>IFERROR(SEARCH(search!$B$6,samples!#REF!,1),0)</f>
        <v>0</v>
      </c>
      <c r="W224" t="e">
        <f>IF(samples!#REF!=0,"",samples!#REF!)</f>
        <v>#REF!</v>
      </c>
      <c r="X224">
        <f>IFERROR(SEARCH(search!$B$6,samples!#REF!,1),0)</f>
        <v>0</v>
      </c>
      <c r="Y224" t="e">
        <f>IF(samples!#REF!=0,"",samples!#REF!)</f>
        <v>#REF!</v>
      </c>
      <c r="Z224">
        <f>IFERROR(SEARCH(search!$B$6,samples!#REF!,1),0)</f>
        <v>0</v>
      </c>
      <c r="AA224" t="e">
        <f>IF(samples!#REF!=0,"",samples!#REF!)</f>
        <v>#REF!</v>
      </c>
      <c r="AB224">
        <f>IFERROR(SEARCH(search!$B$6,samples!#REF!,1),0)</f>
        <v>0</v>
      </c>
      <c r="AC224" t="e">
        <f>IF(samples!#REF!=0,"",samples!#REF!)</f>
        <v>#REF!</v>
      </c>
      <c r="AD224">
        <f>IFERROR(SEARCH(search!$B$6,samples!#REF!,1),0)</f>
        <v>0</v>
      </c>
    </row>
    <row r="225" spans="1:30">
      <c r="A225">
        <f t="shared" si="3"/>
        <v>0</v>
      </c>
      <c r="B225">
        <f>IF(SUM(D225,F225,H225,J225,L225,N225,P225,R225,T225,V225,X225,Z225,AB225,AD225)&gt;0,SUM($A$2:A225),0)</f>
        <v>0</v>
      </c>
      <c r="C225" t="e">
        <f>samples!#REF!</f>
        <v>#REF!</v>
      </c>
      <c r="D225">
        <f>IFERROR(SEARCH(search!$B$6,samples!#REF!,1),0)</f>
        <v>0</v>
      </c>
      <c r="E225" t="e">
        <f>IF(samples!#REF!=0,"",samples!#REF!)</f>
        <v>#REF!</v>
      </c>
      <c r="F225">
        <f>IFERROR(SEARCH(search!$B$6,samples!#REF!,1),0)</f>
        <v>0</v>
      </c>
      <c r="G225" t="e">
        <f>IF(samples!#REF!=0,"",samples!#REF!)</f>
        <v>#REF!</v>
      </c>
      <c r="H225">
        <f>IFERROR(SEARCH(search!$B$6,samples!#REF!,1),0)</f>
        <v>0</v>
      </c>
      <c r="I225" t="e">
        <f>IF(samples!#REF!=0,"",samples!#REF!)</f>
        <v>#REF!</v>
      </c>
      <c r="J225">
        <f>IFERROR(SEARCH(search!$B$6,samples!#REF!,1),0)</f>
        <v>0</v>
      </c>
      <c r="K225" t="e">
        <f>IF(samples!#REF!=0,"",samples!#REF!)</f>
        <v>#REF!</v>
      </c>
      <c r="L225">
        <f>IFERROR(SEARCH(search!$B$6,samples!#REF!,1),0)</f>
        <v>0</v>
      </c>
      <c r="M225" t="e">
        <f>IF(samples!#REF!=0,"",samples!#REF!)</f>
        <v>#REF!</v>
      </c>
      <c r="N225">
        <f>IFERROR(SEARCH(search!$B$6,samples!#REF!,1),0)</f>
        <v>0</v>
      </c>
      <c r="O225" t="e">
        <f>IF(samples!#REF!=0,"",samples!#REF!)</f>
        <v>#REF!</v>
      </c>
      <c r="P225">
        <f>IFERROR(SEARCH(search!$B$6,samples!#REF!,1),0)</f>
        <v>0</v>
      </c>
      <c r="Q225" t="e">
        <f>IF(samples!#REF!=0,"",samples!#REF!)</f>
        <v>#REF!</v>
      </c>
      <c r="R225">
        <f>IFERROR(SEARCH(search!$B$6,samples!#REF!,1),0)</f>
        <v>0</v>
      </c>
      <c r="S225" t="e">
        <f>IF(samples!#REF!=0,"",samples!#REF!)</f>
        <v>#REF!</v>
      </c>
      <c r="T225">
        <f>IFERROR(SEARCH(search!$B$6,samples!#REF!,1),0)</f>
        <v>0</v>
      </c>
      <c r="U225" t="e">
        <f>IF(samples!#REF!=0,"",samples!#REF!)</f>
        <v>#REF!</v>
      </c>
      <c r="V225">
        <f>IFERROR(SEARCH(search!$B$6,samples!#REF!,1),0)</f>
        <v>0</v>
      </c>
      <c r="W225" t="e">
        <f>IF(samples!#REF!=0,"",samples!#REF!)</f>
        <v>#REF!</v>
      </c>
      <c r="X225">
        <f>IFERROR(SEARCH(search!$B$6,samples!#REF!,1),0)</f>
        <v>0</v>
      </c>
      <c r="Y225" t="e">
        <f>IF(samples!#REF!=0,"",samples!#REF!)</f>
        <v>#REF!</v>
      </c>
      <c r="Z225">
        <f>IFERROR(SEARCH(search!$B$6,samples!#REF!,1),0)</f>
        <v>0</v>
      </c>
      <c r="AA225" t="e">
        <f>IF(samples!#REF!=0,"",samples!#REF!)</f>
        <v>#REF!</v>
      </c>
      <c r="AB225">
        <f>IFERROR(SEARCH(search!$B$6,samples!#REF!,1),0)</f>
        <v>0</v>
      </c>
      <c r="AC225" t="e">
        <f>IF(samples!#REF!=0,"",samples!#REF!)</f>
        <v>#REF!</v>
      </c>
      <c r="AD225">
        <f>IFERROR(SEARCH(search!$B$6,samples!#REF!,1),0)</f>
        <v>0</v>
      </c>
    </row>
    <row r="226" spans="1:30">
      <c r="A226">
        <f t="shared" si="3"/>
        <v>0</v>
      </c>
      <c r="B226">
        <f>IF(SUM(D226,F226,H226,J226,L226,N226,P226,R226,T226,V226,X226,Z226,AB226,AD226)&gt;0,SUM($A$2:A226),0)</f>
        <v>0</v>
      </c>
      <c r="C226" t="e">
        <f>samples!#REF!</f>
        <v>#REF!</v>
      </c>
      <c r="D226">
        <f>IFERROR(SEARCH(search!$B$6,samples!#REF!,1),0)</f>
        <v>0</v>
      </c>
      <c r="E226" t="e">
        <f>IF(samples!#REF!=0,"",samples!#REF!)</f>
        <v>#REF!</v>
      </c>
      <c r="F226">
        <f>IFERROR(SEARCH(search!$B$6,samples!#REF!,1),0)</f>
        <v>0</v>
      </c>
      <c r="G226" t="e">
        <f>IF(samples!#REF!=0,"",samples!#REF!)</f>
        <v>#REF!</v>
      </c>
      <c r="H226">
        <f>IFERROR(SEARCH(search!$B$6,samples!#REF!,1),0)</f>
        <v>0</v>
      </c>
      <c r="I226" t="e">
        <f>IF(samples!#REF!=0,"",samples!#REF!)</f>
        <v>#REF!</v>
      </c>
      <c r="J226">
        <f>IFERROR(SEARCH(search!$B$6,samples!#REF!,1),0)</f>
        <v>0</v>
      </c>
      <c r="K226" t="e">
        <f>IF(samples!#REF!=0,"",samples!#REF!)</f>
        <v>#REF!</v>
      </c>
      <c r="L226">
        <f>IFERROR(SEARCH(search!$B$6,samples!#REF!,1),0)</f>
        <v>0</v>
      </c>
      <c r="M226" t="e">
        <f>IF(samples!#REF!=0,"",samples!#REF!)</f>
        <v>#REF!</v>
      </c>
      <c r="N226">
        <f>IFERROR(SEARCH(search!$B$6,samples!#REF!,1),0)</f>
        <v>0</v>
      </c>
      <c r="O226" t="e">
        <f>IF(samples!#REF!=0,"",samples!#REF!)</f>
        <v>#REF!</v>
      </c>
      <c r="P226">
        <f>IFERROR(SEARCH(search!$B$6,samples!#REF!,1),0)</f>
        <v>0</v>
      </c>
      <c r="Q226" t="e">
        <f>IF(samples!#REF!=0,"",samples!#REF!)</f>
        <v>#REF!</v>
      </c>
      <c r="R226">
        <f>IFERROR(SEARCH(search!$B$6,samples!#REF!,1),0)</f>
        <v>0</v>
      </c>
      <c r="S226" t="e">
        <f>IF(samples!#REF!=0,"",samples!#REF!)</f>
        <v>#REF!</v>
      </c>
      <c r="T226">
        <f>IFERROR(SEARCH(search!$B$6,samples!#REF!,1),0)</f>
        <v>0</v>
      </c>
      <c r="U226" t="e">
        <f>IF(samples!#REF!=0,"",samples!#REF!)</f>
        <v>#REF!</v>
      </c>
      <c r="V226">
        <f>IFERROR(SEARCH(search!$B$6,samples!#REF!,1),0)</f>
        <v>0</v>
      </c>
      <c r="W226" t="e">
        <f>IF(samples!#REF!=0,"",samples!#REF!)</f>
        <v>#REF!</v>
      </c>
      <c r="X226">
        <f>IFERROR(SEARCH(search!$B$6,samples!#REF!,1),0)</f>
        <v>0</v>
      </c>
      <c r="Y226" t="e">
        <f>IF(samples!#REF!=0,"",samples!#REF!)</f>
        <v>#REF!</v>
      </c>
      <c r="Z226">
        <f>IFERROR(SEARCH(search!$B$6,samples!#REF!,1),0)</f>
        <v>0</v>
      </c>
      <c r="AA226" t="e">
        <f>IF(samples!#REF!=0,"",samples!#REF!)</f>
        <v>#REF!</v>
      </c>
      <c r="AB226">
        <f>IFERROR(SEARCH(search!$B$6,samples!#REF!,1),0)</f>
        <v>0</v>
      </c>
      <c r="AC226" t="e">
        <f>IF(samples!#REF!=0,"",samples!#REF!)</f>
        <v>#REF!</v>
      </c>
      <c r="AD226">
        <f>IFERROR(SEARCH(search!$B$6,samples!#REF!,1),0)</f>
        <v>0</v>
      </c>
    </row>
    <row r="227" spans="1:30">
      <c r="A227">
        <f t="shared" si="3"/>
        <v>0</v>
      </c>
      <c r="B227">
        <f>IF(SUM(D227,F227,H227,J227,L227,N227,P227,R227,T227,V227,X227,Z227,AB227,AD227)&gt;0,SUM($A$2:A227),0)</f>
        <v>0</v>
      </c>
      <c r="C227" t="e">
        <f>samples!#REF!</f>
        <v>#REF!</v>
      </c>
      <c r="D227">
        <f>IFERROR(SEARCH(search!$B$6,samples!#REF!,1),0)</f>
        <v>0</v>
      </c>
      <c r="E227" t="e">
        <f>IF(samples!#REF!=0,"",samples!#REF!)</f>
        <v>#REF!</v>
      </c>
      <c r="F227">
        <f>IFERROR(SEARCH(search!$B$6,samples!#REF!,1),0)</f>
        <v>0</v>
      </c>
      <c r="G227" t="e">
        <f>IF(samples!#REF!=0,"",samples!#REF!)</f>
        <v>#REF!</v>
      </c>
      <c r="H227">
        <f>IFERROR(SEARCH(search!$B$6,samples!#REF!,1),0)</f>
        <v>0</v>
      </c>
      <c r="I227" t="e">
        <f>IF(samples!#REF!=0,"",samples!#REF!)</f>
        <v>#REF!</v>
      </c>
      <c r="J227">
        <f>IFERROR(SEARCH(search!$B$6,samples!#REF!,1),0)</f>
        <v>0</v>
      </c>
      <c r="K227" t="e">
        <f>IF(samples!#REF!=0,"",samples!#REF!)</f>
        <v>#REF!</v>
      </c>
      <c r="L227">
        <f>IFERROR(SEARCH(search!$B$6,samples!#REF!,1),0)</f>
        <v>0</v>
      </c>
      <c r="M227" t="e">
        <f>IF(samples!#REF!=0,"",samples!#REF!)</f>
        <v>#REF!</v>
      </c>
      <c r="N227">
        <f>IFERROR(SEARCH(search!$B$6,samples!#REF!,1),0)</f>
        <v>0</v>
      </c>
      <c r="O227" t="e">
        <f>IF(samples!#REF!=0,"",samples!#REF!)</f>
        <v>#REF!</v>
      </c>
      <c r="P227">
        <f>IFERROR(SEARCH(search!$B$6,samples!#REF!,1),0)</f>
        <v>0</v>
      </c>
      <c r="Q227" t="e">
        <f>IF(samples!#REF!=0,"",samples!#REF!)</f>
        <v>#REF!</v>
      </c>
      <c r="R227">
        <f>IFERROR(SEARCH(search!$B$6,samples!#REF!,1),0)</f>
        <v>0</v>
      </c>
      <c r="S227" t="e">
        <f>IF(samples!#REF!=0,"",samples!#REF!)</f>
        <v>#REF!</v>
      </c>
      <c r="T227">
        <f>IFERROR(SEARCH(search!$B$6,samples!#REF!,1),0)</f>
        <v>0</v>
      </c>
      <c r="U227" t="e">
        <f>IF(samples!#REF!=0,"",samples!#REF!)</f>
        <v>#REF!</v>
      </c>
      <c r="V227">
        <f>IFERROR(SEARCH(search!$B$6,samples!#REF!,1),0)</f>
        <v>0</v>
      </c>
      <c r="W227" t="e">
        <f>IF(samples!#REF!=0,"",samples!#REF!)</f>
        <v>#REF!</v>
      </c>
      <c r="X227">
        <f>IFERROR(SEARCH(search!$B$6,samples!#REF!,1),0)</f>
        <v>0</v>
      </c>
      <c r="Y227" t="e">
        <f>IF(samples!#REF!=0,"",samples!#REF!)</f>
        <v>#REF!</v>
      </c>
      <c r="Z227">
        <f>IFERROR(SEARCH(search!$B$6,samples!#REF!,1),0)</f>
        <v>0</v>
      </c>
      <c r="AA227" t="e">
        <f>IF(samples!#REF!=0,"",samples!#REF!)</f>
        <v>#REF!</v>
      </c>
      <c r="AB227">
        <f>IFERROR(SEARCH(search!$B$6,samples!#REF!,1),0)</f>
        <v>0</v>
      </c>
      <c r="AC227" t="e">
        <f>IF(samples!#REF!=0,"",samples!#REF!)</f>
        <v>#REF!</v>
      </c>
      <c r="AD227">
        <f>IFERROR(SEARCH(search!$B$6,samples!#REF!,1),0)</f>
        <v>0</v>
      </c>
    </row>
    <row r="228" spans="1:30">
      <c r="A228">
        <f t="shared" si="3"/>
        <v>0</v>
      </c>
      <c r="B228">
        <f>IF(SUM(D228,F228,H228,J228,L228,N228,P228,R228,T228,V228,X228,Z228,AB228,AD228)&gt;0,SUM($A$2:A228),0)</f>
        <v>0</v>
      </c>
      <c r="C228" t="e">
        <f>samples!#REF!</f>
        <v>#REF!</v>
      </c>
      <c r="D228">
        <f>IFERROR(SEARCH(search!$B$6,samples!#REF!,1),0)</f>
        <v>0</v>
      </c>
      <c r="E228" t="e">
        <f>IF(samples!#REF!=0,"",samples!#REF!)</f>
        <v>#REF!</v>
      </c>
      <c r="F228">
        <f>IFERROR(SEARCH(search!$B$6,samples!#REF!,1),0)</f>
        <v>0</v>
      </c>
      <c r="G228" t="e">
        <f>IF(samples!#REF!=0,"",samples!#REF!)</f>
        <v>#REF!</v>
      </c>
      <c r="H228">
        <f>IFERROR(SEARCH(search!$B$6,samples!#REF!,1),0)</f>
        <v>0</v>
      </c>
      <c r="I228" t="e">
        <f>IF(samples!#REF!=0,"",samples!#REF!)</f>
        <v>#REF!</v>
      </c>
      <c r="J228">
        <f>IFERROR(SEARCH(search!$B$6,samples!#REF!,1),0)</f>
        <v>0</v>
      </c>
      <c r="K228" t="e">
        <f>IF(samples!#REF!=0,"",samples!#REF!)</f>
        <v>#REF!</v>
      </c>
      <c r="L228">
        <f>IFERROR(SEARCH(search!$B$6,samples!#REF!,1),0)</f>
        <v>0</v>
      </c>
      <c r="M228" t="e">
        <f>IF(samples!#REF!=0,"",samples!#REF!)</f>
        <v>#REF!</v>
      </c>
      <c r="N228">
        <f>IFERROR(SEARCH(search!$B$6,samples!#REF!,1),0)</f>
        <v>0</v>
      </c>
      <c r="O228" t="e">
        <f>IF(samples!#REF!=0,"",samples!#REF!)</f>
        <v>#REF!</v>
      </c>
      <c r="P228">
        <f>IFERROR(SEARCH(search!$B$6,samples!#REF!,1),0)</f>
        <v>0</v>
      </c>
      <c r="Q228" t="e">
        <f>IF(samples!#REF!=0,"",samples!#REF!)</f>
        <v>#REF!</v>
      </c>
      <c r="R228">
        <f>IFERROR(SEARCH(search!$B$6,samples!#REF!,1),0)</f>
        <v>0</v>
      </c>
      <c r="S228" t="e">
        <f>IF(samples!#REF!=0,"",samples!#REF!)</f>
        <v>#REF!</v>
      </c>
      <c r="T228">
        <f>IFERROR(SEARCH(search!$B$6,samples!#REF!,1),0)</f>
        <v>0</v>
      </c>
      <c r="U228" t="e">
        <f>IF(samples!#REF!=0,"",samples!#REF!)</f>
        <v>#REF!</v>
      </c>
      <c r="V228">
        <f>IFERROR(SEARCH(search!$B$6,samples!#REF!,1),0)</f>
        <v>0</v>
      </c>
      <c r="W228" t="e">
        <f>IF(samples!#REF!=0,"",samples!#REF!)</f>
        <v>#REF!</v>
      </c>
      <c r="X228">
        <f>IFERROR(SEARCH(search!$B$6,samples!#REF!,1),0)</f>
        <v>0</v>
      </c>
      <c r="Y228" t="e">
        <f>IF(samples!#REF!=0,"",samples!#REF!)</f>
        <v>#REF!</v>
      </c>
      <c r="Z228">
        <f>IFERROR(SEARCH(search!$B$6,samples!#REF!,1),0)</f>
        <v>0</v>
      </c>
      <c r="AA228" t="e">
        <f>IF(samples!#REF!=0,"",samples!#REF!)</f>
        <v>#REF!</v>
      </c>
      <c r="AB228">
        <f>IFERROR(SEARCH(search!$B$6,samples!#REF!,1),0)</f>
        <v>0</v>
      </c>
      <c r="AC228" t="e">
        <f>IF(samples!#REF!=0,"",samples!#REF!)</f>
        <v>#REF!</v>
      </c>
      <c r="AD228">
        <f>IFERROR(SEARCH(search!$B$6,samples!#REF!,1),0)</f>
        <v>0</v>
      </c>
    </row>
    <row r="229" spans="1:30">
      <c r="A229">
        <f t="shared" si="3"/>
        <v>0</v>
      </c>
      <c r="B229">
        <f>IF(SUM(D229,F229,H229,J229,L229,N229,P229,R229,T229,V229,X229,Z229,AB229,AD229)&gt;0,SUM($A$2:A229),0)</f>
        <v>0</v>
      </c>
      <c r="C229" t="e">
        <f>samples!#REF!</f>
        <v>#REF!</v>
      </c>
      <c r="D229">
        <f>IFERROR(SEARCH(search!$B$6,samples!#REF!,1),0)</f>
        <v>0</v>
      </c>
      <c r="E229" t="e">
        <f>IF(samples!#REF!=0,"",samples!#REF!)</f>
        <v>#REF!</v>
      </c>
      <c r="F229">
        <f>IFERROR(SEARCH(search!$B$6,samples!#REF!,1),0)</f>
        <v>0</v>
      </c>
      <c r="G229" t="e">
        <f>IF(samples!#REF!=0,"",samples!#REF!)</f>
        <v>#REF!</v>
      </c>
      <c r="H229">
        <f>IFERROR(SEARCH(search!$B$6,samples!#REF!,1),0)</f>
        <v>0</v>
      </c>
      <c r="I229" t="e">
        <f>IF(samples!#REF!=0,"",samples!#REF!)</f>
        <v>#REF!</v>
      </c>
      <c r="J229">
        <f>IFERROR(SEARCH(search!$B$6,samples!#REF!,1),0)</f>
        <v>0</v>
      </c>
      <c r="K229" t="e">
        <f>IF(samples!#REF!=0,"",samples!#REF!)</f>
        <v>#REF!</v>
      </c>
      <c r="L229">
        <f>IFERROR(SEARCH(search!$B$6,samples!#REF!,1),0)</f>
        <v>0</v>
      </c>
      <c r="M229" t="e">
        <f>IF(samples!#REF!=0,"",samples!#REF!)</f>
        <v>#REF!</v>
      </c>
      <c r="N229">
        <f>IFERROR(SEARCH(search!$B$6,samples!#REF!,1),0)</f>
        <v>0</v>
      </c>
      <c r="O229" t="e">
        <f>IF(samples!#REF!=0,"",samples!#REF!)</f>
        <v>#REF!</v>
      </c>
      <c r="P229">
        <f>IFERROR(SEARCH(search!$B$6,samples!#REF!,1),0)</f>
        <v>0</v>
      </c>
      <c r="Q229" t="e">
        <f>IF(samples!#REF!=0,"",samples!#REF!)</f>
        <v>#REF!</v>
      </c>
      <c r="R229">
        <f>IFERROR(SEARCH(search!$B$6,samples!#REF!,1),0)</f>
        <v>0</v>
      </c>
      <c r="S229" t="e">
        <f>IF(samples!#REF!=0,"",samples!#REF!)</f>
        <v>#REF!</v>
      </c>
      <c r="T229">
        <f>IFERROR(SEARCH(search!$B$6,samples!#REF!,1),0)</f>
        <v>0</v>
      </c>
      <c r="U229" t="e">
        <f>IF(samples!#REF!=0,"",samples!#REF!)</f>
        <v>#REF!</v>
      </c>
      <c r="V229">
        <f>IFERROR(SEARCH(search!$B$6,samples!#REF!,1),0)</f>
        <v>0</v>
      </c>
      <c r="W229" t="e">
        <f>IF(samples!#REF!=0,"",samples!#REF!)</f>
        <v>#REF!</v>
      </c>
      <c r="X229">
        <f>IFERROR(SEARCH(search!$B$6,samples!#REF!,1),0)</f>
        <v>0</v>
      </c>
      <c r="Y229" t="e">
        <f>IF(samples!#REF!=0,"",samples!#REF!)</f>
        <v>#REF!</v>
      </c>
      <c r="Z229">
        <f>IFERROR(SEARCH(search!$B$6,samples!#REF!,1),0)</f>
        <v>0</v>
      </c>
      <c r="AA229" t="e">
        <f>IF(samples!#REF!=0,"",samples!#REF!)</f>
        <v>#REF!</v>
      </c>
      <c r="AB229">
        <f>IFERROR(SEARCH(search!$B$6,samples!#REF!,1),0)</f>
        <v>0</v>
      </c>
      <c r="AC229" t="e">
        <f>IF(samples!#REF!=0,"",samples!#REF!)</f>
        <v>#REF!</v>
      </c>
      <c r="AD229">
        <f>IFERROR(SEARCH(search!$B$6,samples!#REF!,1),0)</f>
        <v>0</v>
      </c>
    </row>
    <row r="230" spans="1:30">
      <c r="A230">
        <f t="shared" si="3"/>
        <v>0</v>
      </c>
      <c r="B230">
        <f>IF(SUM(D230,F230,H230,J230,L230,N230,P230,R230,T230,V230,X230,Z230,AB230,AD230)&gt;0,SUM($A$2:A230),0)</f>
        <v>0</v>
      </c>
      <c r="C230" t="e">
        <f>samples!#REF!</f>
        <v>#REF!</v>
      </c>
      <c r="D230">
        <f>IFERROR(SEARCH(search!$B$6,samples!#REF!,1),0)</f>
        <v>0</v>
      </c>
      <c r="E230" t="e">
        <f>IF(samples!#REF!=0,"",samples!#REF!)</f>
        <v>#REF!</v>
      </c>
      <c r="F230">
        <f>IFERROR(SEARCH(search!$B$6,samples!#REF!,1),0)</f>
        <v>0</v>
      </c>
      <c r="G230" t="e">
        <f>IF(samples!#REF!=0,"",samples!#REF!)</f>
        <v>#REF!</v>
      </c>
      <c r="H230">
        <f>IFERROR(SEARCH(search!$B$6,samples!#REF!,1),0)</f>
        <v>0</v>
      </c>
      <c r="I230" t="e">
        <f>IF(samples!#REF!=0,"",samples!#REF!)</f>
        <v>#REF!</v>
      </c>
      <c r="J230">
        <f>IFERROR(SEARCH(search!$B$6,samples!#REF!,1),0)</f>
        <v>0</v>
      </c>
      <c r="K230" t="e">
        <f>IF(samples!#REF!=0,"",samples!#REF!)</f>
        <v>#REF!</v>
      </c>
      <c r="L230">
        <f>IFERROR(SEARCH(search!$B$6,samples!#REF!,1),0)</f>
        <v>0</v>
      </c>
      <c r="M230" t="e">
        <f>IF(samples!#REF!=0,"",samples!#REF!)</f>
        <v>#REF!</v>
      </c>
      <c r="N230">
        <f>IFERROR(SEARCH(search!$B$6,samples!#REF!,1),0)</f>
        <v>0</v>
      </c>
      <c r="O230" t="e">
        <f>IF(samples!#REF!=0,"",samples!#REF!)</f>
        <v>#REF!</v>
      </c>
      <c r="P230">
        <f>IFERROR(SEARCH(search!$B$6,samples!#REF!,1),0)</f>
        <v>0</v>
      </c>
      <c r="Q230" t="e">
        <f>IF(samples!#REF!=0,"",samples!#REF!)</f>
        <v>#REF!</v>
      </c>
      <c r="R230">
        <f>IFERROR(SEARCH(search!$B$6,samples!#REF!,1),0)</f>
        <v>0</v>
      </c>
      <c r="S230" t="e">
        <f>IF(samples!#REF!=0,"",samples!#REF!)</f>
        <v>#REF!</v>
      </c>
      <c r="T230">
        <f>IFERROR(SEARCH(search!$B$6,samples!#REF!,1),0)</f>
        <v>0</v>
      </c>
      <c r="U230" t="e">
        <f>IF(samples!#REF!=0,"",samples!#REF!)</f>
        <v>#REF!</v>
      </c>
      <c r="V230">
        <f>IFERROR(SEARCH(search!$B$6,samples!#REF!,1),0)</f>
        <v>0</v>
      </c>
      <c r="W230" t="e">
        <f>IF(samples!#REF!=0,"",samples!#REF!)</f>
        <v>#REF!</v>
      </c>
      <c r="X230">
        <f>IFERROR(SEARCH(search!$B$6,samples!#REF!,1),0)</f>
        <v>0</v>
      </c>
      <c r="Y230" t="e">
        <f>IF(samples!#REF!=0,"",samples!#REF!)</f>
        <v>#REF!</v>
      </c>
      <c r="Z230">
        <f>IFERROR(SEARCH(search!$B$6,samples!#REF!,1),0)</f>
        <v>0</v>
      </c>
      <c r="AA230" t="e">
        <f>IF(samples!#REF!=0,"",samples!#REF!)</f>
        <v>#REF!</v>
      </c>
      <c r="AB230">
        <f>IFERROR(SEARCH(search!$B$6,samples!#REF!,1),0)</f>
        <v>0</v>
      </c>
      <c r="AC230" t="e">
        <f>IF(samples!#REF!=0,"",samples!#REF!)</f>
        <v>#REF!</v>
      </c>
      <c r="AD230">
        <f>IFERROR(SEARCH(search!$B$6,samples!#REF!,1),0)</f>
        <v>0</v>
      </c>
    </row>
    <row r="231" spans="1:30">
      <c r="A231">
        <f t="shared" si="3"/>
        <v>0</v>
      </c>
      <c r="B231">
        <f>IF(SUM(D231,F231,H231,J231,L231,N231,P231,R231,T231,V231,X231,Z231,AB231,AD231)&gt;0,SUM($A$2:A231),0)</f>
        <v>0</v>
      </c>
      <c r="C231" t="e">
        <f>samples!#REF!</f>
        <v>#REF!</v>
      </c>
      <c r="D231">
        <f>IFERROR(SEARCH(search!$B$6,samples!#REF!,1),0)</f>
        <v>0</v>
      </c>
      <c r="E231" t="e">
        <f>IF(samples!#REF!=0,"",samples!#REF!)</f>
        <v>#REF!</v>
      </c>
      <c r="F231">
        <f>IFERROR(SEARCH(search!$B$6,samples!#REF!,1),0)</f>
        <v>0</v>
      </c>
      <c r="G231" t="e">
        <f>IF(samples!#REF!=0,"",samples!#REF!)</f>
        <v>#REF!</v>
      </c>
      <c r="H231">
        <f>IFERROR(SEARCH(search!$B$6,samples!#REF!,1),0)</f>
        <v>0</v>
      </c>
      <c r="I231" t="e">
        <f>IF(samples!#REF!=0,"",samples!#REF!)</f>
        <v>#REF!</v>
      </c>
      <c r="J231">
        <f>IFERROR(SEARCH(search!$B$6,samples!#REF!,1),0)</f>
        <v>0</v>
      </c>
      <c r="K231" t="e">
        <f>IF(samples!#REF!=0,"",samples!#REF!)</f>
        <v>#REF!</v>
      </c>
      <c r="L231">
        <f>IFERROR(SEARCH(search!$B$6,samples!#REF!,1),0)</f>
        <v>0</v>
      </c>
      <c r="M231" t="e">
        <f>IF(samples!#REF!=0,"",samples!#REF!)</f>
        <v>#REF!</v>
      </c>
      <c r="N231">
        <f>IFERROR(SEARCH(search!$B$6,samples!#REF!,1),0)</f>
        <v>0</v>
      </c>
      <c r="O231" t="e">
        <f>IF(samples!#REF!=0,"",samples!#REF!)</f>
        <v>#REF!</v>
      </c>
      <c r="P231">
        <f>IFERROR(SEARCH(search!$B$6,samples!#REF!,1),0)</f>
        <v>0</v>
      </c>
      <c r="Q231" t="e">
        <f>IF(samples!#REF!=0,"",samples!#REF!)</f>
        <v>#REF!</v>
      </c>
      <c r="R231">
        <f>IFERROR(SEARCH(search!$B$6,samples!#REF!,1),0)</f>
        <v>0</v>
      </c>
      <c r="S231" t="e">
        <f>IF(samples!#REF!=0,"",samples!#REF!)</f>
        <v>#REF!</v>
      </c>
      <c r="T231">
        <f>IFERROR(SEARCH(search!$B$6,samples!#REF!,1),0)</f>
        <v>0</v>
      </c>
      <c r="U231" t="e">
        <f>IF(samples!#REF!=0,"",samples!#REF!)</f>
        <v>#REF!</v>
      </c>
      <c r="V231">
        <f>IFERROR(SEARCH(search!$B$6,samples!#REF!,1),0)</f>
        <v>0</v>
      </c>
      <c r="W231" t="e">
        <f>IF(samples!#REF!=0,"",samples!#REF!)</f>
        <v>#REF!</v>
      </c>
      <c r="X231">
        <f>IFERROR(SEARCH(search!$B$6,samples!#REF!,1),0)</f>
        <v>0</v>
      </c>
      <c r="Y231" t="e">
        <f>IF(samples!#REF!=0,"",samples!#REF!)</f>
        <v>#REF!</v>
      </c>
      <c r="Z231">
        <f>IFERROR(SEARCH(search!$B$6,samples!#REF!,1),0)</f>
        <v>0</v>
      </c>
      <c r="AA231" t="e">
        <f>IF(samples!#REF!=0,"",samples!#REF!)</f>
        <v>#REF!</v>
      </c>
      <c r="AB231">
        <f>IFERROR(SEARCH(search!$B$6,samples!#REF!,1),0)</f>
        <v>0</v>
      </c>
      <c r="AC231" t="e">
        <f>IF(samples!#REF!=0,"",samples!#REF!)</f>
        <v>#REF!</v>
      </c>
      <c r="AD231">
        <f>IFERROR(SEARCH(search!$B$6,samples!#REF!,1),0)</f>
        <v>0</v>
      </c>
    </row>
    <row r="232" spans="1:30">
      <c r="A232">
        <f t="shared" si="3"/>
        <v>0</v>
      </c>
      <c r="B232">
        <f>IF(SUM(D232,F232,H232,J232,L232,N232,P232,R232,T232,V232,X232,Z232,AB232,AD232)&gt;0,SUM($A$2:A232),0)</f>
        <v>0</v>
      </c>
      <c r="C232" t="e">
        <f>samples!#REF!</f>
        <v>#REF!</v>
      </c>
      <c r="D232">
        <f>IFERROR(SEARCH(search!$B$6,samples!#REF!,1),0)</f>
        <v>0</v>
      </c>
      <c r="E232" t="e">
        <f>IF(samples!#REF!=0,"",samples!#REF!)</f>
        <v>#REF!</v>
      </c>
      <c r="F232">
        <f>IFERROR(SEARCH(search!$B$6,samples!#REF!,1),0)</f>
        <v>0</v>
      </c>
      <c r="G232" t="e">
        <f>IF(samples!#REF!=0,"",samples!#REF!)</f>
        <v>#REF!</v>
      </c>
      <c r="H232">
        <f>IFERROR(SEARCH(search!$B$6,samples!#REF!,1),0)</f>
        <v>0</v>
      </c>
      <c r="I232" t="e">
        <f>IF(samples!#REF!=0,"",samples!#REF!)</f>
        <v>#REF!</v>
      </c>
      <c r="J232">
        <f>IFERROR(SEARCH(search!$B$6,samples!#REF!,1),0)</f>
        <v>0</v>
      </c>
      <c r="K232" t="e">
        <f>IF(samples!#REF!=0,"",samples!#REF!)</f>
        <v>#REF!</v>
      </c>
      <c r="L232">
        <f>IFERROR(SEARCH(search!$B$6,samples!#REF!,1),0)</f>
        <v>0</v>
      </c>
      <c r="M232" t="e">
        <f>IF(samples!#REF!=0,"",samples!#REF!)</f>
        <v>#REF!</v>
      </c>
      <c r="N232">
        <f>IFERROR(SEARCH(search!$B$6,samples!#REF!,1),0)</f>
        <v>0</v>
      </c>
      <c r="O232" t="e">
        <f>IF(samples!#REF!=0,"",samples!#REF!)</f>
        <v>#REF!</v>
      </c>
      <c r="P232">
        <f>IFERROR(SEARCH(search!$B$6,samples!#REF!,1),0)</f>
        <v>0</v>
      </c>
      <c r="Q232" t="e">
        <f>IF(samples!#REF!=0,"",samples!#REF!)</f>
        <v>#REF!</v>
      </c>
      <c r="R232">
        <f>IFERROR(SEARCH(search!$B$6,samples!#REF!,1),0)</f>
        <v>0</v>
      </c>
      <c r="S232" t="e">
        <f>IF(samples!#REF!=0,"",samples!#REF!)</f>
        <v>#REF!</v>
      </c>
      <c r="T232">
        <f>IFERROR(SEARCH(search!$B$6,samples!#REF!,1),0)</f>
        <v>0</v>
      </c>
      <c r="U232" t="e">
        <f>IF(samples!#REF!=0,"",samples!#REF!)</f>
        <v>#REF!</v>
      </c>
      <c r="V232">
        <f>IFERROR(SEARCH(search!$B$6,samples!#REF!,1),0)</f>
        <v>0</v>
      </c>
      <c r="W232" t="e">
        <f>IF(samples!#REF!=0,"",samples!#REF!)</f>
        <v>#REF!</v>
      </c>
      <c r="X232">
        <f>IFERROR(SEARCH(search!$B$6,samples!#REF!,1),0)</f>
        <v>0</v>
      </c>
      <c r="Y232" t="e">
        <f>IF(samples!#REF!=0,"",samples!#REF!)</f>
        <v>#REF!</v>
      </c>
      <c r="Z232">
        <f>IFERROR(SEARCH(search!$B$6,samples!#REF!,1),0)</f>
        <v>0</v>
      </c>
      <c r="AA232" t="e">
        <f>IF(samples!#REF!=0,"",samples!#REF!)</f>
        <v>#REF!</v>
      </c>
      <c r="AB232">
        <f>IFERROR(SEARCH(search!$B$6,samples!#REF!,1),0)</f>
        <v>0</v>
      </c>
      <c r="AC232" t="e">
        <f>IF(samples!#REF!=0,"",samples!#REF!)</f>
        <v>#REF!</v>
      </c>
      <c r="AD232">
        <f>IFERROR(SEARCH(search!$B$6,samples!#REF!,1),0)</f>
        <v>0</v>
      </c>
    </row>
    <row r="233" spans="1:30">
      <c r="A233">
        <f t="shared" si="3"/>
        <v>0</v>
      </c>
      <c r="B233">
        <f>IF(SUM(D233,F233,H233,J233,L233,N233,P233,R233,T233,V233,X233,Z233,AB233,AD233)&gt;0,SUM($A$2:A233),0)</f>
        <v>0</v>
      </c>
      <c r="C233" t="e">
        <f>samples!#REF!</f>
        <v>#REF!</v>
      </c>
      <c r="D233">
        <f>IFERROR(SEARCH(search!$B$6,samples!#REF!,1),0)</f>
        <v>0</v>
      </c>
      <c r="E233" t="e">
        <f>IF(samples!#REF!=0,"",samples!#REF!)</f>
        <v>#REF!</v>
      </c>
      <c r="F233">
        <f>IFERROR(SEARCH(search!$B$6,samples!#REF!,1),0)</f>
        <v>0</v>
      </c>
      <c r="G233" t="e">
        <f>IF(samples!#REF!=0,"",samples!#REF!)</f>
        <v>#REF!</v>
      </c>
      <c r="H233">
        <f>IFERROR(SEARCH(search!$B$6,samples!#REF!,1),0)</f>
        <v>0</v>
      </c>
      <c r="I233" t="e">
        <f>IF(samples!#REF!=0,"",samples!#REF!)</f>
        <v>#REF!</v>
      </c>
      <c r="J233">
        <f>IFERROR(SEARCH(search!$B$6,samples!#REF!,1),0)</f>
        <v>0</v>
      </c>
      <c r="K233" t="e">
        <f>IF(samples!#REF!=0,"",samples!#REF!)</f>
        <v>#REF!</v>
      </c>
      <c r="L233">
        <f>IFERROR(SEARCH(search!$B$6,samples!#REF!,1),0)</f>
        <v>0</v>
      </c>
      <c r="M233" t="e">
        <f>IF(samples!#REF!=0,"",samples!#REF!)</f>
        <v>#REF!</v>
      </c>
      <c r="N233">
        <f>IFERROR(SEARCH(search!$B$6,samples!#REF!,1),0)</f>
        <v>0</v>
      </c>
      <c r="O233" t="e">
        <f>IF(samples!#REF!=0,"",samples!#REF!)</f>
        <v>#REF!</v>
      </c>
      <c r="P233">
        <f>IFERROR(SEARCH(search!$B$6,samples!#REF!,1),0)</f>
        <v>0</v>
      </c>
      <c r="Q233" t="e">
        <f>IF(samples!#REF!=0,"",samples!#REF!)</f>
        <v>#REF!</v>
      </c>
      <c r="R233">
        <f>IFERROR(SEARCH(search!$B$6,samples!#REF!,1),0)</f>
        <v>0</v>
      </c>
      <c r="S233" t="e">
        <f>IF(samples!#REF!=0,"",samples!#REF!)</f>
        <v>#REF!</v>
      </c>
      <c r="T233">
        <f>IFERROR(SEARCH(search!$B$6,samples!#REF!,1),0)</f>
        <v>0</v>
      </c>
      <c r="U233" t="e">
        <f>IF(samples!#REF!=0,"",samples!#REF!)</f>
        <v>#REF!</v>
      </c>
      <c r="V233">
        <f>IFERROR(SEARCH(search!$B$6,samples!#REF!,1),0)</f>
        <v>0</v>
      </c>
      <c r="W233" t="e">
        <f>IF(samples!#REF!=0,"",samples!#REF!)</f>
        <v>#REF!</v>
      </c>
      <c r="X233">
        <f>IFERROR(SEARCH(search!$B$6,samples!#REF!,1),0)</f>
        <v>0</v>
      </c>
      <c r="Y233" t="e">
        <f>IF(samples!#REF!=0,"",samples!#REF!)</f>
        <v>#REF!</v>
      </c>
      <c r="Z233">
        <f>IFERROR(SEARCH(search!$B$6,samples!#REF!,1),0)</f>
        <v>0</v>
      </c>
      <c r="AA233" t="e">
        <f>IF(samples!#REF!=0,"",samples!#REF!)</f>
        <v>#REF!</v>
      </c>
      <c r="AB233">
        <f>IFERROR(SEARCH(search!$B$6,samples!#REF!,1),0)</f>
        <v>0</v>
      </c>
      <c r="AC233" t="e">
        <f>IF(samples!#REF!=0,"",samples!#REF!)</f>
        <v>#REF!</v>
      </c>
      <c r="AD233">
        <f>IFERROR(SEARCH(search!$B$6,samples!#REF!,1),0)</f>
        <v>0</v>
      </c>
    </row>
    <row r="234" spans="1:30">
      <c r="A234">
        <f t="shared" si="3"/>
        <v>0</v>
      </c>
      <c r="B234">
        <f>IF(SUM(D234,F234,H234,J234,L234,N234,P234,R234,T234,V234,X234,Z234,AB234,AD234)&gt;0,SUM($A$2:A234),0)</f>
        <v>0</v>
      </c>
      <c r="C234" t="e">
        <f>samples!#REF!</f>
        <v>#REF!</v>
      </c>
      <c r="D234">
        <f>IFERROR(SEARCH(search!$B$6,samples!#REF!,1),0)</f>
        <v>0</v>
      </c>
      <c r="E234" t="e">
        <f>IF(samples!#REF!=0,"",samples!#REF!)</f>
        <v>#REF!</v>
      </c>
      <c r="F234">
        <f>IFERROR(SEARCH(search!$B$6,samples!#REF!,1),0)</f>
        <v>0</v>
      </c>
      <c r="G234" t="e">
        <f>IF(samples!#REF!=0,"",samples!#REF!)</f>
        <v>#REF!</v>
      </c>
      <c r="H234">
        <f>IFERROR(SEARCH(search!$B$6,samples!#REF!,1),0)</f>
        <v>0</v>
      </c>
      <c r="I234" t="e">
        <f>IF(samples!#REF!=0,"",samples!#REF!)</f>
        <v>#REF!</v>
      </c>
      <c r="J234">
        <f>IFERROR(SEARCH(search!$B$6,samples!#REF!,1),0)</f>
        <v>0</v>
      </c>
      <c r="K234" t="e">
        <f>IF(samples!#REF!=0,"",samples!#REF!)</f>
        <v>#REF!</v>
      </c>
      <c r="L234">
        <f>IFERROR(SEARCH(search!$B$6,samples!#REF!,1),0)</f>
        <v>0</v>
      </c>
      <c r="M234" t="e">
        <f>IF(samples!#REF!=0,"",samples!#REF!)</f>
        <v>#REF!</v>
      </c>
      <c r="N234">
        <f>IFERROR(SEARCH(search!$B$6,samples!#REF!,1),0)</f>
        <v>0</v>
      </c>
      <c r="O234" t="e">
        <f>IF(samples!#REF!=0,"",samples!#REF!)</f>
        <v>#REF!</v>
      </c>
      <c r="P234">
        <f>IFERROR(SEARCH(search!$B$6,samples!#REF!,1),0)</f>
        <v>0</v>
      </c>
      <c r="Q234" t="e">
        <f>IF(samples!#REF!=0,"",samples!#REF!)</f>
        <v>#REF!</v>
      </c>
      <c r="R234">
        <f>IFERROR(SEARCH(search!$B$6,samples!#REF!,1),0)</f>
        <v>0</v>
      </c>
      <c r="S234" t="e">
        <f>IF(samples!#REF!=0,"",samples!#REF!)</f>
        <v>#REF!</v>
      </c>
      <c r="T234">
        <f>IFERROR(SEARCH(search!$B$6,samples!#REF!,1),0)</f>
        <v>0</v>
      </c>
      <c r="U234" t="e">
        <f>IF(samples!#REF!=0,"",samples!#REF!)</f>
        <v>#REF!</v>
      </c>
      <c r="V234">
        <f>IFERROR(SEARCH(search!$B$6,samples!#REF!,1),0)</f>
        <v>0</v>
      </c>
      <c r="W234" t="e">
        <f>IF(samples!#REF!=0,"",samples!#REF!)</f>
        <v>#REF!</v>
      </c>
      <c r="X234">
        <f>IFERROR(SEARCH(search!$B$6,samples!#REF!,1),0)</f>
        <v>0</v>
      </c>
      <c r="Y234" t="e">
        <f>IF(samples!#REF!=0,"",samples!#REF!)</f>
        <v>#REF!</v>
      </c>
      <c r="Z234">
        <f>IFERROR(SEARCH(search!$B$6,samples!#REF!,1),0)</f>
        <v>0</v>
      </c>
      <c r="AA234" t="e">
        <f>IF(samples!#REF!=0,"",samples!#REF!)</f>
        <v>#REF!</v>
      </c>
      <c r="AB234">
        <f>IFERROR(SEARCH(search!$B$6,samples!#REF!,1),0)</f>
        <v>0</v>
      </c>
      <c r="AC234" t="e">
        <f>IF(samples!#REF!=0,"",samples!#REF!)</f>
        <v>#REF!</v>
      </c>
      <c r="AD234">
        <f>IFERROR(SEARCH(search!$B$6,samples!#REF!,1),0)</f>
        <v>0</v>
      </c>
    </row>
    <row r="235" spans="1:30">
      <c r="A235">
        <f t="shared" si="3"/>
        <v>0</v>
      </c>
      <c r="B235">
        <f>IF(SUM(D235,F235,H235,J235,L235,N235,P235,R235,T235,V235,X235,Z235,AB235,AD235)&gt;0,SUM($A$2:A235),0)</f>
        <v>0</v>
      </c>
      <c r="C235" t="e">
        <f>samples!#REF!</f>
        <v>#REF!</v>
      </c>
      <c r="D235">
        <f>IFERROR(SEARCH(search!$B$6,samples!#REF!,1),0)</f>
        <v>0</v>
      </c>
      <c r="E235" t="e">
        <f>IF(samples!#REF!=0,"",samples!#REF!)</f>
        <v>#REF!</v>
      </c>
      <c r="F235">
        <f>IFERROR(SEARCH(search!$B$6,samples!#REF!,1),0)</f>
        <v>0</v>
      </c>
      <c r="G235" t="e">
        <f>IF(samples!#REF!=0,"",samples!#REF!)</f>
        <v>#REF!</v>
      </c>
      <c r="H235">
        <f>IFERROR(SEARCH(search!$B$6,samples!#REF!,1),0)</f>
        <v>0</v>
      </c>
      <c r="I235" t="e">
        <f>IF(samples!#REF!=0,"",samples!#REF!)</f>
        <v>#REF!</v>
      </c>
      <c r="J235">
        <f>IFERROR(SEARCH(search!$B$6,samples!#REF!,1),0)</f>
        <v>0</v>
      </c>
      <c r="K235" t="e">
        <f>IF(samples!#REF!=0,"",samples!#REF!)</f>
        <v>#REF!</v>
      </c>
      <c r="L235">
        <f>IFERROR(SEARCH(search!$B$6,samples!#REF!,1),0)</f>
        <v>0</v>
      </c>
      <c r="M235" t="e">
        <f>IF(samples!#REF!=0,"",samples!#REF!)</f>
        <v>#REF!</v>
      </c>
      <c r="N235">
        <f>IFERROR(SEARCH(search!$B$6,samples!#REF!,1),0)</f>
        <v>0</v>
      </c>
      <c r="O235" t="e">
        <f>IF(samples!#REF!=0,"",samples!#REF!)</f>
        <v>#REF!</v>
      </c>
      <c r="P235">
        <f>IFERROR(SEARCH(search!$B$6,samples!#REF!,1),0)</f>
        <v>0</v>
      </c>
      <c r="Q235" t="e">
        <f>IF(samples!#REF!=0,"",samples!#REF!)</f>
        <v>#REF!</v>
      </c>
      <c r="R235">
        <f>IFERROR(SEARCH(search!$B$6,samples!#REF!,1),0)</f>
        <v>0</v>
      </c>
      <c r="S235" t="e">
        <f>IF(samples!#REF!=0,"",samples!#REF!)</f>
        <v>#REF!</v>
      </c>
      <c r="T235">
        <f>IFERROR(SEARCH(search!$B$6,samples!#REF!,1),0)</f>
        <v>0</v>
      </c>
      <c r="U235" t="e">
        <f>IF(samples!#REF!=0,"",samples!#REF!)</f>
        <v>#REF!</v>
      </c>
      <c r="V235">
        <f>IFERROR(SEARCH(search!$B$6,samples!#REF!,1),0)</f>
        <v>0</v>
      </c>
      <c r="W235" t="e">
        <f>IF(samples!#REF!=0,"",samples!#REF!)</f>
        <v>#REF!</v>
      </c>
      <c r="X235">
        <f>IFERROR(SEARCH(search!$B$6,samples!#REF!,1),0)</f>
        <v>0</v>
      </c>
      <c r="Y235" t="e">
        <f>IF(samples!#REF!=0,"",samples!#REF!)</f>
        <v>#REF!</v>
      </c>
      <c r="Z235">
        <f>IFERROR(SEARCH(search!$B$6,samples!#REF!,1),0)</f>
        <v>0</v>
      </c>
      <c r="AA235" t="e">
        <f>IF(samples!#REF!=0,"",samples!#REF!)</f>
        <v>#REF!</v>
      </c>
      <c r="AB235">
        <f>IFERROR(SEARCH(search!$B$6,samples!#REF!,1),0)</f>
        <v>0</v>
      </c>
      <c r="AC235" t="e">
        <f>IF(samples!#REF!=0,"",samples!#REF!)</f>
        <v>#REF!</v>
      </c>
      <c r="AD235">
        <f>IFERROR(SEARCH(search!$B$6,samples!#REF!,1),0)</f>
        <v>0</v>
      </c>
    </row>
    <row r="236" spans="1:30">
      <c r="A236">
        <f t="shared" si="3"/>
        <v>0</v>
      </c>
      <c r="B236">
        <f>IF(SUM(D236,F236,H236,J236,L236,N236,P236,R236,T236,V236,X236,Z236,AB236,AD236)&gt;0,SUM($A$2:A236),0)</f>
        <v>0</v>
      </c>
      <c r="C236" t="e">
        <f>samples!#REF!</f>
        <v>#REF!</v>
      </c>
      <c r="D236">
        <f>IFERROR(SEARCH(search!$B$6,samples!#REF!,1),0)</f>
        <v>0</v>
      </c>
      <c r="E236" t="e">
        <f>IF(samples!#REF!=0,"",samples!#REF!)</f>
        <v>#REF!</v>
      </c>
      <c r="F236">
        <f>IFERROR(SEARCH(search!$B$6,samples!#REF!,1),0)</f>
        <v>0</v>
      </c>
      <c r="G236" t="e">
        <f>IF(samples!#REF!=0,"",samples!#REF!)</f>
        <v>#REF!</v>
      </c>
      <c r="H236">
        <f>IFERROR(SEARCH(search!$B$6,samples!#REF!,1),0)</f>
        <v>0</v>
      </c>
      <c r="I236" t="e">
        <f>IF(samples!#REF!=0,"",samples!#REF!)</f>
        <v>#REF!</v>
      </c>
      <c r="J236">
        <f>IFERROR(SEARCH(search!$B$6,samples!#REF!,1),0)</f>
        <v>0</v>
      </c>
      <c r="K236" t="e">
        <f>IF(samples!#REF!=0,"",samples!#REF!)</f>
        <v>#REF!</v>
      </c>
      <c r="L236">
        <f>IFERROR(SEARCH(search!$B$6,samples!#REF!,1),0)</f>
        <v>0</v>
      </c>
      <c r="M236" t="e">
        <f>IF(samples!#REF!=0,"",samples!#REF!)</f>
        <v>#REF!</v>
      </c>
      <c r="N236">
        <f>IFERROR(SEARCH(search!$B$6,samples!#REF!,1),0)</f>
        <v>0</v>
      </c>
      <c r="O236" t="e">
        <f>IF(samples!#REF!=0,"",samples!#REF!)</f>
        <v>#REF!</v>
      </c>
      <c r="P236">
        <f>IFERROR(SEARCH(search!$B$6,samples!#REF!,1),0)</f>
        <v>0</v>
      </c>
      <c r="Q236" t="e">
        <f>IF(samples!#REF!=0,"",samples!#REF!)</f>
        <v>#REF!</v>
      </c>
      <c r="R236">
        <f>IFERROR(SEARCH(search!$B$6,samples!#REF!,1),0)</f>
        <v>0</v>
      </c>
      <c r="S236" t="e">
        <f>IF(samples!#REF!=0,"",samples!#REF!)</f>
        <v>#REF!</v>
      </c>
      <c r="T236">
        <f>IFERROR(SEARCH(search!$B$6,samples!#REF!,1),0)</f>
        <v>0</v>
      </c>
      <c r="U236" t="e">
        <f>IF(samples!#REF!=0,"",samples!#REF!)</f>
        <v>#REF!</v>
      </c>
      <c r="V236">
        <f>IFERROR(SEARCH(search!$B$6,samples!#REF!,1),0)</f>
        <v>0</v>
      </c>
      <c r="W236" t="e">
        <f>IF(samples!#REF!=0,"",samples!#REF!)</f>
        <v>#REF!</v>
      </c>
      <c r="X236">
        <f>IFERROR(SEARCH(search!$B$6,samples!#REF!,1),0)</f>
        <v>0</v>
      </c>
      <c r="Y236" t="e">
        <f>IF(samples!#REF!=0,"",samples!#REF!)</f>
        <v>#REF!</v>
      </c>
      <c r="Z236">
        <f>IFERROR(SEARCH(search!$B$6,samples!#REF!,1),0)</f>
        <v>0</v>
      </c>
      <c r="AA236" t="e">
        <f>IF(samples!#REF!=0,"",samples!#REF!)</f>
        <v>#REF!</v>
      </c>
      <c r="AB236">
        <f>IFERROR(SEARCH(search!$B$6,samples!#REF!,1),0)</f>
        <v>0</v>
      </c>
      <c r="AC236" t="e">
        <f>IF(samples!#REF!=0,"",samples!#REF!)</f>
        <v>#REF!</v>
      </c>
      <c r="AD236">
        <f>IFERROR(SEARCH(search!$B$6,samples!#REF!,1),0)</f>
        <v>0</v>
      </c>
    </row>
    <row r="237" spans="1:30">
      <c r="A237">
        <f t="shared" si="3"/>
        <v>0</v>
      </c>
      <c r="B237">
        <f>IF(SUM(D237,F237,H237,J237,L237,N237,P237,R237,T237,V237,X237,Z237,AB237,AD237)&gt;0,SUM($A$2:A237),0)</f>
        <v>0</v>
      </c>
      <c r="C237" t="e">
        <f>samples!#REF!</f>
        <v>#REF!</v>
      </c>
      <c r="D237">
        <f>IFERROR(SEARCH(search!$B$6,samples!#REF!,1),0)</f>
        <v>0</v>
      </c>
      <c r="E237" t="e">
        <f>IF(samples!#REF!=0,"",samples!#REF!)</f>
        <v>#REF!</v>
      </c>
      <c r="F237">
        <f>IFERROR(SEARCH(search!$B$6,samples!#REF!,1),0)</f>
        <v>0</v>
      </c>
      <c r="G237" t="e">
        <f>IF(samples!#REF!=0,"",samples!#REF!)</f>
        <v>#REF!</v>
      </c>
      <c r="H237">
        <f>IFERROR(SEARCH(search!$B$6,samples!#REF!,1),0)</f>
        <v>0</v>
      </c>
      <c r="I237" t="e">
        <f>IF(samples!#REF!=0,"",samples!#REF!)</f>
        <v>#REF!</v>
      </c>
      <c r="J237">
        <f>IFERROR(SEARCH(search!$B$6,samples!#REF!,1),0)</f>
        <v>0</v>
      </c>
      <c r="K237" t="e">
        <f>IF(samples!#REF!=0,"",samples!#REF!)</f>
        <v>#REF!</v>
      </c>
      <c r="L237">
        <f>IFERROR(SEARCH(search!$B$6,samples!#REF!,1),0)</f>
        <v>0</v>
      </c>
      <c r="M237" t="e">
        <f>IF(samples!#REF!=0,"",samples!#REF!)</f>
        <v>#REF!</v>
      </c>
      <c r="N237">
        <f>IFERROR(SEARCH(search!$B$6,samples!#REF!,1),0)</f>
        <v>0</v>
      </c>
      <c r="O237" t="e">
        <f>IF(samples!#REF!=0,"",samples!#REF!)</f>
        <v>#REF!</v>
      </c>
      <c r="P237">
        <f>IFERROR(SEARCH(search!$B$6,samples!#REF!,1),0)</f>
        <v>0</v>
      </c>
      <c r="Q237" t="e">
        <f>IF(samples!#REF!=0,"",samples!#REF!)</f>
        <v>#REF!</v>
      </c>
      <c r="R237">
        <f>IFERROR(SEARCH(search!$B$6,samples!#REF!,1),0)</f>
        <v>0</v>
      </c>
      <c r="S237" t="e">
        <f>IF(samples!#REF!=0,"",samples!#REF!)</f>
        <v>#REF!</v>
      </c>
      <c r="T237">
        <f>IFERROR(SEARCH(search!$B$6,samples!#REF!,1),0)</f>
        <v>0</v>
      </c>
      <c r="U237" t="e">
        <f>IF(samples!#REF!=0,"",samples!#REF!)</f>
        <v>#REF!</v>
      </c>
      <c r="V237">
        <f>IFERROR(SEARCH(search!$B$6,samples!#REF!,1),0)</f>
        <v>0</v>
      </c>
      <c r="W237" t="e">
        <f>IF(samples!#REF!=0,"",samples!#REF!)</f>
        <v>#REF!</v>
      </c>
      <c r="X237">
        <f>IFERROR(SEARCH(search!$B$6,samples!#REF!,1),0)</f>
        <v>0</v>
      </c>
      <c r="Y237" t="e">
        <f>IF(samples!#REF!=0,"",samples!#REF!)</f>
        <v>#REF!</v>
      </c>
      <c r="Z237">
        <f>IFERROR(SEARCH(search!$B$6,samples!#REF!,1),0)</f>
        <v>0</v>
      </c>
      <c r="AA237" t="e">
        <f>IF(samples!#REF!=0,"",samples!#REF!)</f>
        <v>#REF!</v>
      </c>
      <c r="AB237">
        <f>IFERROR(SEARCH(search!$B$6,samples!#REF!,1),0)</f>
        <v>0</v>
      </c>
      <c r="AC237" t="e">
        <f>IF(samples!#REF!=0,"",samples!#REF!)</f>
        <v>#REF!</v>
      </c>
      <c r="AD237">
        <f>IFERROR(SEARCH(search!$B$6,samples!#REF!,1),0)</f>
        <v>0</v>
      </c>
    </row>
    <row r="238" spans="1:30">
      <c r="A238">
        <f t="shared" si="3"/>
        <v>0</v>
      </c>
      <c r="B238">
        <f>IF(SUM(D238,F238,H238,J238,L238,N238,P238,R238,T238,V238,X238,Z238,AB238,AD238)&gt;0,SUM($A$2:A238),0)</f>
        <v>0</v>
      </c>
      <c r="C238" t="e">
        <f>samples!#REF!</f>
        <v>#REF!</v>
      </c>
      <c r="D238">
        <f>IFERROR(SEARCH(search!$B$6,samples!#REF!,1),0)</f>
        <v>0</v>
      </c>
      <c r="E238" t="e">
        <f>IF(samples!#REF!=0,"",samples!#REF!)</f>
        <v>#REF!</v>
      </c>
      <c r="F238">
        <f>IFERROR(SEARCH(search!$B$6,samples!#REF!,1),0)</f>
        <v>0</v>
      </c>
      <c r="G238" t="e">
        <f>IF(samples!#REF!=0,"",samples!#REF!)</f>
        <v>#REF!</v>
      </c>
      <c r="H238">
        <f>IFERROR(SEARCH(search!$B$6,samples!#REF!,1),0)</f>
        <v>0</v>
      </c>
      <c r="I238" t="e">
        <f>IF(samples!#REF!=0,"",samples!#REF!)</f>
        <v>#REF!</v>
      </c>
      <c r="J238">
        <f>IFERROR(SEARCH(search!$B$6,samples!#REF!,1),0)</f>
        <v>0</v>
      </c>
      <c r="K238" t="e">
        <f>IF(samples!#REF!=0,"",samples!#REF!)</f>
        <v>#REF!</v>
      </c>
      <c r="L238">
        <f>IFERROR(SEARCH(search!$B$6,samples!#REF!,1),0)</f>
        <v>0</v>
      </c>
      <c r="M238" t="e">
        <f>IF(samples!#REF!=0,"",samples!#REF!)</f>
        <v>#REF!</v>
      </c>
      <c r="N238">
        <f>IFERROR(SEARCH(search!$B$6,samples!#REF!,1),0)</f>
        <v>0</v>
      </c>
      <c r="O238" t="e">
        <f>IF(samples!#REF!=0,"",samples!#REF!)</f>
        <v>#REF!</v>
      </c>
      <c r="P238">
        <f>IFERROR(SEARCH(search!$B$6,samples!#REF!,1),0)</f>
        <v>0</v>
      </c>
      <c r="Q238" t="e">
        <f>IF(samples!#REF!=0,"",samples!#REF!)</f>
        <v>#REF!</v>
      </c>
      <c r="R238">
        <f>IFERROR(SEARCH(search!$B$6,samples!#REF!,1),0)</f>
        <v>0</v>
      </c>
      <c r="S238" t="e">
        <f>IF(samples!#REF!=0,"",samples!#REF!)</f>
        <v>#REF!</v>
      </c>
      <c r="T238">
        <f>IFERROR(SEARCH(search!$B$6,samples!#REF!,1),0)</f>
        <v>0</v>
      </c>
      <c r="U238" t="e">
        <f>IF(samples!#REF!=0,"",samples!#REF!)</f>
        <v>#REF!</v>
      </c>
      <c r="V238">
        <f>IFERROR(SEARCH(search!$B$6,samples!#REF!,1),0)</f>
        <v>0</v>
      </c>
      <c r="W238" t="e">
        <f>IF(samples!#REF!=0,"",samples!#REF!)</f>
        <v>#REF!</v>
      </c>
      <c r="X238">
        <f>IFERROR(SEARCH(search!$B$6,samples!#REF!,1),0)</f>
        <v>0</v>
      </c>
      <c r="Y238" t="e">
        <f>IF(samples!#REF!=0,"",samples!#REF!)</f>
        <v>#REF!</v>
      </c>
      <c r="Z238">
        <f>IFERROR(SEARCH(search!$B$6,samples!#REF!,1),0)</f>
        <v>0</v>
      </c>
      <c r="AA238" t="e">
        <f>IF(samples!#REF!=0,"",samples!#REF!)</f>
        <v>#REF!</v>
      </c>
      <c r="AB238">
        <f>IFERROR(SEARCH(search!$B$6,samples!#REF!,1),0)</f>
        <v>0</v>
      </c>
      <c r="AC238" t="e">
        <f>IF(samples!#REF!=0,"",samples!#REF!)</f>
        <v>#REF!</v>
      </c>
      <c r="AD238">
        <f>IFERROR(SEARCH(search!$B$6,samples!#REF!,1),0)</f>
        <v>0</v>
      </c>
    </row>
    <row r="239" spans="1:30">
      <c r="A239">
        <f t="shared" si="3"/>
        <v>0</v>
      </c>
      <c r="B239">
        <f>IF(SUM(D239,F239,H239,J239,L239,N239,P239,R239,T239,V239,X239,Z239,AB239,AD239)&gt;0,SUM($A$2:A239),0)</f>
        <v>0</v>
      </c>
      <c r="C239" t="e">
        <f>samples!#REF!</f>
        <v>#REF!</v>
      </c>
      <c r="D239">
        <f>IFERROR(SEARCH(search!$B$6,samples!#REF!,1),0)</f>
        <v>0</v>
      </c>
      <c r="E239" t="e">
        <f>IF(samples!#REF!=0,"",samples!#REF!)</f>
        <v>#REF!</v>
      </c>
      <c r="F239">
        <f>IFERROR(SEARCH(search!$B$6,samples!#REF!,1),0)</f>
        <v>0</v>
      </c>
      <c r="G239" t="e">
        <f>IF(samples!#REF!=0,"",samples!#REF!)</f>
        <v>#REF!</v>
      </c>
      <c r="H239">
        <f>IFERROR(SEARCH(search!$B$6,samples!#REF!,1),0)</f>
        <v>0</v>
      </c>
      <c r="I239" t="e">
        <f>IF(samples!#REF!=0,"",samples!#REF!)</f>
        <v>#REF!</v>
      </c>
      <c r="J239">
        <f>IFERROR(SEARCH(search!$B$6,samples!#REF!,1),0)</f>
        <v>0</v>
      </c>
      <c r="K239" t="e">
        <f>IF(samples!#REF!=0,"",samples!#REF!)</f>
        <v>#REF!</v>
      </c>
      <c r="L239">
        <f>IFERROR(SEARCH(search!$B$6,samples!#REF!,1),0)</f>
        <v>0</v>
      </c>
      <c r="M239" t="e">
        <f>IF(samples!#REF!=0,"",samples!#REF!)</f>
        <v>#REF!</v>
      </c>
      <c r="N239">
        <f>IFERROR(SEARCH(search!$B$6,samples!#REF!,1),0)</f>
        <v>0</v>
      </c>
      <c r="O239" t="e">
        <f>IF(samples!#REF!=0,"",samples!#REF!)</f>
        <v>#REF!</v>
      </c>
      <c r="P239">
        <f>IFERROR(SEARCH(search!$B$6,samples!#REF!,1),0)</f>
        <v>0</v>
      </c>
      <c r="Q239" t="e">
        <f>IF(samples!#REF!=0,"",samples!#REF!)</f>
        <v>#REF!</v>
      </c>
      <c r="R239">
        <f>IFERROR(SEARCH(search!$B$6,samples!#REF!,1),0)</f>
        <v>0</v>
      </c>
      <c r="S239" t="e">
        <f>IF(samples!#REF!=0,"",samples!#REF!)</f>
        <v>#REF!</v>
      </c>
      <c r="T239">
        <f>IFERROR(SEARCH(search!$B$6,samples!#REF!,1),0)</f>
        <v>0</v>
      </c>
      <c r="U239" t="e">
        <f>IF(samples!#REF!=0,"",samples!#REF!)</f>
        <v>#REF!</v>
      </c>
      <c r="V239">
        <f>IFERROR(SEARCH(search!$B$6,samples!#REF!,1),0)</f>
        <v>0</v>
      </c>
      <c r="W239" t="e">
        <f>IF(samples!#REF!=0,"",samples!#REF!)</f>
        <v>#REF!</v>
      </c>
      <c r="X239">
        <f>IFERROR(SEARCH(search!$B$6,samples!#REF!,1),0)</f>
        <v>0</v>
      </c>
      <c r="Y239" t="e">
        <f>IF(samples!#REF!=0,"",samples!#REF!)</f>
        <v>#REF!</v>
      </c>
      <c r="Z239">
        <f>IFERROR(SEARCH(search!$B$6,samples!#REF!,1),0)</f>
        <v>0</v>
      </c>
      <c r="AA239" t="e">
        <f>IF(samples!#REF!=0,"",samples!#REF!)</f>
        <v>#REF!</v>
      </c>
      <c r="AB239">
        <f>IFERROR(SEARCH(search!$B$6,samples!#REF!,1),0)</f>
        <v>0</v>
      </c>
      <c r="AC239" t="e">
        <f>IF(samples!#REF!=0,"",samples!#REF!)</f>
        <v>#REF!</v>
      </c>
      <c r="AD239">
        <f>IFERROR(SEARCH(search!$B$6,samples!#REF!,1),0)</f>
        <v>0</v>
      </c>
    </row>
    <row r="240" spans="1:30">
      <c r="A240">
        <f t="shared" si="3"/>
        <v>0</v>
      </c>
      <c r="B240">
        <f>IF(SUM(D240,F240,H240,J240,L240,N240,P240,R240,T240,V240,X240,Z240,AB240,AD240)&gt;0,SUM($A$2:A240),0)</f>
        <v>0</v>
      </c>
      <c r="C240" t="e">
        <f>samples!#REF!</f>
        <v>#REF!</v>
      </c>
      <c r="D240">
        <f>IFERROR(SEARCH(search!$B$6,samples!#REF!,1),0)</f>
        <v>0</v>
      </c>
      <c r="E240" t="e">
        <f>IF(samples!#REF!=0,"",samples!#REF!)</f>
        <v>#REF!</v>
      </c>
      <c r="F240">
        <f>IFERROR(SEARCH(search!$B$6,samples!#REF!,1),0)</f>
        <v>0</v>
      </c>
      <c r="G240" t="e">
        <f>IF(samples!#REF!=0,"",samples!#REF!)</f>
        <v>#REF!</v>
      </c>
      <c r="H240">
        <f>IFERROR(SEARCH(search!$B$6,samples!#REF!,1),0)</f>
        <v>0</v>
      </c>
      <c r="I240" t="e">
        <f>IF(samples!#REF!=0,"",samples!#REF!)</f>
        <v>#REF!</v>
      </c>
      <c r="J240">
        <f>IFERROR(SEARCH(search!$B$6,samples!#REF!,1),0)</f>
        <v>0</v>
      </c>
      <c r="K240" t="e">
        <f>IF(samples!#REF!=0,"",samples!#REF!)</f>
        <v>#REF!</v>
      </c>
      <c r="L240">
        <f>IFERROR(SEARCH(search!$B$6,samples!#REF!,1),0)</f>
        <v>0</v>
      </c>
      <c r="M240" t="e">
        <f>IF(samples!#REF!=0,"",samples!#REF!)</f>
        <v>#REF!</v>
      </c>
      <c r="N240">
        <f>IFERROR(SEARCH(search!$B$6,samples!#REF!,1),0)</f>
        <v>0</v>
      </c>
      <c r="O240" t="e">
        <f>IF(samples!#REF!=0,"",samples!#REF!)</f>
        <v>#REF!</v>
      </c>
      <c r="P240">
        <f>IFERROR(SEARCH(search!$B$6,samples!#REF!,1),0)</f>
        <v>0</v>
      </c>
      <c r="Q240" t="e">
        <f>IF(samples!#REF!=0,"",samples!#REF!)</f>
        <v>#REF!</v>
      </c>
      <c r="R240">
        <f>IFERROR(SEARCH(search!$B$6,samples!#REF!,1),0)</f>
        <v>0</v>
      </c>
      <c r="S240" t="e">
        <f>IF(samples!#REF!=0,"",samples!#REF!)</f>
        <v>#REF!</v>
      </c>
      <c r="T240">
        <f>IFERROR(SEARCH(search!$B$6,samples!#REF!,1),0)</f>
        <v>0</v>
      </c>
      <c r="U240" t="e">
        <f>IF(samples!#REF!=0,"",samples!#REF!)</f>
        <v>#REF!</v>
      </c>
      <c r="V240">
        <f>IFERROR(SEARCH(search!$B$6,samples!#REF!,1),0)</f>
        <v>0</v>
      </c>
      <c r="W240" t="e">
        <f>IF(samples!#REF!=0,"",samples!#REF!)</f>
        <v>#REF!</v>
      </c>
      <c r="X240">
        <f>IFERROR(SEARCH(search!$B$6,samples!#REF!,1),0)</f>
        <v>0</v>
      </c>
      <c r="Y240" t="e">
        <f>IF(samples!#REF!=0,"",samples!#REF!)</f>
        <v>#REF!</v>
      </c>
      <c r="Z240">
        <f>IFERROR(SEARCH(search!$B$6,samples!#REF!,1),0)</f>
        <v>0</v>
      </c>
      <c r="AA240" t="e">
        <f>IF(samples!#REF!=0,"",samples!#REF!)</f>
        <v>#REF!</v>
      </c>
      <c r="AB240">
        <f>IFERROR(SEARCH(search!$B$6,samples!#REF!,1),0)</f>
        <v>0</v>
      </c>
      <c r="AC240" t="e">
        <f>IF(samples!#REF!=0,"",samples!#REF!)</f>
        <v>#REF!</v>
      </c>
      <c r="AD240">
        <f>IFERROR(SEARCH(search!$B$6,samples!#REF!,1),0)</f>
        <v>0</v>
      </c>
    </row>
    <row r="241" spans="1:30">
      <c r="A241">
        <f t="shared" si="3"/>
        <v>0</v>
      </c>
      <c r="B241">
        <f>IF(SUM(D241,F241,H241,J241,L241,N241,P241,R241,T241,V241,X241,Z241,AB241,AD241)&gt;0,SUM($A$2:A241),0)</f>
        <v>0</v>
      </c>
      <c r="C241" t="e">
        <f>samples!#REF!</f>
        <v>#REF!</v>
      </c>
      <c r="D241">
        <f>IFERROR(SEARCH(search!$B$6,samples!#REF!,1),0)</f>
        <v>0</v>
      </c>
      <c r="E241" t="e">
        <f>IF(samples!#REF!=0,"",samples!#REF!)</f>
        <v>#REF!</v>
      </c>
      <c r="F241">
        <f>IFERROR(SEARCH(search!$B$6,samples!#REF!,1),0)</f>
        <v>0</v>
      </c>
      <c r="G241" t="e">
        <f>IF(samples!#REF!=0,"",samples!#REF!)</f>
        <v>#REF!</v>
      </c>
      <c r="H241">
        <f>IFERROR(SEARCH(search!$B$6,samples!#REF!,1),0)</f>
        <v>0</v>
      </c>
      <c r="I241" t="e">
        <f>IF(samples!#REF!=0,"",samples!#REF!)</f>
        <v>#REF!</v>
      </c>
      <c r="J241">
        <f>IFERROR(SEARCH(search!$B$6,samples!#REF!,1),0)</f>
        <v>0</v>
      </c>
      <c r="K241" t="e">
        <f>IF(samples!#REF!=0,"",samples!#REF!)</f>
        <v>#REF!</v>
      </c>
      <c r="L241">
        <f>IFERROR(SEARCH(search!$B$6,samples!#REF!,1),0)</f>
        <v>0</v>
      </c>
      <c r="M241" t="e">
        <f>IF(samples!#REF!=0,"",samples!#REF!)</f>
        <v>#REF!</v>
      </c>
      <c r="N241">
        <f>IFERROR(SEARCH(search!$B$6,samples!#REF!,1),0)</f>
        <v>0</v>
      </c>
      <c r="O241" t="e">
        <f>IF(samples!#REF!=0,"",samples!#REF!)</f>
        <v>#REF!</v>
      </c>
      <c r="P241">
        <f>IFERROR(SEARCH(search!$B$6,samples!#REF!,1),0)</f>
        <v>0</v>
      </c>
      <c r="Q241" t="e">
        <f>IF(samples!#REF!=0,"",samples!#REF!)</f>
        <v>#REF!</v>
      </c>
      <c r="R241">
        <f>IFERROR(SEARCH(search!$B$6,samples!#REF!,1),0)</f>
        <v>0</v>
      </c>
      <c r="S241" t="e">
        <f>IF(samples!#REF!=0,"",samples!#REF!)</f>
        <v>#REF!</v>
      </c>
      <c r="T241">
        <f>IFERROR(SEARCH(search!$B$6,samples!#REF!,1),0)</f>
        <v>0</v>
      </c>
      <c r="U241" t="e">
        <f>IF(samples!#REF!=0,"",samples!#REF!)</f>
        <v>#REF!</v>
      </c>
      <c r="V241">
        <f>IFERROR(SEARCH(search!$B$6,samples!#REF!,1),0)</f>
        <v>0</v>
      </c>
      <c r="W241" t="e">
        <f>IF(samples!#REF!=0,"",samples!#REF!)</f>
        <v>#REF!</v>
      </c>
      <c r="X241">
        <f>IFERROR(SEARCH(search!$B$6,samples!#REF!,1),0)</f>
        <v>0</v>
      </c>
      <c r="Y241" t="e">
        <f>IF(samples!#REF!=0,"",samples!#REF!)</f>
        <v>#REF!</v>
      </c>
      <c r="Z241">
        <f>IFERROR(SEARCH(search!$B$6,samples!#REF!,1),0)</f>
        <v>0</v>
      </c>
      <c r="AA241" t="e">
        <f>IF(samples!#REF!=0,"",samples!#REF!)</f>
        <v>#REF!</v>
      </c>
      <c r="AB241">
        <f>IFERROR(SEARCH(search!$B$6,samples!#REF!,1),0)</f>
        <v>0</v>
      </c>
      <c r="AC241" t="e">
        <f>IF(samples!#REF!=0,"",samples!#REF!)</f>
        <v>#REF!</v>
      </c>
      <c r="AD241">
        <f>IFERROR(SEARCH(search!$B$6,samples!#REF!,1),0)</f>
        <v>0</v>
      </c>
    </row>
    <row r="242" spans="1:30">
      <c r="A242">
        <f t="shared" si="3"/>
        <v>0</v>
      </c>
      <c r="B242">
        <f>IF(SUM(D242,F242,H242,J242,L242,N242,P242,R242,T242,V242,X242,Z242,AB242,AD242)&gt;0,SUM($A$2:A242),0)</f>
        <v>0</v>
      </c>
      <c r="C242" t="e">
        <f>samples!#REF!</f>
        <v>#REF!</v>
      </c>
      <c r="D242">
        <f>IFERROR(SEARCH(search!$B$6,samples!#REF!,1),0)</f>
        <v>0</v>
      </c>
      <c r="E242" t="e">
        <f>IF(samples!#REF!=0,"",samples!#REF!)</f>
        <v>#REF!</v>
      </c>
      <c r="F242">
        <f>IFERROR(SEARCH(search!$B$6,samples!#REF!,1),0)</f>
        <v>0</v>
      </c>
      <c r="G242" t="e">
        <f>IF(samples!#REF!=0,"",samples!#REF!)</f>
        <v>#REF!</v>
      </c>
      <c r="H242">
        <f>IFERROR(SEARCH(search!$B$6,samples!#REF!,1),0)</f>
        <v>0</v>
      </c>
      <c r="I242" t="e">
        <f>IF(samples!#REF!=0,"",samples!#REF!)</f>
        <v>#REF!</v>
      </c>
      <c r="J242">
        <f>IFERROR(SEARCH(search!$B$6,samples!#REF!,1),0)</f>
        <v>0</v>
      </c>
      <c r="K242" t="e">
        <f>IF(samples!#REF!=0,"",samples!#REF!)</f>
        <v>#REF!</v>
      </c>
      <c r="L242">
        <f>IFERROR(SEARCH(search!$B$6,samples!#REF!,1),0)</f>
        <v>0</v>
      </c>
      <c r="M242" t="e">
        <f>IF(samples!#REF!=0,"",samples!#REF!)</f>
        <v>#REF!</v>
      </c>
      <c r="N242">
        <f>IFERROR(SEARCH(search!$B$6,samples!#REF!,1),0)</f>
        <v>0</v>
      </c>
      <c r="O242" t="e">
        <f>IF(samples!#REF!=0,"",samples!#REF!)</f>
        <v>#REF!</v>
      </c>
      <c r="P242">
        <f>IFERROR(SEARCH(search!$B$6,samples!#REF!,1),0)</f>
        <v>0</v>
      </c>
      <c r="Q242" t="e">
        <f>IF(samples!#REF!=0,"",samples!#REF!)</f>
        <v>#REF!</v>
      </c>
      <c r="R242">
        <f>IFERROR(SEARCH(search!$B$6,samples!#REF!,1),0)</f>
        <v>0</v>
      </c>
      <c r="S242" t="e">
        <f>IF(samples!#REF!=0,"",samples!#REF!)</f>
        <v>#REF!</v>
      </c>
      <c r="T242">
        <f>IFERROR(SEARCH(search!$B$6,samples!#REF!,1),0)</f>
        <v>0</v>
      </c>
      <c r="U242" t="e">
        <f>IF(samples!#REF!=0,"",samples!#REF!)</f>
        <v>#REF!</v>
      </c>
      <c r="V242">
        <f>IFERROR(SEARCH(search!$B$6,samples!#REF!,1),0)</f>
        <v>0</v>
      </c>
      <c r="W242" t="e">
        <f>IF(samples!#REF!=0,"",samples!#REF!)</f>
        <v>#REF!</v>
      </c>
      <c r="X242">
        <f>IFERROR(SEARCH(search!$B$6,samples!#REF!,1),0)</f>
        <v>0</v>
      </c>
      <c r="Y242" t="e">
        <f>IF(samples!#REF!=0,"",samples!#REF!)</f>
        <v>#REF!</v>
      </c>
      <c r="Z242">
        <f>IFERROR(SEARCH(search!$B$6,samples!#REF!,1),0)</f>
        <v>0</v>
      </c>
      <c r="AA242" t="e">
        <f>IF(samples!#REF!=0,"",samples!#REF!)</f>
        <v>#REF!</v>
      </c>
      <c r="AB242">
        <f>IFERROR(SEARCH(search!$B$6,samples!#REF!,1),0)</f>
        <v>0</v>
      </c>
      <c r="AC242" t="e">
        <f>IF(samples!#REF!=0,"",samples!#REF!)</f>
        <v>#REF!</v>
      </c>
      <c r="AD242">
        <f>IFERROR(SEARCH(search!$B$6,samples!#REF!,1),0)</f>
        <v>0</v>
      </c>
    </row>
    <row r="243" spans="1:30">
      <c r="A243">
        <f t="shared" si="3"/>
        <v>0</v>
      </c>
      <c r="B243">
        <f>IF(SUM(D243,F243,H243,J243,L243,N243,P243,R243,T243,V243,X243,Z243,AB243,AD243)&gt;0,SUM($A$2:A243),0)</f>
        <v>0</v>
      </c>
      <c r="C243" t="e">
        <f>samples!#REF!</f>
        <v>#REF!</v>
      </c>
      <c r="D243">
        <f>IFERROR(SEARCH(search!$B$6,samples!#REF!,1),0)</f>
        <v>0</v>
      </c>
      <c r="E243" t="e">
        <f>IF(samples!#REF!=0,"",samples!#REF!)</f>
        <v>#REF!</v>
      </c>
      <c r="F243">
        <f>IFERROR(SEARCH(search!$B$6,samples!#REF!,1),0)</f>
        <v>0</v>
      </c>
      <c r="G243" t="e">
        <f>IF(samples!#REF!=0,"",samples!#REF!)</f>
        <v>#REF!</v>
      </c>
      <c r="H243">
        <f>IFERROR(SEARCH(search!$B$6,samples!#REF!,1),0)</f>
        <v>0</v>
      </c>
      <c r="I243" t="e">
        <f>IF(samples!#REF!=0,"",samples!#REF!)</f>
        <v>#REF!</v>
      </c>
      <c r="J243">
        <f>IFERROR(SEARCH(search!$B$6,samples!#REF!,1),0)</f>
        <v>0</v>
      </c>
      <c r="K243" t="e">
        <f>IF(samples!#REF!=0,"",samples!#REF!)</f>
        <v>#REF!</v>
      </c>
      <c r="L243">
        <f>IFERROR(SEARCH(search!$B$6,samples!#REF!,1),0)</f>
        <v>0</v>
      </c>
      <c r="M243" t="e">
        <f>IF(samples!#REF!=0,"",samples!#REF!)</f>
        <v>#REF!</v>
      </c>
      <c r="N243">
        <f>IFERROR(SEARCH(search!$B$6,samples!#REF!,1),0)</f>
        <v>0</v>
      </c>
      <c r="O243" t="e">
        <f>IF(samples!#REF!=0,"",samples!#REF!)</f>
        <v>#REF!</v>
      </c>
      <c r="P243">
        <f>IFERROR(SEARCH(search!$B$6,samples!#REF!,1),0)</f>
        <v>0</v>
      </c>
      <c r="Q243" t="e">
        <f>IF(samples!#REF!=0,"",samples!#REF!)</f>
        <v>#REF!</v>
      </c>
      <c r="R243">
        <f>IFERROR(SEARCH(search!$B$6,samples!#REF!,1),0)</f>
        <v>0</v>
      </c>
      <c r="S243" t="e">
        <f>IF(samples!#REF!=0,"",samples!#REF!)</f>
        <v>#REF!</v>
      </c>
      <c r="T243">
        <f>IFERROR(SEARCH(search!$B$6,samples!#REF!,1),0)</f>
        <v>0</v>
      </c>
      <c r="U243" t="e">
        <f>IF(samples!#REF!=0,"",samples!#REF!)</f>
        <v>#REF!</v>
      </c>
      <c r="V243">
        <f>IFERROR(SEARCH(search!$B$6,samples!#REF!,1),0)</f>
        <v>0</v>
      </c>
      <c r="W243" t="e">
        <f>IF(samples!#REF!=0,"",samples!#REF!)</f>
        <v>#REF!</v>
      </c>
      <c r="X243">
        <f>IFERROR(SEARCH(search!$B$6,samples!#REF!,1),0)</f>
        <v>0</v>
      </c>
      <c r="Y243" t="e">
        <f>IF(samples!#REF!=0,"",samples!#REF!)</f>
        <v>#REF!</v>
      </c>
      <c r="Z243">
        <f>IFERROR(SEARCH(search!$B$6,samples!#REF!,1),0)</f>
        <v>0</v>
      </c>
      <c r="AA243" t="e">
        <f>IF(samples!#REF!=0,"",samples!#REF!)</f>
        <v>#REF!</v>
      </c>
      <c r="AB243">
        <f>IFERROR(SEARCH(search!$B$6,samples!#REF!,1),0)</f>
        <v>0</v>
      </c>
      <c r="AC243" t="e">
        <f>IF(samples!#REF!=0,"",samples!#REF!)</f>
        <v>#REF!</v>
      </c>
      <c r="AD243">
        <f>IFERROR(SEARCH(search!$B$6,samples!#REF!,1),0)</f>
        <v>0</v>
      </c>
    </row>
    <row r="244" spans="1:30">
      <c r="A244">
        <f t="shared" si="3"/>
        <v>0</v>
      </c>
      <c r="B244">
        <f>IF(SUM(D244,F244,H244,J244,L244,N244,P244,R244,T244,V244,X244,Z244,AB244,AD244)&gt;0,SUM($A$2:A244),0)</f>
        <v>0</v>
      </c>
      <c r="C244" t="e">
        <f>samples!#REF!</f>
        <v>#REF!</v>
      </c>
      <c r="D244">
        <f>IFERROR(SEARCH(search!$B$6,samples!#REF!,1),0)</f>
        <v>0</v>
      </c>
      <c r="E244" t="e">
        <f>IF(samples!#REF!=0,"",samples!#REF!)</f>
        <v>#REF!</v>
      </c>
      <c r="F244">
        <f>IFERROR(SEARCH(search!$B$6,samples!#REF!,1),0)</f>
        <v>0</v>
      </c>
      <c r="G244" t="e">
        <f>IF(samples!#REF!=0,"",samples!#REF!)</f>
        <v>#REF!</v>
      </c>
      <c r="H244">
        <f>IFERROR(SEARCH(search!$B$6,samples!#REF!,1),0)</f>
        <v>0</v>
      </c>
      <c r="I244" t="e">
        <f>IF(samples!#REF!=0,"",samples!#REF!)</f>
        <v>#REF!</v>
      </c>
      <c r="J244">
        <f>IFERROR(SEARCH(search!$B$6,samples!#REF!,1),0)</f>
        <v>0</v>
      </c>
      <c r="K244" t="e">
        <f>IF(samples!#REF!=0,"",samples!#REF!)</f>
        <v>#REF!</v>
      </c>
      <c r="L244">
        <f>IFERROR(SEARCH(search!$B$6,samples!#REF!,1),0)</f>
        <v>0</v>
      </c>
      <c r="M244" t="e">
        <f>IF(samples!#REF!=0,"",samples!#REF!)</f>
        <v>#REF!</v>
      </c>
      <c r="N244">
        <f>IFERROR(SEARCH(search!$B$6,samples!#REF!,1),0)</f>
        <v>0</v>
      </c>
      <c r="O244" t="e">
        <f>IF(samples!#REF!=0,"",samples!#REF!)</f>
        <v>#REF!</v>
      </c>
      <c r="P244">
        <f>IFERROR(SEARCH(search!$B$6,samples!#REF!,1),0)</f>
        <v>0</v>
      </c>
      <c r="Q244" t="e">
        <f>IF(samples!#REF!=0,"",samples!#REF!)</f>
        <v>#REF!</v>
      </c>
      <c r="R244">
        <f>IFERROR(SEARCH(search!$B$6,samples!#REF!,1),0)</f>
        <v>0</v>
      </c>
      <c r="S244" t="e">
        <f>IF(samples!#REF!=0,"",samples!#REF!)</f>
        <v>#REF!</v>
      </c>
      <c r="T244">
        <f>IFERROR(SEARCH(search!$B$6,samples!#REF!,1),0)</f>
        <v>0</v>
      </c>
      <c r="U244" t="e">
        <f>IF(samples!#REF!=0,"",samples!#REF!)</f>
        <v>#REF!</v>
      </c>
      <c r="V244">
        <f>IFERROR(SEARCH(search!$B$6,samples!#REF!,1),0)</f>
        <v>0</v>
      </c>
      <c r="W244" t="e">
        <f>IF(samples!#REF!=0,"",samples!#REF!)</f>
        <v>#REF!</v>
      </c>
      <c r="X244">
        <f>IFERROR(SEARCH(search!$B$6,samples!#REF!,1),0)</f>
        <v>0</v>
      </c>
      <c r="Y244" t="e">
        <f>IF(samples!#REF!=0,"",samples!#REF!)</f>
        <v>#REF!</v>
      </c>
      <c r="Z244">
        <f>IFERROR(SEARCH(search!$B$6,samples!#REF!,1),0)</f>
        <v>0</v>
      </c>
      <c r="AA244" t="e">
        <f>IF(samples!#REF!=0,"",samples!#REF!)</f>
        <v>#REF!</v>
      </c>
      <c r="AB244">
        <f>IFERROR(SEARCH(search!$B$6,samples!#REF!,1),0)</f>
        <v>0</v>
      </c>
      <c r="AC244" t="e">
        <f>IF(samples!#REF!=0,"",samples!#REF!)</f>
        <v>#REF!</v>
      </c>
      <c r="AD244">
        <f>IFERROR(SEARCH(search!$B$6,samples!#REF!,1),0)</f>
        <v>0</v>
      </c>
    </row>
    <row r="245" spans="1:30">
      <c r="A245">
        <f t="shared" si="3"/>
        <v>0</v>
      </c>
      <c r="B245">
        <f>IF(SUM(D245,F245,H245,J245,L245,N245,P245,R245,T245,V245,X245,Z245,AB245,AD245)&gt;0,SUM($A$2:A245),0)</f>
        <v>0</v>
      </c>
      <c r="C245" t="e">
        <f>samples!#REF!</f>
        <v>#REF!</v>
      </c>
      <c r="D245">
        <f>IFERROR(SEARCH(search!$B$6,samples!#REF!,1),0)</f>
        <v>0</v>
      </c>
      <c r="E245" t="e">
        <f>IF(samples!#REF!=0,"",samples!#REF!)</f>
        <v>#REF!</v>
      </c>
      <c r="F245">
        <f>IFERROR(SEARCH(search!$B$6,samples!#REF!,1),0)</f>
        <v>0</v>
      </c>
      <c r="G245" t="e">
        <f>IF(samples!#REF!=0,"",samples!#REF!)</f>
        <v>#REF!</v>
      </c>
      <c r="H245">
        <f>IFERROR(SEARCH(search!$B$6,samples!#REF!,1),0)</f>
        <v>0</v>
      </c>
      <c r="I245" t="e">
        <f>IF(samples!#REF!=0,"",samples!#REF!)</f>
        <v>#REF!</v>
      </c>
      <c r="J245">
        <f>IFERROR(SEARCH(search!$B$6,samples!#REF!,1),0)</f>
        <v>0</v>
      </c>
      <c r="K245" t="e">
        <f>IF(samples!#REF!=0,"",samples!#REF!)</f>
        <v>#REF!</v>
      </c>
      <c r="L245">
        <f>IFERROR(SEARCH(search!$B$6,samples!#REF!,1),0)</f>
        <v>0</v>
      </c>
      <c r="M245" t="e">
        <f>IF(samples!#REF!=0,"",samples!#REF!)</f>
        <v>#REF!</v>
      </c>
      <c r="N245">
        <f>IFERROR(SEARCH(search!$B$6,samples!#REF!,1),0)</f>
        <v>0</v>
      </c>
      <c r="O245" t="e">
        <f>IF(samples!#REF!=0,"",samples!#REF!)</f>
        <v>#REF!</v>
      </c>
      <c r="P245">
        <f>IFERROR(SEARCH(search!$B$6,samples!#REF!,1),0)</f>
        <v>0</v>
      </c>
      <c r="Q245" t="e">
        <f>IF(samples!#REF!=0,"",samples!#REF!)</f>
        <v>#REF!</v>
      </c>
      <c r="R245">
        <f>IFERROR(SEARCH(search!$B$6,samples!#REF!,1),0)</f>
        <v>0</v>
      </c>
      <c r="S245" t="e">
        <f>IF(samples!#REF!=0,"",samples!#REF!)</f>
        <v>#REF!</v>
      </c>
      <c r="T245">
        <f>IFERROR(SEARCH(search!$B$6,samples!#REF!,1),0)</f>
        <v>0</v>
      </c>
      <c r="U245" t="e">
        <f>IF(samples!#REF!=0,"",samples!#REF!)</f>
        <v>#REF!</v>
      </c>
      <c r="V245">
        <f>IFERROR(SEARCH(search!$B$6,samples!#REF!,1),0)</f>
        <v>0</v>
      </c>
      <c r="W245" t="e">
        <f>IF(samples!#REF!=0,"",samples!#REF!)</f>
        <v>#REF!</v>
      </c>
      <c r="X245">
        <f>IFERROR(SEARCH(search!$B$6,samples!#REF!,1),0)</f>
        <v>0</v>
      </c>
      <c r="Y245" t="e">
        <f>IF(samples!#REF!=0,"",samples!#REF!)</f>
        <v>#REF!</v>
      </c>
      <c r="Z245">
        <f>IFERROR(SEARCH(search!$B$6,samples!#REF!,1),0)</f>
        <v>0</v>
      </c>
      <c r="AA245" t="e">
        <f>IF(samples!#REF!=0,"",samples!#REF!)</f>
        <v>#REF!</v>
      </c>
      <c r="AB245">
        <f>IFERROR(SEARCH(search!$B$6,samples!#REF!,1),0)</f>
        <v>0</v>
      </c>
      <c r="AC245" t="e">
        <f>IF(samples!#REF!=0,"",samples!#REF!)</f>
        <v>#REF!</v>
      </c>
      <c r="AD245">
        <f>IFERROR(SEARCH(search!$B$6,samples!#REF!,1),0)</f>
        <v>0</v>
      </c>
    </row>
    <row r="246" spans="1:30">
      <c r="A246">
        <f t="shared" si="3"/>
        <v>0</v>
      </c>
      <c r="B246">
        <f>IF(SUM(D246,F246,H246,J246,L246,N246,P246,R246,T246,V246,X246,Z246,AB246,AD246)&gt;0,SUM($A$2:A246),0)</f>
        <v>0</v>
      </c>
      <c r="C246" t="e">
        <f>samples!#REF!</f>
        <v>#REF!</v>
      </c>
      <c r="D246">
        <f>IFERROR(SEARCH(search!$B$6,samples!#REF!,1),0)</f>
        <v>0</v>
      </c>
      <c r="E246" t="e">
        <f>IF(samples!#REF!=0,"",samples!#REF!)</f>
        <v>#REF!</v>
      </c>
      <c r="F246">
        <f>IFERROR(SEARCH(search!$B$6,samples!#REF!,1),0)</f>
        <v>0</v>
      </c>
      <c r="G246" t="e">
        <f>IF(samples!#REF!=0,"",samples!#REF!)</f>
        <v>#REF!</v>
      </c>
      <c r="H246">
        <f>IFERROR(SEARCH(search!$B$6,samples!#REF!,1),0)</f>
        <v>0</v>
      </c>
      <c r="I246" t="e">
        <f>IF(samples!#REF!=0,"",samples!#REF!)</f>
        <v>#REF!</v>
      </c>
      <c r="J246">
        <f>IFERROR(SEARCH(search!$B$6,samples!#REF!,1),0)</f>
        <v>0</v>
      </c>
      <c r="K246" t="e">
        <f>IF(samples!#REF!=0,"",samples!#REF!)</f>
        <v>#REF!</v>
      </c>
      <c r="L246">
        <f>IFERROR(SEARCH(search!$B$6,samples!#REF!,1),0)</f>
        <v>0</v>
      </c>
      <c r="M246" t="e">
        <f>IF(samples!#REF!=0,"",samples!#REF!)</f>
        <v>#REF!</v>
      </c>
      <c r="N246">
        <f>IFERROR(SEARCH(search!$B$6,samples!#REF!,1),0)</f>
        <v>0</v>
      </c>
      <c r="O246" t="e">
        <f>IF(samples!#REF!=0,"",samples!#REF!)</f>
        <v>#REF!</v>
      </c>
      <c r="P246">
        <f>IFERROR(SEARCH(search!$B$6,samples!#REF!,1),0)</f>
        <v>0</v>
      </c>
      <c r="Q246" t="e">
        <f>IF(samples!#REF!=0,"",samples!#REF!)</f>
        <v>#REF!</v>
      </c>
      <c r="R246">
        <f>IFERROR(SEARCH(search!$B$6,samples!#REF!,1),0)</f>
        <v>0</v>
      </c>
      <c r="S246" t="e">
        <f>IF(samples!#REF!=0,"",samples!#REF!)</f>
        <v>#REF!</v>
      </c>
      <c r="T246">
        <f>IFERROR(SEARCH(search!$B$6,samples!#REF!,1),0)</f>
        <v>0</v>
      </c>
      <c r="U246" t="e">
        <f>IF(samples!#REF!=0,"",samples!#REF!)</f>
        <v>#REF!</v>
      </c>
      <c r="V246">
        <f>IFERROR(SEARCH(search!$B$6,samples!#REF!,1),0)</f>
        <v>0</v>
      </c>
      <c r="W246" t="e">
        <f>IF(samples!#REF!=0,"",samples!#REF!)</f>
        <v>#REF!</v>
      </c>
      <c r="X246">
        <f>IFERROR(SEARCH(search!$B$6,samples!#REF!,1),0)</f>
        <v>0</v>
      </c>
      <c r="Y246" t="e">
        <f>IF(samples!#REF!=0,"",samples!#REF!)</f>
        <v>#REF!</v>
      </c>
      <c r="Z246">
        <f>IFERROR(SEARCH(search!$B$6,samples!#REF!,1),0)</f>
        <v>0</v>
      </c>
      <c r="AA246" t="e">
        <f>IF(samples!#REF!=0,"",samples!#REF!)</f>
        <v>#REF!</v>
      </c>
      <c r="AB246">
        <f>IFERROR(SEARCH(search!$B$6,samples!#REF!,1),0)</f>
        <v>0</v>
      </c>
      <c r="AC246" t="e">
        <f>IF(samples!#REF!=0,"",samples!#REF!)</f>
        <v>#REF!</v>
      </c>
      <c r="AD246">
        <f>IFERROR(SEARCH(search!$B$6,samples!#REF!,1),0)</f>
        <v>0</v>
      </c>
    </row>
    <row r="247" spans="1:30">
      <c r="A247">
        <f t="shared" si="3"/>
        <v>0</v>
      </c>
      <c r="B247">
        <f>IF(SUM(D247,F247,H247,J247,L247,N247,P247,R247,T247,V247,X247,Z247,AB247,AD247)&gt;0,SUM($A$2:A247),0)</f>
        <v>0</v>
      </c>
      <c r="C247" t="e">
        <f>samples!#REF!</f>
        <v>#REF!</v>
      </c>
      <c r="D247">
        <f>IFERROR(SEARCH(search!$B$6,samples!#REF!,1),0)</f>
        <v>0</v>
      </c>
      <c r="E247" t="e">
        <f>IF(samples!#REF!=0,"",samples!#REF!)</f>
        <v>#REF!</v>
      </c>
      <c r="F247">
        <f>IFERROR(SEARCH(search!$B$6,samples!#REF!,1),0)</f>
        <v>0</v>
      </c>
      <c r="G247" t="e">
        <f>IF(samples!#REF!=0,"",samples!#REF!)</f>
        <v>#REF!</v>
      </c>
      <c r="H247">
        <f>IFERROR(SEARCH(search!$B$6,samples!#REF!,1),0)</f>
        <v>0</v>
      </c>
      <c r="I247" t="e">
        <f>IF(samples!#REF!=0,"",samples!#REF!)</f>
        <v>#REF!</v>
      </c>
      <c r="J247">
        <f>IFERROR(SEARCH(search!$B$6,samples!#REF!,1),0)</f>
        <v>0</v>
      </c>
      <c r="K247" t="e">
        <f>IF(samples!#REF!=0,"",samples!#REF!)</f>
        <v>#REF!</v>
      </c>
      <c r="L247">
        <f>IFERROR(SEARCH(search!$B$6,samples!#REF!,1),0)</f>
        <v>0</v>
      </c>
      <c r="M247" t="e">
        <f>IF(samples!#REF!=0,"",samples!#REF!)</f>
        <v>#REF!</v>
      </c>
      <c r="N247">
        <f>IFERROR(SEARCH(search!$B$6,samples!#REF!,1),0)</f>
        <v>0</v>
      </c>
      <c r="O247" t="e">
        <f>IF(samples!#REF!=0,"",samples!#REF!)</f>
        <v>#REF!</v>
      </c>
      <c r="P247">
        <f>IFERROR(SEARCH(search!$B$6,samples!#REF!,1),0)</f>
        <v>0</v>
      </c>
      <c r="Q247" t="e">
        <f>IF(samples!#REF!=0,"",samples!#REF!)</f>
        <v>#REF!</v>
      </c>
      <c r="R247">
        <f>IFERROR(SEARCH(search!$B$6,samples!#REF!,1),0)</f>
        <v>0</v>
      </c>
      <c r="S247" t="e">
        <f>IF(samples!#REF!=0,"",samples!#REF!)</f>
        <v>#REF!</v>
      </c>
      <c r="T247">
        <f>IFERROR(SEARCH(search!$B$6,samples!#REF!,1),0)</f>
        <v>0</v>
      </c>
      <c r="U247" t="e">
        <f>IF(samples!#REF!=0,"",samples!#REF!)</f>
        <v>#REF!</v>
      </c>
      <c r="V247">
        <f>IFERROR(SEARCH(search!$B$6,samples!#REF!,1),0)</f>
        <v>0</v>
      </c>
      <c r="W247" t="e">
        <f>IF(samples!#REF!=0,"",samples!#REF!)</f>
        <v>#REF!</v>
      </c>
      <c r="X247">
        <f>IFERROR(SEARCH(search!$B$6,samples!#REF!,1),0)</f>
        <v>0</v>
      </c>
      <c r="Y247" t="e">
        <f>IF(samples!#REF!=0,"",samples!#REF!)</f>
        <v>#REF!</v>
      </c>
      <c r="Z247">
        <f>IFERROR(SEARCH(search!$B$6,samples!#REF!,1),0)</f>
        <v>0</v>
      </c>
      <c r="AA247" t="e">
        <f>IF(samples!#REF!=0,"",samples!#REF!)</f>
        <v>#REF!</v>
      </c>
      <c r="AB247">
        <f>IFERROR(SEARCH(search!$B$6,samples!#REF!,1),0)</f>
        <v>0</v>
      </c>
      <c r="AC247" t="e">
        <f>IF(samples!#REF!=0,"",samples!#REF!)</f>
        <v>#REF!</v>
      </c>
      <c r="AD247">
        <f>IFERROR(SEARCH(search!$B$6,samples!#REF!,1),0)</f>
        <v>0</v>
      </c>
    </row>
    <row r="248" spans="1:30">
      <c r="A248">
        <f t="shared" si="3"/>
        <v>0</v>
      </c>
      <c r="B248">
        <f>IF(SUM(D248,F248,H248,J248,L248,N248,P248,R248,T248,V248,X248,Z248,AB248,AD248)&gt;0,SUM($A$2:A248),0)</f>
        <v>0</v>
      </c>
      <c r="C248" t="e">
        <f>samples!#REF!</f>
        <v>#REF!</v>
      </c>
      <c r="D248">
        <f>IFERROR(SEARCH(search!$B$6,samples!#REF!,1),0)</f>
        <v>0</v>
      </c>
      <c r="E248" t="e">
        <f>IF(samples!#REF!=0,"",samples!#REF!)</f>
        <v>#REF!</v>
      </c>
      <c r="F248">
        <f>IFERROR(SEARCH(search!$B$6,samples!#REF!,1),0)</f>
        <v>0</v>
      </c>
      <c r="G248" t="e">
        <f>IF(samples!#REF!=0,"",samples!#REF!)</f>
        <v>#REF!</v>
      </c>
      <c r="H248">
        <f>IFERROR(SEARCH(search!$B$6,samples!#REF!,1),0)</f>
        <v>0</v>
      </c>
      <c r="I248" t="e">
        <f>IF(samples!#REF!=0,"",samples!#REF!)</f>
        <v>#REF!</v>
      </c>
      <c r="J248">
        <f>IFERROR(SEARCH(search!$B$6,samples!#REF!,1),0)</f>
        <v>0</v>
      </c>
      <c r="K248" t="e">
        <f>IF(samples!#REF!=0,"",samples!#REF!)</f>
        <v>#REF!</v>
      </c>
      <c r="L248">
        <f>IFERROR(SEARCH(search!$B$6,samples!#REF!,1),0)</f>
        <v>0</v>
      </c>
      <c r="M248" t="e">
        <f>IF(samples!#REF!=0,"",samples!#REF!)</f>
        <v>#REF!</v>
      </c>
      <c r="N248">
        <f>IFERROR(SEARCH(search!$B$6,samples!#REF!,1),0)</f>
        <v>0</v>
      </c>
      <c r="O248" t="e">
        <f>IF(samples!#REF!=0,"",samples!#REF!)</f>
        <v>#REF!</v>
      </c>
      <c r="P248">
        <f>IFERROR(SEARCH(search!$B$6,samples!#REF!,1),0)</f>
        <v>0</v>
      </c>
      <c r="Q248" t="e">
        <f>IF(samples!#REF!=0,"",samples!#REF!)</f>
        <v>#REF!</v>
      </c>
      <c r="R248">
        <f>IFERROR(SEARCH(search!$B$6,samples!#REF!,1),0)</f>
        <v>0</v>
      </c>
      <c r="S248" t="e">
        <f>IF(samples!#REF!=0,"",samples!#REF!)</f>
        <v>#REF!</v>
      </c>
      <c r="T248">
        <f>IFERROR(SEARCH(search!$B$6,samples!#REF!,1),0)</f>
        <v>0</v>
      </c>
      <c r="U248" t="e">
        <f>IF(samples!#REF!=0,"",samples!#REF!)</f>
        <v>#REF!</v>
      </c>
      <c r="V248">
        <f>IFERROR(SEARCH(search!$B$6,samples!#REF!,1),0)</f>
        <v>0</v>
      </c>
      <c r="W248" t="e">
        <f>IF(samples!#REF!=0,"",samples!#REF!)</f>
        <v>#REF!</v>
      </c>
      <c r="X248">
        <f>IFERROR(SEARCH(search!$B$6,samples!#REF!,1),0)</f>
        <v>0</v>
      </c>
      <c r="Y248" t="e">
        <f>IF(samples!#REF!=0,"",samples!#REF!)</f>
        <v>#REF!</v>
      </c>
      <c r="Z248">
        <f>IFERROR(SEARCH(search!$B$6,samples!#REF!,1),0)</f>
        <v>0</v>
      </c>
      <c r="AA248" t="e">
        <f>IF(samples!#REF!=0,"",samples!#REF!)</f>
        <v>#REF!</v>
      </c>
      <c r="AB248">
        <f>IFERROR(SEARCH(search!$B$6,samples!#REF!,1),0)</f>
        <v>0</v>
      </c>
      <c r="AC248" t="e">
        <f>IF(samples!#REF!=0,"",samples!#REF!)</f>
        <v>#REF!</v>
      </c>
      <c r="AD248">
        <f>IFERROR(SEARCH(search!$B$6,samples!#REF!,1),0)</f>
        <v>0</v>
      </c>
    </row>
    <row r="249" spans="1:30">
      <c r="A249">
        <f t="shared" si="3"/>
        <v>0</v>
      </c>
      <c r="B249">
        <f>IF(SUM(D249,F249,H249,J249,L249,N249,P249,R249,T249,V249,X249,Z249,AB249,AD249)&gt;0,SUM($A$2:A249),0)</f>
        <v>0</v>
      </c>
      <c r="C249" t="e">
        <f>samples!#REF!</f>
        <v>#REF!</v>
      </c>
      <c r="D249">
        <f>IFERROR(SEARCH(search!$B$6,samples!#REF!,1),0)</f>
        <v>0</v>
      </c>
      <c r="E249" t="e">
        <f>IF(samples!#REF!=0,"",samples!#REF!)</f>
        <v>#REF!</v>
      </c>
      <c r="F249">
        <f>IFERROR(SEARCH(search!$B$6,samples!#REF!,1),0)</f>
        <v>0</v>
      </c>
      <c r="G249" t="e">
        <f>IF(samples!#REF!=0,"",samples!#REF!)</f>
        <v>#REF!</v>
      </c>
      <c r="H249">
        <f>IFERROR(SEARCH(search!$B$6,samples!#REF!,1),0)</f>
        <v>0</v>
      </c>
      <c r="I249" t="e">
        <f>IF(samples!#REF!=0,"",samples!#REF!)</f>
        <v>#REF!</v>
      </c>
      <c r="J249">
        <f>IFERROR(SEARCH(search!$B$6,samples!#REF!,1),0)</f>
        <v>0</v>
      </c>
      <c r="K249" t="e">
        <f>IF(samples!#REF!=0,"",samples!#REF!)</f>
        <v>#REF!</v>
      </c>
      <c r="L249">
        <f>IFERROR(SEARCH(search!$B$6,samples!#REF!,1),0)</f>
        <v>0</v>
      </c>
      <c r="M249" t="e">
        <f>IF(samples!#REF!=0,"",samples!#REF!)</f>
        <v>#REF!</v>
      </c>
      <c r="N249">
        <f>IFERROR(SEARCH(search!$B$6,samples!#REF!,1),0)</f>
        <v>0</v>
      </c>
      <c r="O249" t="e">
        <f>IF(samples!#REF!=0,"",samples!#REF!)</f>
        <v>#REF!</v>
      </c>
      <c r="P249">
        <f>IFERROR(SEARCH(search!$B$6,samples!#REF!,1),0)</f>
        <v>0</v>
      </c>
      <c r="Q249" t="e">
        <f>IF(samples!#REF!=0,"",samples!#REF!)</f>
        <v>#REF!</v>
      </c>
      <c r="R249">
        <f>IFERROR(SEARCH(search!$B$6,samples!#REF!,1),0)</f>
        <v>0</v>
      </c>
      <c r="S249" t="e">
        <f>IF(samples!#REF!=0,"",samples!#REF!)</f>
        <v>#REF!</v>
      </c>
      <c r="T249">
        <f>IFERROR(SEARCH(search!$B$6,samples!#REF!,1),0)</f>
        <v>0</v>
      </c>
      <c r="U249" t="e">
        <f>IF(samples!#REF!=0,"",samples!#REF!)</f>
        <v>#REF!</v>
      </c>
      <c r="V249">
        <f>IFERROR(SEARCH(search!$B$6,samples!#REF!,1),0)</f>
        <v>0</v>
      </c>
      <c r="W249" t="e">
        <f>IF(samples!#REF!=0,"",samples!#REF!)</f>
        <v>#REF!</v>
      </c>
      <c r="X249">
        <f>IFERROR(SEARCH(search!$B$6,samples!#REF!,1),0)</f>
        <v>0</v>
      </c>
      <c r="Y249" t="e">
        <f>IF(samples!#REF!=0,"",samples!#REF!)</f>
        <v>#REF!</v>
      </c>
      <c r="Z249">
        <f>IFERROR(SEARCH(search!$B$6,samples!#REF!,1),0)</f>
        <v>0</v>
      </c>
      <c r="AA249" t="e">
        <f>IF(samples!#REF!=0,"",samples!#REF!)</f>
        <v>#REF!</v>
      </c>
      <c r="AB249">
        <f>IFERROR(SEARCH(search!$B$6,samples!#REF!,1),0)</f>
        <v>0</v>
      </c>
      <c r="AC249" t="e">
        <f>IF(samples!#REF!=0,"",samples!#REF!)</f>
        <v>#REF!</v>
      </c>
      <c r="AD249">
        <f>IFERROR(SEARCH(search!$B$6,samples!#REF!,1),0)</f>
        <v>0</v>
      </c>
    </row>
    <row r="250" spans="1:30">
      <c r="A250">
        <f t="shared" si="3"/>
        <v>0</v>
      </c>
      <c r="B250">
        <f>IF(SUM(D250,F250,H250,J250,L250,N250,P250,R250,T250,V250,X250,Z250,AB250,AD250)&gt;0,SUM($A$2:A250),0)</f>
        <v>0</v>
      </c>
      <c r="C250" t="e">
        <f>samples!#REF!</f>
        <v>#REF!</v>
      </c>
      <c r="D250">
        <f>IFERROR(SEARCH(search!$B$6,samples!#REF!,1),0)</f>
        <v>0</v>
      </c>
      <c r="E250" t="e">
        <f>IF(samples!#REF!=0,"",samples!#REF!)</f>
        <v>#REF!</v>
      </c>
      <c r="F250">
        <f>IFERROR(SEARCH(search!$B$6,samples!#REF!,1),0)</f>
        <v>0</v>
      </c>
      <c r="G250" t="e">
        <f>IF(samples!#REF!=0,"",samples!#REF!)</f>
        <v>#REF!</v>
      </c>
      <c r="H250">
        <f>IFERROR(SEARCH(search!$B$6,samples!#REF!,1),0)</f>
        <v>0</v>
      </c>
      <c r="I250" t="e">
        <f>IF(samples!#REF!=0,"",samples!#REF!)</f>
        <v>#REF!</v>
      </c>
      <c r="J250">
        <f>IFERROR(SEARCH(search!$B$6,samples!#REF!,1),0)</f>
        <v>0</v>
      </c>
      <c r="K250" t="e">
        <f>IF(samples!#REF!=0,"",samples!#REF!)</f>
        <v>#REF!</v>
      </c>
      <c r="L250">
        <f>IFERROR(SEARCH(search!$B$6,samples!#REF!,1),0)</f>
        <v>0</v>
      </c>
      <c r="M250" t="e">
        <f>IF(samples!#REF!=0,"",samples!#REF!)</f>
        <v>#REF!</v>
      </c>
      <c r="N250">
        <f>IFERROR(SEARCH(search!$B$6,samples!#REF!,1),0)</f>
        <v>0</v>
      </c>
      <c r="O250" t="e">
        <f>IF(samples!#REF!=0,"",samples!#REF!)</f>
        <v>#REF!</v>
      </c>
      <c r="P250">
        <f>IFERROR(SEARCH(search!$B$6,samples!#REF!,1),0)</f>
        <v>0</v>
      </c>
      <c r="Q250" t="e">
        <f>IF(samples!#REF!=0,"",samples!#REF!)</f>
        <v>#REF!</v>
      </c>
      <c r="R250">
        <f>IFERROR(SEARCH(search!$B$6,samples!#REF!,1),0)</f>
        <v>0</v>
      </c>
      <c r="S250" t="e">
        <f>IF(samples!#REF!=0,"",samples!#REF!)</f>
        <v>#REF!</v>
      </c>
      <c r="T250">
        <f>IFERROR(SEARCH(search!$B$6,samples!#REF!,1),0)</f>
        <v>0</v>
      </c>
      <c r="U250" t="e">
        <f>IF(samples!#REF!=0,"",samples!#REF!)</f>
        <v>#REF!</v>
      </c>
      <c r="V250">
        <f>IFERROR(SEARCH(search!$B$6,samples!#REF!,1),0)</f>
        <v>0</v>
      </c>
      <c r="W250" t="e">
        <f>IF(samples!#REF!=0,"",samples!#REF!)</f>
        <v>#REF!</v>
      </c>
      <c r="X250">
        <f>IFERROR(SEARCH(search!$B$6,samples!#REF!,1),0)</f>
        <v>0</v>
      </c>
      <c r="Y250" t="e">
        <f>IF(samples!#REF!=0,"",samples!#REF!)</f>
        <v>#REF!</v>
      </c>
      <c r="Z250">
        <f>IFERROR(SEARCH(search!$B$6,samples!#REF!,1),0)</f>
        <v>0</v>
      </c>
      <c r="AA250" t="e">
        <f>IF(samples!#REF!=0,"",samples!#REF!)</f>
        <v>#REF!</v>
      </c>
      <c r="AB250">
        <f>IFERROR(SEARCH(search!$B$6,samples!#REF!,1),0)</f>
        <v>0</v>
      </c>
      <c r="AC250" t="e">
        <f>IF(samples!#REF!=0,"",samples!#REF!)</f>
        <v>#REF!</v>
      </c>
      <c r="AD250">
        <f>IFERROR(SEARCH(search!$B$6,samples!#REF!,1),0)</f>
        <v>0</v>
      </c>
    </row>
    <row r="251" spans="1:30">
      <c r="A251">
        <f t="shared" si="3"/>
        <v>0</v>
      </c>
      <c r="B251">
        <f>IF(SUM(D251,F251,H251,J251,L251,N251,P251,R251,T251,V251,X251,Z251,AB251,AD251)&gt;0,SUM($A$2:A251),0)</f>
        <v>0</v>
      </c>
      <c r="C251" t="e">
        <f>samples!#REF!</f>
        <v>#REF!</v>
      </c>
      <c r="D251">
        <f>IFERROR(SEARCH(search!$B$6,samples!#REF!,1),0)</f>
        <v>0</v>
      </c>
      <c r="E251" t="e">
        <f>IF(samples!#REF!=0,"",samples!#REF!)</f>
        <v>#REF!</v>
      </c>
      <c r="F251">
        <f>IFERROR(SEARCH(search!$B$6,samples!#REF!,1),0)</f>
        <v>0</v>
      </c>
      <c r="G251" t="e">
        <f>IF(samples!#REF!=0,"",samples!#REF!)</f>
        <v>#REF!</v>
      </c>
      <c r="H251">
        <f>IFERROR(SEARCH(search!$B$6,samples!#REF!,1),0)</f>
        <v>0</v>
      </c>
      <c r="I251" t="e">
        <f>IF(samples!#REF!=0,"",samples!#REF!)</f>
        <v>#REF!</v>
      </c>
      <c r="J251">
        <f>IFERROR(SEARCH(search!$B$6,samples!#REF!,1),0)</f>
        <v>0</v>
      </c>
      <c r="K251" t="e">
        <f>IF(samples!#REF!=0,"",samples!#REF!)</f>
        <v>#REF!</v>
      </c>
      <c r="L251">
        <f>IFERROR(SEARCH(search!$B$6,samples!#REF!,1),0)</f>
        <v>0</v>
      </c>
      <c r="M251" t="e">
        <f>IF(samples!#REF!=0,"",samples!#REF!)</f>
        <v>#REF!</v>
      </c>
      <c r="N251">
        <f>IFERROR(SEARCH(search!$B$6,samples!#REF!,1),0)</f>
        <v>0</v>
      </c>
      <c r="O251" t="e">
        <f>IF(samples!#REF!=0,"",samples!#REF!)</f>
        <v>#REF!</v>
      </c>
      <c r="P251">
        <f>IFERROR(SEARCH(search!$B$6,samples!#REF!,1),0)</f>
        <v>0</v>
      </c>
      <c r="Q251" t="e">
        <f>IF(samples!#REF!=0,"",samples!#REF!)</f>
        <v>#REF!</v>
      </c>
      <c r="R251">
        <f>IFERROR(SEARCH(search!$B$6,samples!#REF!,1),0)</f>
        <v>0</v>
      </c>
      <c r="S251" t="e">
        <f>IF(samples!#REF!=0,"",samples!#REF!)</f>
        <v>#REF!</v>
      </c>
      <c r="T251">
        <f>IFERROR(SEARCH(search!$B$6,samples!#REF!,1),0)</f>
        <v>0</v>
      </c>
      <c r="U251" t="e">
        <f>IF(samples!#REF!=0,"",samples!#REF!)</f>
        <v>#REF!</v>
      </c>
      <c r="V251">
        <f>IFERROR(SEARCH(search!$B$6,samples!#REF!,1),0)</f>
        <v>0</v>
      </c>
      <c r="W251" t="e">
        <f>IF(samples!#REF!=0,"",samples!#REF!)</f>
        <v>#REF!</v>
      </c>
      <c r="X251">
        <f>IFERROR(SEARCH(search!$B$6,samples!#REF!,1),0)</f>
        <v>0</v>
      </c>
      <c r="Y251" t="e">
        <f>IF(samples!#REF!=0,"",samples!#REF!)</f>
        <v>#REF!</v>
      </c>
      <c r="Z251">
        <f>IFERROR(SEARCH(search!$B$6,samples!#REF!,1),0)</f>
        <v>0</v>
      </c>
      <c r="AA251" t="e">
        <f>IF(samples!#REF!=0,"",samples!#REF!)</f>
        <v>#REF!</v>
      </c>
      <c r="AB251">
        <f>IFERROR(SEARCH(search!$B$6,samples!#REF!,1),0)</f>
        <v>0</v>
      </c>
      <c r="AC251" t="e">
        <f>IF(samples!#REF!=0,"",samples!#REF!)</f>
        <v>#REF!</v>
      </c>
      <c r="AD251">
        <f>IFERROR(SEARCH(search!$B$6,samples!#REF!,1),0)</f>
        <v>0</v>
      </c>
    </row>
    <row r="252" spans="1:30">
      <c r="A252">
        <f t="shared" si="3"/>
        <v>0</v>
      </c>
      <c r="B252">
        <f>IF(SUM(D252,F252,H252,J252,L252,N252,P252,R252,T252,V252,X252,Z252,AB252,AD252)&gt;0,SUM($A$2:A252),0)</f>
        <v>0</v>
      </c>
      <c r="C252" t="e">
        <f>samples!#REF!</f>
        <v>#REF!</v>
      </c>
      <c r="D252">
        <f>IFERROR(SEARCH(search!$B$6,samples!#REF!,1),0)</f>
        <v>0</v>
      </c>
      <c r="E252" t="e">
        <f>IF(samples!#REF!=0,"",samples!#REF!)</f>
        <v>#REF!</v>
      </c>
      <c r="F252">
        <f>IFERROR(SEARCH(search!$B$6,samples!#REF!,1),0)</f>
        <v>0</v>
      </c>
      <c r="G252" t="e">
        <f>IF(samples!#REF!=0,"",samples!#REF!)</f>
        <v>#REF!</v>
      </c>
      <c r="H252">
        <f>IFERROR(SEARCH(search!$B$6,samples!#REF!,1),0)</f>
        <v>0</v>
      </c>
      <c r="I252" t="e">
        <f>IF(samples!#REF!=0,"",samples!#REF!)</f>
        <v>#REF!</v>
      </c>
      <c r="J252">
        <f>IFERROR(SEARCH(search!$B$6,samples!#REF!,1),0)</f>
        <v>0</v>
      </c>
      <c r="K252" t="e">
        <f>IF(samples!#REF!=0,"",samples!#REF!)</f>
        <v>#REF!</v>
      </c>
      <c r="L252">
        <f>IFERROR(SEARCH(search!$B$6,samples!#REF!,1),0)</f>
        <v>0</v>
      </c>
      <c r="M252" t="e">
        <f>IF(samples!#REF!=0,"",samples!#REF!)</f>
        <v>#REF!</v>
      </c>
      <c r="N252">
        <f>IFERROR(SEARCH(search!$B$6,samples!#REF!,1),0)</f>
        <v>0</v>
      </c>
      <c r="O252" t="e">
        <f>IF(samples!#REF!=0,"",samples!#REF!)</f>
        <v>#REF!</v>
      </c>
      <c r="P252">
        <f>IFERROR(SEARCH(search!$B$6,samples!#REF!,1),0)</f>
        <v>0</v>
      </c>
      <c r="Q252" t="e">
        <f>IF(samples!#REF!=0,"",samples!#REF!)</f>
        <v>#REF!</v>
      </c>
      <c r="R252">
        <f>IFERROR(SEARCH(search!$B$6,samples!#REF!,1),0)</f>
        <v>0</v>
      </c>
      <c r="S252" t="e">
        <f>IF(samples!#REF!=0,"",samples!#REF!)</f>
        <v>#REF!</v>
      </c>
      <c r="T252">
        <f>IFERROR(SEARCH(search!$B$6,samples!#REF!,1),0)</f>
        <v>0</v>
      </c>
      <c r="U252" t="e">
        <f>IF(samples!#REF!=0,"",samples!#REF!)</f>
        <v>#REF!</v>
      </c>
      <c r="V252">
        <f>IFERROR(SEARCH(search!$B$6,samples!#REF!,1),0)</f>
        <v>0</v>
      </c>
      <c r="W252" t="e">
        <f>IF(samples!#REF!=0,"",samples!#REF!)</f>
        <v>#REF!</v>
      </c>
      <c r="X252">
        <f>IFERROR(SEARCH(search!$B$6,samples!#REF!,1),0)</f>
        <v>0</v>
      </c>
      <c r="Y252" t="e">
        <f>IF(samples!#REF!=0,"",samples!#REF!)</f>
        <v>#REF!</v>
      </c>
      <c r="Z252">
        <f>IFERROR(SEARCH(search!$B$6,samples!#REF!,1),0)</f>
        <v>0</v>
      </c>
      <c r="AA252" t="e">
        <f>IF(samples!#REF!=0,"",samples!#REF!)</f>
        <v>#REF!</v>
      </c>
      <c r="AB252">
        <f>IFERROR(SEARCH(search!$B$6,samples!#REF!,1),0)</f>
        <v>0</v>
      </c>
      <c r="AC252" t="e">
        <f>IF(samples!#REF!=0,"",samples!#REF!)</f>
        <v>#REF!</v>
      </c>
      <c r="AD252">
        <f>IFERROR(SEARCH(search!$B$6,samples!#REF!,1),0)</f>
        <v>0</v>
      </c>
    </row>
    <row r="253" spans="1:30">
      <c r="A253">
        <f t="shared" si="3"/>
        <v>0</v>
      </c>
      <c r="B253">
        <f>IF(SUM(D253,F253,H253,J253,L253,N253,P253,R253,T253,V253,X253,Z253,AB253,AD253)&gt;0,SUM($A$2:A253),0)</f>
        <v>0</v>
      </c>
      <c r="C253" t="e">
        <f>samples!#REF!</f>
        <v>#REF!</v>
      </c>
      <c r="D253">
        <f>IFERROR(SEARCH(search!$B$6,samples!#REF!,1),0)</f>
        <v>0</v>
      </c>
      <c r="E253" t="e">
        <f>IF(samples!#REF!=0,"",samples!#REF!)</f>
        <v>#REF!</v>
      </c>
      <c r="F253">
        <f>IFERROR(SEARCH(search!$B$6,samples!#REF!,1),0)</f>
        <v>0</v>
      </c>
      <c r="G253" t="e">
        <f>IF(samples!#REF!=0,"",samples!#REF!)</f>
        <v>#REF!</v>
      </c>
      <c r="H253">
        <f>IFERROR(SEARCH(search!$B$6,samples!#REF!,1),0)</f>
        <v>0</v>
      </c>
      <c r="I253" t="e">
        <f>IF(samples!#REF!=0,"",samples!#REF!)</f>
        <v>#REF!</v>
      </c>
      <c r="J253">
        <f>IFERROR(SEARCH(search!$B$6,samples!#REF!,1),0)</f>
        <v>0</v>
      </c>
      <c r="K253" t="e">
        <f>IF(samples!#REF!=0,"",samples!#REF!)</f>
        <v>#REF!</v>
      </c>
      <c r="L253">
        <f>IFERROR(SEARCH(search!$B$6,samples!#REF!,1),0)</f>
        <v>0</v>
      </c>
      <c r="M253" t="e">
        <f>IF(samples!#REF!=0,"",samples!#REF!)</f>
        <v>#REF!</v>
      </c>
      <c r="N253">
        <f>IFERROR(SEARCH(search!$B$6,samples!#REF!,1),0)</f>
        <v>0</v>
      </c>
      <c r="O253" t="e">
        <f>IF(samples!#REF!=0,"",samples!#REF!)</f>
        <v>#REF!</v>
      </c>
      <c r="P253">
        <f>IFERROR(SEARCH(search!$B$6,samples!#REF!,1),0)</f>
        <v>0</v>
      </c>
      <c r="Q253" t="e">
        <f>IF(samples!#REF!=0,"",samples!#REF!)</f>
        <v>#REF!</v>
      </c>
      <c r="R253">
        <f>IFERROR(SEARCH(search!$B$6,samples!#REF!,1),0)</f>
        <v>0</v>
      </c>
      <c r="S253" t="e">
        <f>IF(samples!#REF!=0,"",samples!#REF!)</f>
        <v>#REF!</v>
      </c>
      <c r="T253">
        <f>IFERROR(SEARCH(search!$B$6,samples!#REF!,1),0)</f>
        <v>0</v>
      </c>
      <c r="U253" t="e">
        <f>IF(samples!#REF!=0,"",samples!#REF!)</f>
        <v>#REF!</v>
      </c>
      <c r="V253">
        <f>IFERROR(SEARCH(search!$B$6,samples!#REF!,1),0)</f>
        <v>0</v>
      </c>
      <c r="W253" t="e">
        <f>IF(samples!#REF!=0,"",samples!#REF!)</f>
        <v>#REF!</v>
      </c>
      <c r="X253">
        <f>IFERROR(SEARCH(search!$B$6,samples!#REF!,1),0)</f>
        <v>0</v>
      </c>
      <c r="Y253" t="e">
        <f>IF(samples!#REF!=0,"",samples!#REF!)</f>
        <v>#REF!</v>
      </c>
      <c r="Z253">
        <f>IFERROR(SEARCH(search!$B$6,samples!#REF!,1),0)</f>
        <v>0</v>
      </c>
      <c r="AA253" t="e">
        <f>IF(samples!#REF!=0,"",samples!#REF!)</f>
        <v>#REF!</v>
      </c>
      <c r="AB253">
        <f>IFERROR(SEARCH(search!$B$6,samples!#REF!,1),0)</f>
        <v>0</v>
      </c>
      <c r="AC253" t="e">
        <f>IF(samples!#REF!=0,"",samples!#REF!)</f>
        <v>#REF!</v>
      </c>
      <c r="AD253">
        <f>IFERROR(SEARCH(search!$B$6,samples!#REF!,1),0)</f>
        <v>0</v>
      </c>
    </row>
    <row r="254" spans="1:30">
      <c r="A254">
        <f t="shared" si="3"/>
        <v>0</v>
      </c>
      <c r="B254">
        <f>IF(SUM(D254,F254,H254,J254,L254,N254,P254,R254,T254,V254,X254,Z254,AB254,AD254)&gt;0,SUM($A$2:A254),0)</f>
        <v>0</v>
      </c>
      <c r="C254" t="e">
        <f>samples!#REF!</f>
        <v>#REF!</v>
      </c>
      <c r="D254">
        <f>IFERROR(SEARCH(search!$B$6,samples!#REF!,1),0)</f>
        <v>0</v>
      </c>
      <c r="E254" t="e">
        <f>IF(samples!#REF!=0,"",samples!#REF!)</f>
        <v>#REF!</v>
      </c>
      <c r="F254">
        <f>IFERROR(SEARCH(search!$B$6,samples!#REF!,1),0)</f>
        <v>0</v>
      </c>
      <c r="G254" t="e">
        <f>IF(samples!#REF!=0,"",samples!#REF!)</f>
        <v>#REF!</v>
      </c>
      <c r="H254">
        <f>IFERROR(SEARCH(search!$B$6,samples!#REF!,1),0)</f>
        <v>0</v>
      </c>
      <c r="I254" t="e">
        <f>IF(samples!#REF!=0,"",samples!#REF!)</f>
        <v>#REF!</v>
      </c>
      <c r="J254">
        <f>IFERROR(SEARCH(search!$B$6,samples!#REF!,1),0)</f>
        <v>0</v>
      </c>
      <c r="K254" t="e">
        <f>IF(samples!#REF!=0,"",samples!#REF!)</f>
        <v>#REF!</v>
      </c>
      <c r="L254">
        <f>IFERROR(SEARCH(search!$B$6,samples!#REF!,1),0)</f>
        <v>0</v>
      </c>
      <c r="M254" t="e">
        <f>IF(samples!#REF!=0,"",samples!#REF!)</f>
        <v>#REF!</v>
      </c>
      <c r="N254">
        <f>IFERROR(SEARCH(search!$B$6,samples!#REF!,1),0)</f>
        <v>0</v>
      </c>
      <c r="O254" t="e">
        <f>IF(samples!#REF!=0,"",samples!#REF!)</f>
        <v>#REF!</v>
      </c>
      <c r="P254">
        <f>IFERROR(SEARCH(search!$B$6,samples!#REF!,1),0)</f>
        <v>0</v>
      </c>
      <c r="Q254" t="e">
        <f>IF(samples!#REF!=0,"",samples!#REF!)</f>
        <v>#REF!</v>
      </c>
      <c r="R254">
        <f>IFERROR(SEARCH(search!$B$6,samples!#REF!,1),0)</f>
        <v>0</v>
      </c>
      <c r="S254" t="e">
        <f>IF(samples!#REF!=0,"",samples!#REF!)</f>
        <v>#REF!</v>
      </c>
      <c r="T254">
        <f>IFERROR(SEARCH(search!$B$6,samples!#REF!,1),0)</f>
        <v>0</v>
      </c>
      <c r="U254" t="e">
        <f>IF(samples!#REF!=0,"",samples!#REF!)</f>
        <v>#REF!</v>
      </c>
      <c r="V254">
        <f>IFERROR(SEARCH(search!$B$6,samples!#REF!,1),0)</f>
        <v>0</v>
      </c>
      <c r="W254" t="e">
        <f>IF(samples!#REF!=0,"",samples!#REF!)</f>
        <v>#REF!</v>
      </c>
      <c r="X254">
        <f>IFERROR(SEARCH(search!$B$6,samples!#REF!,1),0)</f>
        <v>0</v>
      </c>
      <c r="Y254" t="e">
        <f>IF(samples!#REF!=0,"",samples!#REF!)</f>
        <v>#REF!</v>
      </c>
      <c r="Z254">
        <f>IFERROR(SEARCH(search!$B$6,samples!#REF!,1),0)</f>
        <v>0</v>
      </c>
      <c r="AA254" t="e">
        <f>IF(samples!#REF!=0,"",samples!#REF!)</f>
        <v>#REF!</v>
      </c>
      <c r="AB254">
        <f>IFERROR(SEARCH(search!$B$6,samples!#REF!,1),0)</f>
        <v>0</v>
      </c>
      <c r="AC254" t="e">
        <f>IF(samples!#REF!=0,"",samples!#REF!)</f>
        <v>#REF!</v>
      </c>
      <c r="AD254">
        <f>IFERROR(SEARCH(search!$B$6,samples!#REF!,1),0)</f>
        <v>0</v>
      </c>
    </row>
    <row r="255" spans="1:30">
      <c r="A255">
        <f t="shared" si="3"/>
        <v>0</v>
      </c>
      <c r="B255">
        <f>IF(SUM(D255,F255,H255,J255,L255,N255,P255,R255,T255,V255,X255,Z255,AB255,AD255)&gt;0,SUM($A$2:A255),0)</f>
        <v>0</v>
      </c>
      <c r="C255" t="e">
        <f>samples!#REF!</f>
        <v>#REF!</v>
      </c>
      <c r="D255">
        <f>IFERROR(SEARCH(search!$B$6,samples!#REF!,1),0)</f>
        <v>0</v>
      </c>
      <c r="E255" t="e">
        <f>IF(samples!#REF!=0,"",samples!#REF!)</f>
        <v>#REF!</v>
      </c>
      <c r="F255">
        <f>IFERROR(SEARCH(search!$B$6,samples!#REF!,1),0)</f>
        <v>0</v>
      </c>
      <c r="G255" t="e">
        <f>IF(samples!#REF!=0,"",samples!#REF!)</f>
        <v>#REF!</v>
      </c>
      <c r="H255">
        <f>IFERROR(SEARCH(search!$B$6,samples!#REF!,1),0)</f>
        <v>0</v>
      </c>
      <c r="I255" t="e">
        <f>IF(samples!#REF!=0,"",samples!#REF!)</f>
        <v>#REF!</v>
      </c>
      <c r="J255">
        <f>IFERROR(SEARCH(search!$B$6,samples!#REF!,1),0)</f>
        <v>0</v>
      </c>
      <c r="K255" t="e">
        <f>IF(samples!#REF!=0,"",samples!#REF!)</f>
        <v>#REF!</v>
      </c>
      <c r="L255">
        <f>IFERROR(SEARCH(search!$B$6,samples!#REF!,1),0)</f>
        <v>0</v>
      </c>
      <c r="M255" t="e">
        <f>IF(samples!#REF!=0,"",samples!#REF!)</f>
        <v>#REF!</v>
      </c>
      <c r="N255">
        <f>IFERROR(SEARCH(search!$B$6,samples!#REF!,1),0)</f>
        <v>0</v>
      </c>
      <c r="O255" t="e">
        <f>IF(samples!#REF!=0,"",samples!#REF!)</f>
        <v>#REF!</v>
      </c>
      <c r="P255">
        <f>IFERROR(SEARCH(search!$B$6,samples!#REF!,1),0)</f>
        <v>0</v>
      </c>
      <c r="Q255" t="e">
        <f>IF(samples!#REF!=0,"",samples!#REF!)</f>
        <v>#REF!</v>
      </c>
      <c r="R255">
        <f>IFERROR(SEARCH(search!$B$6,samples!#REF!,1),0)</f>
        <v>0</v>
      </c>
      <c r="S255" t="e">
        <f>IF(samples!#REF!=0,"",samples!#REF!)</f>
        <v>#REF!</v>
      </c>
      <c r="T255">
        <f>IFERROR(SEARCH(search!$B$6,samples!#REF!,1),0)</f>
        <v>0</v>
      </c>
      <c r="U255" t="e">
        <f>IF(samples!#REF!=0,"",samples!#REF!)</f>
        <v>#REF!</v>
      </c>
      <c r="V255">
        <f>IFERROR(SEARCH(search!$B$6,samples!#REF!,1),0)</f>
        <v>0</v>
      </c>
      <c r="W255" t="e">
        <f>IF(samples!#REF!=0,"",samples!#REF!)</f>
        <v>#REF!</v>
      </c>
      <c r="X255">
        <f>IFERROR(SEARCH(search!$B$6,samples!#REF!,1),0)</f>
        <v>0</v>
      </c>
      <c r="Y255" t="e">
        <f>IF(samples!#REF!=0,"",samples!#REF!)</f>
        <v>#REF!</v>
      </c>
      <c r="Z255">
        <f>IFERROR(SEARCH(search!$B$6,samples!#REF!,1),0)</f>
        <v>0</v>
      </c>
      <c r="AA255" t="e">
        <f>IF(samples!#REF!=0,"",samples!#REF!)</f>
        <v>#REF!</v>
      </c>
      <c r="AB255">
        <f>IFERROR(SEARCH(search!$B$6,samples!#REF!,1),0)</f>
        <v>0</v>
      </c>
      <c r="AC255" t="e">
        <f>IF(samples!#REF!=0,"",samples!#REF!)</f>
        <v>#REF!</v>
      </c>
      <c r="AD255">
        <f>IFERROR(SEARCH(search!$B$6,samples!#REF!,1),0)</f>
        <v>0</v>
      </c>
    </row>
    <row r="256" spans="1:30">
      <c r="A256">
        <f t="shared" si="3"/>
        <v>0</v>
      </c>
      <c r="B256">
        <f>IF(SUM(D256,F256,H256,J256,L256,N256,P256,R256,T256,V256,X256,Z256,AB256,AD256)&gt;0,SUM($A$2:A256),0)</f>
        <v>0</v>
      </c>
      <c r="C256" t="e">
        <f>samples!#REF!</f>
        <v>#REF!</v>
      </c>
      <c r="D256">
        <f>IFERROR(SEARCH(search!$B$6,samples!#REF!,1),0)</f>
        <v>0</v>
      </c>
      <c r="E256" t="e">
        <f>IF(samples!#REF!=0,"",samples!#REF!)</f>
        <v>#REF!</v>
      </c>
      <c r="F256">
        <f>IFERROR(SEARCH(search!$B$6,samples!#REF!,1),0)</f>
        <v>0</v>
      </c>
      <c r="G256" t="e">
        <f>IF(samples!#REF!=0,"",samples!#REF!)</f>
        <v>#REF!</v>
      </c>
      <c r="H256">
        <f>IFERROR(SEARCH(search!$B$6,samples!#REF!,1),0)</f>
        <v>0</v>
      </c>
      <c r="I256" t="e">
        <f>IF(samples!#REF!=0,"",samples!#REF!)</f>
        <v>#REF!</v>
      </c>
      <c r="J256">
        <f>IFERROR(SEARCH(search!$B$6,samples!#REF!,1),0)</f>
        <v>0</v>
      </c>
      <c r="K256" t="e">
        <f>IF(samples!#REF!=0,"",samples!#REF!)</f>
        <v>#REF!</v>
      </c>
      <c r="L256">
        <f>IFERROR(SEARCH(search!$B$6,samples!#REF!,1),0)</f>
        <v>0</v>
      </c>
      <c r="M256" t="e">
        <f>IF(samples!#REF!=0,"",samples!#REF!)</f>
        <v>#REF!</v>
      </c>
      <c r="N256">
        <f>IFERROR(SEARCH(search!$B$6,samples!#REF!,1),0)</f>
        <v>0</v>
      </c>
      <c r="O256" t="e">
        <f>IF(samples!#REF!=0,"",samples!#REF!)</f>
        <v>#REF!</v>
      </c>
      <c r="P256">
        <f>IFERROR(SEARCH(search!$B$6,samples!#REF!,1),0)</f>
        <v>0</v>
      </c>
      <c r="Q256" t="e">
        <f>IF(samples!#REF!=0,"",samples!#REF!)</f>
        <v>#REF!</v>
      </c>
      <c r="R256">
        <f>IFERROR(SEARCH(search!$B$6,samples!#REF!,1),0)</f>
        <v>0</v>
      </c>
      <c r="S256" t="e">
        <f>IF(samples!#REF!=0,"",samples!#REF!)</f>
        <v>#REF!</v>
      </c>
      <c r="T256">
        <f>IFERROR(SEARCH(search!$B$6,samples!#REF!,1),0)</f>
        <v>0</v>
      </c>
      <c r="U256" t="e">
        <f>IF(samples!#REF!=0,"",samples!#REF!)</f>
        <v>#REF!</v>
      </c>
      <c r="V256">
        <f>IFERROR(SEARCH(search!$B$6,samples!#REF!,1),0)</f>
        <v>0</v>
      </c>
      <c r="W256" t="e">
        <f>IF(samples!#REF!=0,"",samples!#REF!)</f>
        <v>#REF!</v>
      </c>
      <c r="X256">
        <f>IFERROR(SEARCH(search!$B$6,samples!#REF!,1),0)</f>
        <v>0</v>
      </c>
      <c r="Y256" t="e">
        <f>IF(samples!#REF!=0,"",samples!#REF!)</f>
        <v>#REF!</v>
      </c>
      <c r="Z256">
        <f>IFERROR(SEARCH(search!$B$6,samples!#REF!,1),0)</f>
        <v>0</v>
      </c>
      <c r="AA256" t="e">
        <f>IF(samples!#REF!=0,"",samples!#REF!)</f>
        <v>#REF!</v>
      </c>
      <c r="AB256">
        <f>IFERROR(SEARCH(search!$B$6,samples!#REF!,1),0)</f>
        <v>0</v>
      </c>
      <c r="AC256" t="e">
        <f>IF(samples!#REF!=0,"",samples!#REF!)</f>
        <v>#REF!</v>
      </c>
      <c r="AD256">
        <f>IFERROR(SEARCH(search!$B$6,samples!#REF!,1),0)</f>
        <v>0</v>
      </c>
    </row>
    <row r="257" spans="1:30">
      <c r="A257">
        <f t="shared" si="3"/>
        <v>0</v>
      </c>
      <c r="B257">
        <f>IF(SUM(D257,F257,H257,J257,L257,N257,P257,R257,T257,V257,X257,Z257,AB257,AD257)&gt;0,SUM($A$2:A257),0)</f>
        <v>0</v>
      </c>
      <c r="C257" t="e">
        <f>samples!#REF!</f>
        <v>#REF!</v>
      </c>
      <c r="D257">
        <f>IFERROR(SEARCH(search!$B$6,samples!#REF!,1),0)</f>
        <v>0</v>
      </c>
      <c r="E257" t="e">
        <f>IF(samples!#REF!=0,"",samples!#REF!)</f>
        <v>#REF!</v>
      </c>
      <c r="F257">
        <f>IFERROR(SEARCH(search!$B$6,samples!#REF!,1),0)</f>
        <v>0</v>
      </c>
      <c r="G257" t="e">
        <f>IF(samples!#REF!=0,"",samples!#REF!)</f>
        <v>#REF!</v>
      </c>
      <c r="H257">
        <f>IFERROR(SEARCH(search!$B$6,samples!#REF!,1),0)</f>
        <v>0</v>
      </c>
      <c r="I257" t="e">
        <f>IF(samples!#REF!=0,"",samples!#REF!)</f>
        <v>#REF!</v>
      </c>
      <c r="J257">
        <f>IFERROR(SEARCH(search!$B$6,samples!#REF!,1),0)</f>
        <v>0</v>
      </c>
      <c r="K257" t="e">
        <f>IF(samples!#REF!=0,"",samples!#REF!)</f>
        <v>#REF!</v>
      </c>
      <c r="L257">
        <f>IFERROR(SEARCH(search!$B$6,samples!#REF!,1),0)</f>
        <v>0</v>
      </c>
      <c r="M257" t="e">
        <f>IF(samples!#REF!=0,"",samples!#REF!)</f>
        <v>#REF!</v>
      </c>
      <c r="N257">
        <f>IFERROR(SEARCH(search!$B$6,samples!#REF!,1),0)</f>
        <v>0</v>
      </c>
      <c r="O257" t="e">
        <f>IF(samples!#REF!=0,"",samples!#REF!)</f>
        <v>#REF!</v>
      </c>
      <c r="P257">
        <f>IFERROR(SEARCH(search!$B$6,samples!#REF!,1),0)</f>
        <v>0</v>
      </c>
      <c r="Q257" t="e">
        <f>IF(samples!#REF!=0,"",samples!#REF!)</f>
        <v>#REF!</v>
      </c>
      <c r="R257">
        <f>IFERROR(SEARCH(search!$B$6,samples!#REF!,1),0)</f>
        <v>0</v>
      </c>
      <c r="S257" t="e">
        <f>IF(samples!#REF!=0,"",samples!#REF!)</f>
        <v>#REF!</v>
      </c>
      <c r="T257">
        <f>IFERROR(SEARCH(search!$B$6,samples!#REF!,1),0)</f>
        <v>0</v>
      </c>
      <c r="U257" t="e">
        <f>IF(samples!#REF!=0,"",samples!#REF!)</f>
        <v>#REF!</v>
      </c>
      <c r="V257">
        <f>IFERROR(SEARCH(search!$B$6,samples!#REF!,1),0)</f>
        <v>0</v>
      </c>
      <c r="W257" t="e">
        <f>IF(samples!#REF!=0,"",samples!#REF!)</f>
        <v>#REF!</v>
      </c>
      <c r="X257">
        <f>IFERROR(SEARCH(search!$B$6,samples!#REF!,1),0)</f>
        <v>0</v>
      </c>
      <c r="Y257" t="e">
        <f>IF(samples!#REF!=0,"",samples!#REF!)</f>
        <v>#REF!</v>
      </c>
      <c r="Z257">
        <f>IFERROR(SEARCH(search!$B$6,samples!#REF!,1),0)</f>
        <v>0</v>
      </c>
      <c r="AA257" t="e">
        <f>IF(samples!#REF!=0,"",samples!#REF!)</f>
        <v>#REF!</v>
      </c>
      <c r="AB257">
        <f>IFERROR(SEARCH(search!$B$6,samples!#REF!,1),0)</f>
        <v>0</v>
      </c>
      <c r="AC257" t="e">
        <f>IF(samples!#REF!=0,"",samples!#REF!)</f>
        <v>#REF!</v>
      </c>
      <c r="AD257">
        <f>IFERROR(SEARCH(search!$B$6,samples!#REF!,1),0)</f>
        <v>0</v>
      </c>
    </row>
    <row r="258" spans="1:30">
      <c r="A258">
        <f t="shared" si="3"/>
        <v>0</v>
      </c>
      <c r="B258">
        <f>IF(SUM(D258,F258,H258,J258,L258,N258,P258,R258,T258,V258,X258,Z258,AB258,AD258)&gt;0,SUM($A$2:A258),0)</f>
        <v>0</v>
      </c>
      <c r="C258" t="e">
        <f>samples!#REF!</f>
        <v>#REF!</v>
      </c>
      <c r="D258">
        <f>IFERROR(SEARCH(search!$B$6,samples!#REF!,1),0)</f>
        <v>0</v>
      </c>
      <c r="E258" t="e">
        <f>IF(samples!#REF!=0,"",samples!#REF!)</f>
        <v>#REF!</v>
      </c>
      <c r="F258">
        <f>IFERROR(SEARCH(search!$B$6,samples!#REF!,1),0)</f>
        <v>0</v>
      </c>
      <c r="G258" t="e">
        <f>IF(samples!#REF!=0,"",samples!#REF!)</f>
        <v>#REF!</v>
      </c>
      <c r="H258">
        <f>IFERROR(SEARCH(search!$B$6,samples!#REF!,1),0)</f>
        <v>0</v>
      </c>
      <c r="I258" t="e">
        <f>IF(samples!#REF!=0,"",samples!#REF!)</f>
        <v>#REF!</v>
      </c>
      <c r="J258">
        <f>IFERROR(SEARCH(search!$B$6,samples!#REF!,1),0)</f>
        <v>0</v>
      </c>
      <c r="K258" t="e">
        <f>IF(samples!#REF!=0,"",samples!#REF!)</f>
        <v>#REF!</v>
      </c>
      <c r="L258">
        <f>IFERROR(SEARCH(search!$B$6,samples!#REF!,1),0)</f>
        <v>0</v>
      </c>
      <c r="M258" t="e">
        <f>IF(samples!#REF!=0,"",samples!#REF!)</f>
        <v>#REF!</v>
      </c>
      <c r="N258">
        <f>IFERROR(SEARCH(search!$B$6,samples!#REF!,1),0)</f>
        <v>0</v>
      </c>
      <c r="O258" t="e">
        <f>IF(samples!#REF!=0,"",samples!#REF!)</f>
        <v>#REF!</v>
      </c>
      <c r="P258">
        <f>IFERROR(SEARCH(search!$B$6,samples!#REF!,1),0)</f>
        <v>0</v>
      </c>
      <c r="Q258" t="e">
        <f>IF(samples!#REF!=0,"",samples!#REF!)</f>
        <v>#REF!</v>
      </c>
      <c r="R258">
        <f>IFERROR(SEARCH(search!$B$6,samples!#REF!,1),0)</f>
        <v>0</v>
      </c>
      <c r="S258" t="e">
        <f>IF(samples!#REF!=0,"",samples!#REF!)</f>
        <v>#REF!</v>
      </c>
      <c r="T258">
        <f>IFERROR(SEARCH(search!$B$6,samples!#REF!,1),0)</f>
        <v>0</v>
      </c>
      <c r="U258" t="e">
        <f>IF(samples!#REF!=0,"",samples!#REF!)</f>
        <v>#REF!</v>
      </c>
      <c r="V258">
        <f>IFERROR(SEARCH(search!$B$6,samples!#REF!,1),0)</f>
        <v>0</v>
      </c>
      <c r="W258" t="e">
        <f>IF(samples!#REF!=0,"",samples!#REF!)</f>
        <v>#REF!</v>
      </c>
      <c r="X258">
        <f>IFERROR(SEARCH(search!$B$6,samples!#REF!,1),0)</f>
        <v>0</v>
      </c>
      <c r="Y258" t="e">
        <f>IF(samples!#REF!=0,"",samples!#REF!)</f>
        <v>#REF!</v>
      </c>
      <c r="Z258">
        <f>IFERROR(SEARCH(search!$B$6,samples!#REF!,1),0)</f>
        <v>0</v>
      </c>
      <c r="AA258" t="e">
        <f>IF(samples!#REF!=0,"",samples!#REF!)</f>
        <v>#REF!</v>
      </c>
      <c r="AB258">
        <f>IFERROR(SEARCH(search!$B$6,samples!#REF!,1),0)</f>
        <v>0</v>
      </c>
      <c r="AC258" t="e">
        <f>IF(samples!#REF!=0,"",samples!#REF!)</f>
        <v>#REF!</v>
      </c>
      <c r="AD258">
        <f>IFERROR(SEARCH(search!$B$6,samples!#REF!,1),0)</f>
        <v>0</v>
      </c>
    </row>
    <row r="259" spans="1:30">
      <c r="A259">
        <f t="shared" ref="A259:A322" si="4">IF(SUM(D259,F259,H259,J259,L259,N259,P259,R259,T259,V259,X259,Z259,AB259,AD259)&gt;0,1,0)</f>
        <v>0</v>
      </c>
      <c r="B259">
        <f>IF(SUM(D259,F259,H259,J259,L259,N259,P259,R259,T259,V259,X259,Z259,AB259,AD259)&gt;0,SUM($A$2:A259),0)</f>
        <v>0</v>
      </c>
      <c r="C259" t="e">
        <f>samples!#REF!</f>
        <v>#REF!</v>
      </c>
      <c r="D259">
        <f>IFERROR(SEARCH(search!$B$6,samples!#REF!,1),0)</f>
        <v>0</v>
      </c>
      <c r="E259" t="e">
        <f>IF(samples!#REF!=0,"",samples!#REF!)</f>
        <v>#REF!</v>
      </c>
      <c r="F259">
        <f>IFERROR(SEARCH(search!$B$6,samples!#REF!,1),0)</f>
        <v>0</v>
      </c>
      <c r="G259" t="e">
        <f>IF(samples!#REF!=0,"",samples!#REF!)</f>
        <v>#REF!</v>
      </c>
      <c r="H259">
        <f>IFERROR(SEARCH(search!$B$6,samples!#REF!,1),0)</f>
        <v>0</v>
      </c>
      <c r="I259" t="e">
        <f>IF(samples!#REF!=0,"",samples!#REF!)</f>
        <v>#REF!</v>
      </c>
      <c r="J259">
        <f>IFERROR(SEARCH(search!$B$6,samples!#REF!,1),0)</f>
        <v>0</v>
      </c>
      <c r="K259" t="e">
        <f>IF(samples!#REF!=0,"",samples!#REF!)</f>
        <v>#REF!</v>
      </c>
      <c r="L259">
        <f>IFERROR(SEARCH(search!$B$6,samples!#REF!,1),0)</f>
        <v>0</v>
      </c>
      <c r="M259" t="e">
        <f>IF(samples!#REF!=0,"",samples!#REF!)</f>
        <v>#REF!</v>
      </c>
      <c r="N259">
        <f>IFERROR(SEARCH(search!$B$6,samples!#REF!,1),0)</f>
        <v>0</v>
      </c>
      <c r="O259" t="e">
        <f>IF(samples!#REF!=0,"",samples!#REF!)</f>
        <v>#REF!</v>
      </c>
      <c r="P259">
        <f>IFERROR(SEARCH(search!$B$6,samples!#REF!,1),0)</f>
        <v>0</v>
      </c>
      <c r="Q259" t="e">
        <f>IF(samples!#REF!=0,"",samples!#REF!)</f>
        <v>#REF!</v>
      </c>
      <c r="R259">
        <f>IFERROR(SEARCH(search!$B$6,samples!#REF!,1),0)</f>
        <v>0</v>
      </c>
      <c r="S259" t="e">
        <f>IF(samples!#REF!=0,"",samples!#REF!)</f>
        <v>#REF!</v>
      </c>
      <c r="T259">
        <f>IFERROR(SEARCH(search!$B$6,samples!#REF!,1),0)</f>
        <v>0</v>
      </c>
      <c r="U259" t="e">
        <f>IF(samples!#REF!=0,"",samples!#REF!)</f>
        <v>#REF!</v>
      </c>
      <c r="V259">
        <f>IFERROR(SEARCH(search!$B$6,samples!#REF!,1),0)</f>
        <v>0</v>
      </c>
      <c r="W259" t="e">
        <f>IF(samples!#REF!=0,"",samples!#REF!)</f>
        <v>#REF!</v>
      </c>
      <c r="X259">
        <f>IFERROR(SEARCH(search!$B$6,samples!#REF!,1),0)</f>
        <v>0</v>
      </c>
      <c r="Y259" t="e">
        <f>IF(samples!#REF!=0,"",samples!#REF!)</f>
        <v>#REF!</v>
      </c>
      <c r="Z259">
        <f>IFERROR(SEARCH(search!$B$6,samples!#REF!,1),0)</f>
        <v>0</v>
      </c>
      <c r="AA259" t="e">
        <f>IF(samples!#REF!=0,"",samples!#REF!)</f>
        <v>#REF!</v>
      </c>
      <c r="AB259">
        <f>IFERROR(SEARCH(search!$B$6,samples!#REF!,1),0)</f>
        <v>0</v>
      </c>
      <c r="AC259" t="e">
        <f>IF(samples!#REF!=0,"",samples!#REF!)</f>
        <v>#REF!</v>
      </c>
      <c r="AD259">
        <f>IFERROR(SEARCH(search!$B$6,samples!#REF!,1),0)</f>
        <v>0</v>
      </c>
    </row>
    <row r="260" spans="1:30">
      <c r="A260">
        <f t="shared" si="4"/>
        <v>0</v>
      </c>
      <c r="B260">
        <f>IF(SUM(D260,F260,H260,J260,L260,N260,P260,R260,T260,V260,X260,Z260,AB260,AD260)&gt;0,SUM($A$2:A260),0)</f>
        <v>0</v>
      </c>
      <c r="C260" t="e">
        <f>samples!#REF!</f>
        <v>#REF!</v>
      </c>
      <c r="D260">
        <f>IFERROR(SEARCH(search!$B$6,samples!#REF!,1),0)</f>
        <v>0</v>
      </c>
      <c r="E260" t="e">
        <f>IF(samples!#REF!=0,"",samples!#REF!)</f>
        <v>#REF!</v>
      </c>
      <c r="F260">
        <f>IFERROR(SEARCH(search!$B$6,samples!#REF!,1),0)</f>
        <v>0</v>
      </c>
      <c r="G260" t="e">
        <f>IF(samples!#REF!=0,"",samples!#REF!)</f>
        <v>#REF!</v>
      </c>
      <c r="H260">
        <f>IFERROR(SEARCH(search!$B$6,samples!#REF!,1),0)</f>
        <v>0</v>
      </c>
      <c r="I260" t="e">
        <f>IF(samples!#REF!=0,"",samples!#REF!)</f>
        <v>#REF!</v>
      </c>
      <c r="J260">
        <f>IFERROR(SEARCH(search!$B$6,samples!#REF!,1),0)</f>
        <v>0</v>
      </c>
      <c r="K260" t="e">
        <f>IF(samples!#REF!=0,"",samples!#REF!)</f>
        <v>#REF!</v>
      </c>
      <c r="L260">
        <f>IFERROR(SEARCH(search!$B$6,samples!#REF!,1),0)</f>
        <v>0</v>
      </c>
      <c r="M260" t="e">
        <f>IF(samples!#REF!=0,"",samples!#REF!)</f>
        <v>#REF!</v>
      </c>
      <c r="N260">
        <f>IFERROR(SEARCH(search!$B$6,samples!#REF!,1),0)</f>
        <v>0</v>
      </c>
      <c r="O260" t="e">
        <f>IF(samples!#REF!=0,"",samples!#REF!)</f>
        <v>#REF!</v>
      </c>
      <c r="P260">
        <f>IFERROR(SEARCH(search!$B$6,samples!#REF!,1),0)</f>
        <v>0</v>
      </c>
      <c r="Q260" t="e">
        <f>IF(samples!#REF!=0,"",samples!#REF!)</f>
        <v>#REF!</v>
      </c>
      <c r="R260">
        <f>IFERROR(SEARCH(search!$B$6,samples!#REF!,1),0)</f>
        <v>0</v>
      </c>
      <c r="S260" t="e">
        <f>IF(samples!#REF!=0,"",samples!#REF!)</f>
        <v>#REF!</v>
      </c>
      <c r="T260">
        <f>IFERROR(SEARCH(search!$B$6,samples!#REF!,1),0)</f>
        <v>0</v>
      </c>
      <c r="U260" t="e">
        <f>IF(samples!#REF!=0,"",samples!#REF!)</f>
        <v>#REF!</v>
      </c>
      <c r="V260">
        <f>IFERROR(SEARCH(search!$B$6,samples!#REF!,1),0)</f>
        <v>0</v>
      </c>
      <c r="W260" t="e">
        <f>IF(samples!#REF!=0,"",samples!#REF!)</f>
        <v>#REF!</v>
      </c>
      <c r="X260">
        <f>IFERROR(SEARCH(search!$B$6,samples!#REF!,1),0)</f>
        <v>0</v>
      </c>
      <c r="Y260" t="e">
        <f>IF(samples!#REF!=0,"",samples!#REF!)</f>
        <v>#REF!</v>
      </c>
      <c r="Z260">
        <f>IFERROR(SEARCH(search!$B$6,samples!#REF!,1),0)</f>
        <v>0</v>
      </c>
      <c r="AA260" t="e">
        <f>IF(samples!#REF!=0,"",samples!#REF!)</f>
        <v>#REF!</v>
      </c>
      <c r="AB260">
        <f>IFERROR(SEARCH(search!$B$6,samples!#REF!,1),0)</f>
        <v>0</v>
      </c>
      <c r="AC260" t="e">
        <f>IF(samples!#REF!=0,"",samples!#REF!)</f>
        <v>#REF!</v>
      </c>
      <c r="AD260">
        <f>IFERROR(SEARCH(search!$B$6,samples!#REF!,1),0)</f>
        <v>0</v>
      </c>
    </row>
    <row r="261" spans="1:30">
      <c r="A261">
        <f t="shared" si="4"/>
        <v>0</v>
      </c>
      <c r="B261">
        <f>IF(SUM(D261,F261,H261,J261,L261,N261,P261,R261,T261,V261,X261,Z261,AB261,AD261)&gt;0,SUM($A$2:A261),0)</f>
        <v>0</v>
      </c>
      <c r="C261" t="e">
        <f>samples!#REF!</f>
        <v>#REF!</v>
      </c>
      <c r="D261">
        <f>IFERROR(SEARCH(search!$B$6,samples!#REF!,1),0)</f>
        <v>0</v>
      </c>
      <c r="E261" t="e">
        <f>IF(samples!#REF!=0,"",samples!#REF!)</f>
        <v>#REF!</v>
      </c>
      <c r="F261">
        <f>IFERROR(SEARCH(search!$B$6,samples!#REF!,1),0)</f>
        <v>0</v>
      </c>
      <c r="G261" t="e">
        <f>IF(samples!#REF!=0,"",samples!#REF!)</f>
        <v>#REF!</v>
      </c>
      <c r="H261">
        <f>IFERROR(SEARCH(search!$B$6,samples!#REF!,1),0)</f>
        <v>0</v>
      </c>
      <c r="I261" t="e">
        <f>IF(samples!#REF!=0,"",samples!#REF!)</f>
        <v>#REF!</v>
      </c>
      <c r="J261">
        <f>IFERROR(SEARCH(search!$B$6,samples!#REF!,1),0)</f>
        <v>0</v>
      </c>
      <c r="K261" t="e">
        <f>IF(samples!#REF!=0,"",samples!#REF!)</f>
        <v>#REF!</v>
      </c>
      <c r="L261">
        <f>IFERROR(SEARCH(search!$B$6,samples!#REF!,1),0)</f>
        <v>0</v>
      </c>
      <c r="M261" t="e">
        <f>IF(samples!#REF!=0,"",samples!#REF!)</f>
        <v>#REF!</v>
      </c>
      <c r="N261">
        <f>IFERROR(SEARCH(search!$B$6,samples!#REF!,1),0)</f>
        <v>0</v>
      </c>
      <c r="O261" t="e">
        <f>IF(samples!#REF!=0,"",samples!#REF!)</f>
        <v>#REF!</v>
      </c>
      <c r="P261">
        <f>IFERROR(SEARCH(search!$B$6,samples!#REF!,1),0)</f>
        <v>0</v>
      </c>
      <c r="Q261" t="e">
        <f>IF(samples!#REF!=0,"",samples!#REF!)</f>
        <v>#REF!</v>
      </c>
      <c r="R261">
        <f>IFERROR(SEARCH(search!$B$6,samples!#REF!,1),0)</f>
        <v>0</v>
      </c>
      <c r="S261" t="e">
        <f>IF(samples!#REF!=0,"",samples!#REF!)</f>
        <v>#REF!</v>
      </c>
      <c r="T261">
        <f>IFERROR(SEARCH(search!$B$6,samples!#REF!,1),0)</f>
        <v>0</v>
      </c>
      <c r="U261" t="e">
        <f>IF(samples!#REF!=0,"",samples!#REF!)</f>
        <v>#REF!</v>
      </c>
      <c r="V261">
        <f>IFERROR(SEARCH(search!$B$6,samples!#REF!,1),0)</f>
        <v>0</v>
      </c>
      <c r="W261" t="e">
        <f>IF(samples!#REF!=0,"",samples!#REF!)</f>
        <v>#REF!</v>
      </c>
      <c r="X261">
        <f>IFERROR(SEARCH(search!$B$6,samples!#REF!,1),0)</f>
        <v>0</v>
      </c>
      <c r="Y261" t="e">
        <f>IF(samples!#REF!=0,"",samples!#REF!)</f>
        <v>#REF!</v>
      </c>
      <c r="Z261">
        <f>IFERROR(SEARCH(search!$B$6,samples!#REF!,1),0)</f>
        <v>0</v>
      </c>
      <c r="AA261" t="e">
        <f>IF(samples!#REF!=0,"",samples!#REF!)</f>
        <v>#REF!</v>
      </c>
      <c r="AB261">
        <f>IFERROR(SEARCH(search!$B$6,samples!#REF!,1),0)</f>
        <v>0</v>
      </c>
      <c r="AC261" t="e">
        <f>IF(samples!#REF!=0,"",samples!#REF!)</f>
        <v>#REF!</v>
      </c>
      <c r="AD261">
        <f>IFERROR(SEARCH(search!$B$6,samples!#REF!,1),0)</f>
        <v>0</v>
      </c>
    </row>
    <row r="262" spans="1:30">
      <c r="A262">
        <f t="shared" si="4"/>
        <v>0</v>
      </c>
      <c r="B262">
        <f>IF(SUM(D262,F262,H262,J262,L262,N262,P262,R262,T262,V262,X262,Z262,AB262,AD262)&gt;0,SUM($A$2:A262),0)</f>
        <v>0</v>
      </c>
      <c r="C262" t="e">
        <f>samples!#REF!</f>
        <v>#REF!</v>
      </c>
      <c r="D262">
        <f>IFERROR(SEARCH(search!$B$6,samples!#REF!,1),0)</f>
        <v>0</v>
      </c>
      <c r="E262" t="e">
        <f>IF(samples!#REF!=0,"",samples!#REF!)</f>
        <v>#REF!</v>
      </c>
      <c r="F262">
        <f>IFERROR(SEARCH(search!$B$6,samples!#REF!,1),0)</f>
        <v>0</v>
      </c>
      <c r="G262" t="e">
        <f>IF(samples!#REF!=0,"",samples!#REF!)</f>
        <v>#REF!</v>
      </c>
      <c r="H262">
        <f>IFERROR(SEARCH(search!$B$6,samples!#REF!,1),0)</f>
        <v>0</v>
      </c>
      <c r="I262" t="e">
        <f>IF(samples!#REF!=0,"",samples!#REF!)</f>
        <v>#REF!</v>
      </c>
      <c r="J262">
        <f>IFERROR(SEARCH(search!$B$6,samples!#REF!,1),0)</f>
        <v>0</v>
      </c>
      <c r="K262" t="e">
        <f>IF(samples!#REF!=0,"",samples!#REF!)</f>
        <v>#REF!</v>
      </c>
      <c r="L262">
        <f>IFERROR(SEARCH(search!$B$6,samples!#REF!,1),0)</f>
        <v>0</v>
      </c>
      <c r="M262" t="e">
        <f>IF(samples!#REF!=0,"",samples!#REF!)</f>
        <v>#REF!</v>
      </c>
      <c r="N262">
        <f>IFERROR(SEARCH(search!$B$6,samples!#REF!,1),0)</f>
        <v>0</v>
      </c>
      <c r="O262" t="e">
        <f>IF(samples!#REF!=0,"",samples!#REF!)</f>
        <v>#REF!</v>
      </c>
      <c r="P262">
        <f>IFERROR(SEARCH(search!$B$6,samples!#REF!,1),0)</f>
        <v>0</v>
      </c>
      <c r="Q262" t="e">
        <f>IF(samples!#REF!=0,"",samples!#REF!)</f>
        <v>#REF!</v>
      </c>
      <c r="R262">
        <f>IFERROR(SEARCH(search!$B$6,samples!#REF!,1),0)</f>
        <v>0</v>
      </c>
      <c r="S262" t="e">
        <f>IF(samples!#REF!=0,"",samples!#REF!)</f>
        <v>#REF!</v>
      </c>
      <c r="T262">
        <f>IFERROR(SEARCH(search!$B$6,samples!#REF!,1),0)</f>
        <v>0</v>
      </c>
      <c r="U262" t="e">
        <f>IF(samples!#REF!=0,"",samples!#REF!)</f>
        <v>#REF!</v>
      </c>
      <c r="V262">
        <f>IFERROR(SEARCH(search!$B$6,samples!#REF!,1),0)</f>
        <v>0</v>
      </c>
      <c r="W262" t="e">
        <f>IF(samples!#REF!=0,"",samples!#REF!)</f>
        <v>#REF!</v>
      </c>
      <c r="X262">
        <f>IFERROR(SEARCH(search!$B$6,samples!#REF!,1),0)</f>
        <v>0</v>
      </c>
      <c r="Y262" t="e">
        <f>IF(samples!#REF!=0,"",samples!#REF!)</f>
        <v>#REF!</v>
      </c>
      <c r="Z262">
        <f>IFERROR(SEARCH(search!$B$6,samples!#REF!,1),0)</f>
        <v>0</v>
      </c>
      <c r="AA262" t="e">
        <f>IF(samples!#REF!=0,"",samples!#REF!)</f>
        <v>#REF!</v>
      </c>
      <c r="AB262">
        <f>IFERROR(SEARCH(search!$B$6,samples!#REF!,1),0)</f>
        <v>0</v>
      </c>
      <c r="AC262" t="e">
        <f>IF(samples!#REF!=0,"",samples!#REF!)</f>
        <v>#REF!</v>
      </c>
      <c r="AD262">
        <f>IFERROR(SEARCH(search!$B$6,samples!#REF!,1),0)</f>
        <v>0</v>
      </c>
    </row>
    <row r="263" spans="1:30">
      <c r="A263">
        <f t="shared" si="4"/>
        <v>0</v>
      </c>
      <c r="B263">
        <f>IF(SUM(D263,F263,H263,J263,L263,N263,P263,R263,T263,V263,X263,Z263,AB263,AD263)&gt;0,SUM($A$2:A263),0)</f>
        <v>0</v>
      </c>
      <c r="C263" t="e">
        <f>samples!#REF!</f>
        <v>#REF!</v>
      </c>
      <c r="D263">
        <f>IFERROR(SEARCH(search!$B$6,samples!#REF!,1),0)</f>
        <v>0</v>
      </c>
      <c r="E263" t="e">
        <f>IF(samples!#REF!=0,"",samples!#REF!)</f>
        <v>#REF!</v>
      </c>
      <c r="F263">
        <f>IFERROR(SEARCH(search!$B$6,samples!#REF!,1),0)</f>
        <v>0</v>
      </c>
      <c r="G263" t="e">
        <f>IF(samples!#REF!=0,"",samples!#REF!)</f>
        <v>#REF!</v>
      </c>
      <c r="H263">
        <f>IFERROR(SEARCH(search!$B$6,samples!#REF!,1),0)</f>
        <v>0</v>
      </c>
      <c r="I263" t="e">
        <f>IF(samples!#REF!=0,"",samples!#REF!)</f>
        <v>#REF!</v>
      </c>
      <c r="J263">
        <f>IFERROR(SEARCH(search!$B$6,samples!#REF!,1),0)</f>
        <v>0</v>
      </c>
      <c r="K263" t="e">
        <f>IF(samples!#REF!=0,"",samples!#REF!)</f>
        <v>#REF!</v>
      </c>
      <c r="L263">
        <f>IFERROR(SEARCH(search!$B$6,samples!#REF!,1),0)</f>
        <v>0</v>
      </c>
      <c r="M263" t="e">
        <f>IF(samples!#REF!=0,"",samples!#REF!)</f>
        <v>#REF!</v>
      </c>
      <c r="N263">
        <f>IFERROR(SEARCH(search!$B$6,samples!#REF!,1),0)</f>
        <v>0</v>
      </c>
      <c r="O263" t="e">
        <f>IF(samples!#REF!=0,"",samples!#REF!)</f>
        <v>#REF!</v>
      </c>
      <c r="P263">
        <f>IFERROR(SEARCH(search!$B$6,samples!#REF!,1),0)</f>
        <v>0</v>
      </c>
      <c r="Q263" t="e">
        <f>IF(samples!#REF!=0,"",samples!#REF!)</f>
        <v>#REF!</v>
      </c>
      <c r="R263">
        <f>IFERROR(SEARCH(search!$B$6,samples!#REF!,1),0)</f>
        <v>0</v>
      </c>
      <c r="S263" t="e">
        <f>IF(samples!#REF!=0,"",samples!#REF!)</f>
        <v>#REF!</v>
      </c>
      <c r="T263">
        <f>IFERROR(SEARCH(search!$B$6,samples!#REF!,1),0)</f>
        <v>0</v>
      </c>
      <c r="U263" t="e">
        <f>IF(samples!#REF!=0,"",samples!#REF!)</f>
        <v>#REF!</v>
      </c>
      <c r="V263">
        <f>IFERROR(SEARCH(search!$B$6,samples!#REF!,1),0)</f>
        <v>0</v>
      </c>
      <c r="W263" t="e">
        <f>IF(samples!#REF!=0,"",samples!#REF!)</f>
        <v>#REF!</v>
      </c>
      <c r="X263">
        <f>IFERROR(SEARCH(search!$B$6,samples!#REF!,1),0)</f>
        <v>0</v>
      </c>
      <c r="Y263" t="e">
        <f>IF(samples!#REF!=0,"",samples!#REF!)</f>
        <v>#REF!</v>
      </c>
      <c r="Z263">
        <f>IFERROR(SEARCH(search!$B$6,samples!#REF!,1),0)</f>
        <v>0</v>
      </c>
      <c r="AA263" t="e">
        <f>IF(samples!#REF!=0,"",samples!#REF!)</f>
        <v>#REF!</v>
      </c>
      <c r="AB263">
        <f>IFERROR(SEARCH(search!$B$6,samples!#REF!,1),0)</f>
        <v>0</v>
      </c>
      <c r="AC263" t="e">
        <f>IF(samples!#REF!=0,"",samples!#REF!)</f>
        <v>#REF!</v>
      </c>
      <c r="AD263">
        <f>IFERROR(SEARCH(search!$B$6,samples!#REF!,1),0)</f>
        <v>0</v>
      </c>
    </row>
    <row r="264" spans="1:30">
      <c r="A264">
        <f t="shared" si="4"/>
        <v>0</v>
      </c>
      <c r="B264">
        <f>IF(SUM(D264,F264,H264,J264,L264,N264,P264,R264,T264,V264,X264,Z264,AB264,AD264)&gt;0,SUM($A$2:A264),0)</f>
        <v>0</v>
      </c>
      <c r="C264" t="e">
        <f>samples!#REF!</f>
        <v>#REF!</v>
      </c>
      <c r="D264">
        <f>IFERROR(SEARCH(search!$B$6,samples!#REF!,1),0)</f>
        <v>0</v>
      </c>
      <c r="E264" t="e">
        <f>IF(samples!#REF!=0,"",samples!#REF!)</f>
        <v>#REF!</v>
      </c>
      <c r="F264">
        <f>IFERROR(SEARCH(search!$B$6,samples!#REF!,1),0)</f>
        <v>0</v>
      </c>
      <c r="G264" t="e">
        <f>IF(samples!#REF!=0,"",samples!#REF!)</f>
        <v>#REF!</v>
      </c>
      <c r="H264">
        <f>IFERROR(SEARCH(search!$B$6,samples!#REF!,1),0)</f>
        <v>0</v>
      </c>
      <c r="I264" t="e">
        <f>IF(samples!#REF!=0,"",samples!#REF!)</f>
        <v>#REF!</v>
      </c>
      <c r="J264">
        <f>IFERROR(SEARCH(search!$B$6,samples!#REF!,1),0)</f>
        <v>0</v>
      </c>
      <c r="K264" t="e">
        <f>IF(samples!#REF!=0,"",samples!#REF!)</f>
        <v>#REF!</v>
      </c>
      <c r="L264">
        <f>IFERROR(SEARCH(search!$B$6,samples!#REF!,1),0)</f>
        <v>0</v>
      </c>
      <c r="M264" t="e">
        <f>IF(samples!#REF!=0,"",samples!#REF!)</f>
        <v>#REF!</v>
      </c>
      <c r="N264">
        <f>IFERROR(SEARCH(search!$B$6,samples!#REF!,1),0)</f>
        <v>0</v>
      </c>
      <c r="O264" t="e">
        <f>IF(samples!#REF!=0,"",samples!#REF!)</f>
        <v>#REF!</v>
      </c>
      <c r="P264">
        <f>IFERROR(SEARCH(search!$B$6,samples!#REF!,1),0)</f>
        <v>0</v>
      </c>
      <c r="Q264" t="e">
        <f>IF(samples!#REF!=0,"",samples!#REF!)</f>
        <v>#REF!</v>
      </c>
      <c r="R264">
        <f>IFERROR(SEARCH(search!$B$6,samples!#REF!,1),0)</f>
        <v>0</v>
      </c>
      <c r="S264" t="e">
        <f>IF(samples!#REF!=0,"",samples!#REF!)</f>
        <v>#REF!</v>
      </c>
      <c r="T264">
        <f>IFERROR(SEARCH(search!$B$6,samples!#REF!,1),0)</f>
        <v>0</v>
      </c>
      <c r="U264" t="e">
        <f>IF(samples!#REF!=0,"",samples!#REF!)</f>
        <v>#REF!</v>
      </c>
      <c r="V264">
        <f>IFERROR(SEARCH(search!$B$6,samples!#REF!,1),0)</f>
        <v>0</v>
      </c>
      <c r="W264" t="e">
        <f>IF(samples!#REF!=0,"",samples!#REF!)</f>
        <v>#REF!</v>
      </c>
      <c r="X264">
        <f>IFERROR(SEARCH(search!$B$6,samples!#REF!,1),0)</f>
        <v>0</v>
      </c>
      <c r="Y264" t="e">
        <f>IF(samples!#REF!=0,"",samples!#REF!)</f>
        <v>#REF!</v>
      </c>
      <c r="Z264">
        <f>IFERROR(SEARCH(search!$B$6,samples!#REF!,1),0)</f>
        <v>0</v>
      </c>
      <c r="AA264" t="e">
        <f>IF(samples!#REF!=0,"",samples!#REF!)</f>
        <v>#REF!</v>
      </c>
      <c r="AB264">
        <f>IFERROR(SEARCH(search!$B$6,samples!#REF!,1),0)</f>
        <v>0</v>
      </c>
      <c r="AC264" t="e">
        <f>IF(samples!#REF!=0,"",samples!#REF!)</f>
        <v>#REF!</v>
      </c>
      <c r="AD264">
        <f>IFERROR(SEARCH(search!$B$6,samples!#REF!,1),0)</f>
        <v>0</v>
      </c>
    </row>
    <row r="265" spans="1:30">
      <c r="A265">
        <f t="shared" si="4"/>
        <v>0</v>
      </c>
      <c r="B265">
        <f>IF(SUM(D265,F265,H265,J265,L265,N265,P265,R265,T265,V265,X265,Z265,AB265,AD265)&gt;0,SUM($A$2:A265),0)</f>
        <v>0</v>
      </c>
      <c r="C265" t="e">
        <f>samples!#REF!</f>
        <v>#REF!</v>
      </c>
      <c r="D265">
        <f>IFERROR(SEARCH(search!$B$6,samples!#REF!,1),0)</f>
        <v>0</v>
      </c>
      <c r="E265" t="e">
        <f>IF(samples!#REF!=0,"",samples!#REF!)</f>
        <v>#REF!</v>
      </c>
      <c r="F265">
        <f>IFERROR(SEARCH(search!$B$6,samples!#REF!,1),0)</f>
        <v>0</v>
      </c>
      <c r="G265" t="e">
        <f>IF(samples!#REF!=0,"",samples!#REF!)</f>
        <v>#REF!</v>
      </c>
      <c r="H265">
        <f>IFERROR(SEARCH(search!$B$6,samples!#REF!,1),0)</f>
        <v>0</v>
      </c>
      <c r="I265" t="e">
        <f>IF(samples!#REF!=0,"",samples!#REF!)</f>
        <v>#REF!</v>
      </c>
      <c r="J265">
        <f>IFERROR(SEARCH(search!$B$6,samples!#REF!,1),0)</f>
        <v>0</v>
      </c>
      <c r="K265" t="e">
        <f>IF(samples!#REF!=0,"",samples!#REF!)</f>
        <v>#REF!</v>
      </c>
      <c r="L265">
        <f>IFERROR(SEARCH(search!$B$6,samples!#REF!,1),0)</f>
        <v>0</v>
      </c>
      <c r="M265" t="e">
        <f>IF(samples!#REF!=0,"",samples!#REF!)</f>
        <v>#REF!</v>
      </c>
      <c r="N265">
        <f>IFERROR(SEARCH(search!$B$6,samples!#REF!,1),0)</f>
        <v>0</v>
      </c>
      <c r="O265" t="e">
        <f>IF(samples!#REF!=0,"",samples!#REF!)</f>
        <v>#REF!</v>
      </c>
      <c r="P265">
        <f>IFERROR(SEARCH(search!$B$6,samples!#REF!,1),0)</f>
        <v>0</v>
      </c>
      <c r="Q265" t="e">
        <f>IF(samples!#REF!=0,"",samples!#REF!)</f>
        <v>#REF!</v>
      </c>
      <c r="R265">
        <f>IFERROR(SEARCH(search!$B$6,samples!#REF!,1),0)</f>
        <v>0</v>
      </c>
      <c r="S265" t="e">
        <f>IF(samples!#REF!=0,"",samples!#REF!)</f>
        <v>#REF!</v>
      </c>
      <c r="T265">
        <f>IFERROR(SEARCH(search!$B$6,samples!#REF!,1),0)</f>
        <v>0</v>
      </c>
      <c r="U265" t="e">
        <f>IF(samples!#REF!=0,"",samples!#REF!)</f>
        <v>#REF!</v>
      </c>
      <c r="V265">
        <f>IFERROR(SEARCH(search!$B$6,samples!#REF!,1),0)</f>
        <v>0</v>
      </c>
      <c r="W265" t="e">
        <f>IF(samples!#REF!=0,"",samples!#REF!)</f>
        <v>#REF!</v>
      </c>
      <c r="X265">
        <f>IFERROR(SEARCH(search!$B$6,samples!#REF!,1),0)</f>
        <v>0</v>
      </c>
      <c r="Y265" t="e">
        <f>IF(samples!#REF!=0,"",samples!#REF!)</f>
        <v>#REF!</v>
      </c>
      <c r="Z265">
        <f>IFERROR(SEARCH(search!$B$6,samples!#REF!,1),0)</f>
        <v>0</v>
      </c>
      <c r="AA265" t="e">
        <f>IF(samples!#REF!=0,"",samples!#REF!)</f>
        <v>#REF!</v>
      </c>
      <c r="AB265">
        <f>IFERROR(SEARCH(search!$B$6,samples!#REF!,1),0)</f>
        <v>0</v>
      </c>
      <c r="AC265" t="e">
        <f>IF(samples!#REF!=0,"",samples!#REF!)</f>
        <v>#REF!</v>
      </c>
      <c r="AD265">
        <f>IFERROR(SEARCH(search!$B$6,samples!#REF!,1),0)</f>
        <v>0</v>
      </c>
    </row>
    <row r="266" spans="1:30">
      <c r="A266">
        <f t="shared" si="4"/>
        <v>0</v>
      </c>
      <c r="B266">
        <f>IF(SUM(D266,F266,H266,J266,L266,N266,P266,R266,T266,V266,X266,Z266,AB266,AD266)&gt;0,SUM($A$2:A266),0)</f>
        <v>0</v>
      </c>
      <c r="C266" t="e">
        <f>samples!#REF!</f>
        <v>#REF!</v>
      </c>
      <c r="D266">
        <f>IFERROR(SEARCH(search!$B$6,samples!#REF!,1),0)</f>
        <v>0</v>
      </c>
      <c r="E266" t="e">
        <f>IF(samples!#REF!=0,"",samples!#REF!)</f>
        <v>#REF!</v>
      </c>
      <c r="F266">
        <f>IFERROR(SEARCH(search!$B$6,samples!#REF!,1),0)</f>
        <v>0</v>
      </c>
      <c r="G266" t="e">
        <f>IF(samples!#REF!=0,"",samples!#REF!)</f>
        <v>#REF!</v>
      </c>
      <c r="H266">
        <f>IFERROR(SEARCH(search!$B$6,samples!#REF!,1),0)</f>
        <v>0</v>
      </c>
      <c r="I266" t="e">
        <f>IF(samples!#REF!=0,"",samples!#REF!)</f>
        <v>#REF!</v>
      </c>
      <c r="J266">
        <f>IFERROR(SEARCH(search!$B$6,samples!#REF!,1),0)</f>
        <v>0</v>
      </c>
      <c r="K266" t="e">
        <f>IF(samples!#REF!=0,"",samples!#REF!)</f>
        <v>#REF!</v>
      </c>
      <c r="L266">
        <f>IFERROR(SEARCH(search!$B$6,samples!#REF!,1),0)</f>
        <v>0</v>
      </c>
      <c r="M266" t="e">
        <f>IF(samples!#REF!=0,"",samples!#REF!)</f>
        <v>#REF!</v>
      </c>
      <c r="N266">
        <f>IFERROR(SEARCH(search!$B$6,samples!#REF!,1),0)</f>
        <v>0</v>
      </c>
      <c r="O266" t="e">
        <f>IF(samples!#REF!=0,"",samples!#REF!)</f>
        <v>#REF!</v>
      </c>
      <c r="P266">
        <f>IFERROR(SEARCH(search!$B$6,samples!#REF!,1),0)</f>
        <v>0</v>
      </c>
      <c r="Q266" t="e">
        <f>IF(samples!#REF!=0,"",samples!#REF!)</f>
        <v>#REF!</v>
      </c>
      <c r="R266">
        <f>IFERROR(SEARCH(search!$B$6,samples!#REF!,1),0)</f>
        <v>0</v>
      </c>
      <c r="S266" t="e">
        <f>IF(samples!#REF!=0,"",samples!#REF!)</f>
        <v>#REF!</v>
      </c>
      <c r="T266">
        <f>IFERROR(SEARCH(search!$B$6,samples!#REF!,1),0)</f>
        <v>0</v>
      </c>
      <c r="U266" t="e">
        <f>IF(samples!#REF!=0,"",samples!#REF!)</f>
        <v>#REF!</v>
      </c>
      <c r="V266">
        <f>IFERROR(SEARCH(search!$B$6,samples!#REF!,1),0)</f>
        <v>0</v>
      </c>
      <c r="W266" t="e">
        <f>IF(samples!#REF!=0,"",samples!#REF!)</f>
        <v>#REF!</v>
      </c>
      <c r="X266">
        <f>IFERROR(SEARCH(search!$B$6,samples!#REF!,1),0)</f>
        <v>0</v>
      </c>
      <c r="Y266" t="e">
        <f>IF(samples!#REF!=0,"",samples!#REF!)</f>
        <v>#REF!</v>
      </c>
      <c r="Z266">
        <f>IFERROR(SEARCH(search!$B$6,samples!#REF!,1),0)</f>
        <v>0</v>
      </c>
      <c r="AA266" t="e">
        <f>IF(samples!#REF!=0,"",samples!#REF!)</f>
        <v>#REF!</v>
      </c>
      <c r="AB266">
        <f>IFERROR(SEARCH(search!$B$6,samples!#REF!,1),0)</f>
        <v>0</v>
      </c>
      <c r="AC266" t="e">
        <f>IF(samples!#REF!=0,"",samples!#REF!)</f>
        <v>#REF!</v>
      </c>
      <c r="AD266">
        <f>IFERROR(SEARCH(search!$B$6,samples!#REF!,1),0)</f>
        <v>0</v>
      </c>
    </row>
    <row r="267" spans="1:30">
      <c r="A267">
        <f t="shared" si="4"/>
        <v>0</v>
      </c>
      <c r="B267">
        <f>IF(SUM(D267,F267,H267,J267,L267,N267,P267,R267,T267,V267,X267,Z267,AB267,AD267)&gt;0,SUM($A$2:A267),0)</f>
        <v>0</v>
      </c>
      <c r="C267" t="e">
        <f>samples!#REF!</f>
        <v>#REF!</v>
      </c>
      <c r="D267">
        <f>IFERROR(SEARCH(search!$B$6,samples!#REF!,1),0)</f>
        <v>0</v>
      </c>
      <c r="E267" t="e">
        <f>IF(samples!#REF!=0,"",samples!#REF!)</f>
        <v>#REF!</v>
      </c>
      <c r="F267">
        <f>IFERROR(SEARCH(search!$B$6,samples!#REF!,1),0)</f>
        <v>0</v>
      </c>
      <c r="G267" t="e">
        <f>IF(samples!#REF!=0,"",samples!#REF!)</f>
        <v>#REF!</v>
      </c>
      <c r="H267">
        <f>IFERROR(SEARCH(search!$B$6,samples!#REF!,1),0)</f>
        <v>0</v>
      </c>
      <c r="I267" t="e">
        <f>IF(samples!#REF!=0,"",samples!#REF!)</f>
        <v>#REF!</v>
      </c>
      <c r="J267">
        <f>IFERROR(SEARCH(search!$B$6,samples!#REF!,1),0)</f>
        <v>0</v>
      </c>
      <c r="K267" t="e">
        <f>IF(samples!#REF!=0,"",samples!#REF!)</f>
        <v>#REF!</v>
      </c>
      <c r="L267">
        <f>IFERROR(SEARCH(search!$B$6,samples!#REF!,1),0)</f>
        <v>0</v>
      </c>
      <c r="M267" t="e">
        <f>IF(samples!#REF!=0,"",samples!#REF!)</f>
        <v>#REF!</v>
      </c>
      <c r="N267">
        <f>IFERROR(SEARCH(search!$B$6,samples!#REF!,1),0)</f>
        <v>0</v>
      </c>
      <c r="O267" t="e">
        <f>IF(samples!#REF!=0,"",samples!#REF!)</f>
        <v>#REF!</v>
      </c>
      <c r="P267">
        <f>IFERROR(SEARCH(search!$B$6,samples!#REF!,1),0)</f>
        <v>0</v>
      </c>
      <c r="Q267" t="e">
        <f>IF(samples!#REF!=0,"",samples!#REF!)</f>
        <v>#REF!</v>
      </c>
      <c r="R267">
        <f>IFERROR(SEARCH(search!$B$6,samples!#REF!,1),0)</f>
        <v>0</v>
      </c>
      <c r="S267" t="e">
        <f>IF(samples!#REF!=0,"",samples!#REF!)</f>
        <v>#REF!</v>
      </c>
      <c r="T267">
        <f>IFERROR(SEARCH(search!$B$6,samples!#REF!,1),0)</f>
        <v>0</v>
      </c>
      <c r="U267" t="e">
        <f>IF(samples!#REF!=0,"",samples!#REF!)</f>
        <v>#REF!</v>
      </c>
      <c r="V267">
        <f>IFERROR(SEARCH(search!$B$6,samples!#REF!,1),0)</f>
        <v>0</v>
      </c>
      <c r="W267" t="e">
        <f>IF(samples!#REF!=0,"",samples!#REF!)</f>
        <v>#REF!</v>
      </c>
      <c r="X267">
        <f>IFERROR(SEARCH(search!$B$6,samples!#REF!,1),0)</f>
        <v>0</v>
      </c>
      <c r="Y267" t="e">
        <f>IF(samples!#REF!=0,"",samples!#REF!)</f>
        <v>#REF!</v>
      </c>
      <c r="Z267">
        <f>IFERROR(SEARCH(search!$B$6,samples!#REF!,1),0)</f>
        <v>0</v>
      </c>
      <c r="AA267" t="e">
        <f>IF(samples!#REF!=0,"",samples!#REF!)</f>
        <v>#REF!</v>
      </c>
      <c r="AB267">
        <f>IFERROR(SEARCH(search!$B$6,samples!#REF!,1),0)</f>
        <v>0</v>
      </c>
      <c r="AC267" t="e">
        <f>IF(samples!#REF!=0,"",samples!#REF!)</f>
        <v>#REF!</v>
      </c>
      <c r="AD267">
        <f>IFERROR(SEARCH(search!$B$6,samples!#REF!,1),0)</f>
        <v>0</v>
      </c>
    </row>
    <row r="268" spans="1:30">
      <c r="A268">
        <f t="shared" si="4"/>
        <v>0</v>
      </c>
      <c r="B268">
        <f>IF(SUM(D268,F268,H268,J268,L268,N268,P268,R268,T268,V268,X268,Z268,AB268,AD268)&gt;0,SUM($A$2:A268),0)</f>
        <v>0</v>
      </c>
      <c r="C268" t="e">
        <f>samples!#REF!</f>
        <v>#REF!</v>
      </c>
      <c r="D268">
        <f>IFERROR(SEARCH(search!$B$6,samples!#REF!,1),0)</f>
        <v>0</v>
      </c>
      <c r="E268" t="e">
        <f>IF(samples!#REF!=0,"",samples!#REF!)</f>
        <v>#REF!</v>
      </c>
      <c r="F268">
        <f>IFERROR(SEARCH(search!$B$6,samples!#REF!,1),0)</f>
        <v>0</v>
      </c>
      <c r="G268" t="e">
        <f>IF(samples!#REF!=0,"",samples!#REF!)</f>
        <v>#REF!</v>
      </c>
      <c r="H268">
        <f>IFERROR(SEARCH(search!$B$6,samples!#REF!,1),0)</f>
        <v>0</v>
      </c>
      <c r="I268" t="e">
        <f>IF(samples!#REF!=0,"",samples!#REF!)</f>
        <v>#REF!</v>
      </c>
      <c r="J268">
        <f>IFERROR(SEARCH(search!$B$6,samples!#REF!,1),0)</f>
        <v>0</v>
      </c>
      <c r="K268" t="e">
        <f>IF(samples!#REF!=0,"",samples!#REF!)</f>
        <v>#REF!</v>
      </c>
      <c r="L268">
        <f>IFERROR(SEARCH(search!$B$6,samples!#REF!,1),0)</f>
        <v>0</v>
      </c>
      <c r="M268" t="e">
        <f>IF(samples!#REF!=0,"",samples!#REF!)</f>
        <v>#REF!</v>
      </c>
      <c r="N268">
        <f>IFERROR(SEARCH(search!$B$6,samples!#REF!,1),0)</f>
        <v>0</v>
      </c>
      <c r="O268" t="e">
        <f>IF(samples!#REF!=0,"",samples!#REF!)</f>
        <v>#REF!</v>
      </c>
      <c r="P268">
        <f>IFERROR(SEARCH(search!$B$6,samples!#REF!,1),0)</f>
        <v>0</v>
      </c>
      <c r="Q268" t="e">
        <f>IF(samples!#REF!=0,"",samples!#REF!)</f>
        <v>#REF!</v>
      </c>
      <c r="R268">
        <f>IFERROR(SEARCH(search!$B$6,samples!#REF!,1),0)</f>
        <v>0</v>
      </c>
      <c r="S268" t="e">
        <f>IF(samples!#REF!=0,"",samples!#REF!)</f>
        <v>#REF!</v>
      </c>
      <c r="T268">
        <f>IFERROR(SEARCH(search!$B$6,samples!#REF!,1),0)</f>
        <v>0</v>
      </c>
      <c r="U268" t="e">
        <f>IF(samples!#REF!=0,"",samples!#REF!)</f>
        <v>#REF!</v>
      </c>
      <c r="V268">
        <f>IFERROR(SEARCH(search!$B$6,samples!#REF!,1),0)</f>
        <v>0</v>
      </c>
      <c r="W268" t="e">
        <f>IF(samples!#REF!=0,"",samples!#REF!)</f>
        <v>#REF!</v>
      </c>
      <c r="X268">
        <f>IFERROR(SEARCH(search!$B$6,samples!#REF!,1),0)</f>
        <v>0</v>
      </c>
      <c r="Y268" t="e">
        <f>IF(samples!#REF!=0,"",samples!#REF!)</f>
        <v>#REF!</v>
      </c>
      <c r="Z268">
        <f>IFERROR(SEARCH(search!$B$6,samples!#REF!,1),0)</f>
        <v>0</v>
      </c>
      <c r="AA268" t="e">
        <f>IF(samples!#REF!=0,"",samples!#REF!)</f>
        <v>#REF!</v>
      </c>
      <c r="AB268">
        <f>IFERROR(SEARCH(search!$B$6,samples!#REF!,1),0)</f>
        <v>0</v>
      </c>
      <c r="AC268" t="e">
        <f>IF(samples!#REF!=0,"",samples!#REF!)</f>
        <v>#REF!</v>
      </c>
      <c r="AD268">
        <f>IFERROR(SEARCH(search!$B$6,samples!#REF!,1),0)</f>
        <v>0</v>
      </c>
    </row>
    <row r="269" spans="1:30">
      <c r="A269">
        <f t="shared" si="4"/>
        <v>0</v>
      </c>
      <c r="B269">
        <f>IF(SUM(D269,F269,H269,J269,L269,N269,P269,R269,T269,V269,X269,Z269,AB269,AD269)&gt;0,SUM($A$2:A269),0)</f>
        <v>0</v>
      </c>
      <c r="C269" t="e">
        <f>samples!#REF!</f>
        <v>#REF!</v>
      </c>
      <c r="D269">
        <f>IFERROR(SEARCH(search!$B$6,samples!#REF!,1),0)</f>
        <v>0</v>
      </c>
      <c r="E269" t="e">
        <f>IF(samples!#REF!=0,"",samples!#REF!)</f>
        <v>#REF!</v>
      </c>
      <c r="F269">
        <f>IFERROR(SEARCH(search!$B$6,samples!#REF!,1),0)</f>
        <v>0</v>
      </c>
      <c r="G269" t="e">
        <f>IF(samples!#REF!=0,"",samples!#REF!)</f>
        <v>#REF!</v>
      </c>
      <c r="H269">
        <f>IFERROR(SEARCH(search!$B$6,samples!#REF!,1),0)</f>
        <v>0</v>
      </c>
      <c r="I269" t="e">
        <f>IF(samples!#REF!=0,"",samples!#REF!)</f>
        <v>#REF!</v>
      </c>
      <c r="J269">
        <f>IFERROR(SEARCH(search!$B$6,samples!#REF!,1),0)</f>
        <v>0</v>
      </c>
      <c r="K269" t="e">
        <f>IF(samples!#REF!=0,"",samples!#REF!)</f>
        <v>#REF!</v>
      </c>
      <c r="L269">
        <f>IFERROR(SEARCH(search!$B$6,samples!#REF!,1),0)</f>
        <v>0</v>
      </c>
      <c r="M269" t="e">
        <f>IF(samples!#REF!=0,"",samples!#REF!)</f>
        <v>#REF!</v>
      </c>
      <c r="N269">
        <f>IFERROR(SEARCH(search!$B$6,samples!#REF!,1),0)</f>
        <v>0</v>
      </c>
      <c r="O269" t="e">
        <f>IF(samples!#REF!=0,"",samples!#REF!)</f>
        <v>#REF!</v>
      </c>
      <c r="P269">
        <f>IFERROR(SEARCH(search!$B$6,samples!#REF!,1),0)</f>
        <v>0</v>
      </c>
      <c r="Q269" t="e">
        <f>IF(samples!#REF!=0,"",samples!#REF!)</f>
        <v>#REF!</v>
      </c>
      <c r="R269">
        <f>IFERROR(SEARCH(search!$B$6,samples!#REF!,1),0)</f>
        <v>0</v>
      </c>
      <c r="S269" t="e">
        <f>IF(samples!#REF!=0,"",samples!#REF!)</f>
        <v>#REF!</v>
      </c>
      <c r="T269">
        <f>IFERROR(SEARCH(search!$B$6,samples!#REF!,1),0)</f>
        <v>0</v>
      </c>
      <c r="U269" t="e">
        <f>IF(samples!#REF!=0,"",samples!#REF!)</f>
        <v>#REF!</v>
      </c>
      <c r="V269">
        <f>IFERROR(SEARCH(search!$B$6,samples!#REF!,1),0)</f>
        <v>0</v>
      </c>
      <c r="W269" t="e">
        <f>IF(samples!#REF!=0,"",samples!#REF!)</f>
        <v>#REF!</v>
      </c>
      <c r="X269">
        <f>IFERROR(SEARCH(search!$B$6,samples!#REF!,1),0)</f>
        <v>0</v>
      </c>
      <c r="Y269" t="e">
        <f>IF(samples!#REF!=0,"",samples!#REF!)</f>
        <v>#REF!</v>
      </c>
      <c r="Z269">
        <f>IFERROR(SEARCH(search!$B$6,samples!#REF!,1),0)</f>
        <v>0</v>
      </c>
      <c r="AA269" t="e">
        <f>IF(samples!#REF!=0,"",samples!#REF!)</f>
        <v>#REF!</v>
      </c>
      <c r="AB269">
        <f>IFERROR(SEARCH(search!$B$6,samples!#REF!,1),0)</f>
        <v>0</v>
      </c>
      <c r="AC269" t="e">
        <f>IF(samples!#REF!=0,"",samples!#REF!)</f>
        <v>#REF!</v>
      </c>
      <c r="AD269">
        <f>IFERROR(SEARCH(search!$B$6,samples!#REF!,1),0)</f>
        <v>0</v>
      </c>
    </row>
    <row r="270" spans="1:30">
      <c r="A270">
        <f t="shared" si="4"/>
        <v>0</v>
      </c>
      <c r="B270">
        <f>IF(SUM(D270,F270,H270,J270,L270,N270,P270,R270,T270,V270,X270,Z270,AB270,AD270)&gt;0,SUM($A$2:A270),0)</f>
        <v>0</v>
      </c>
      <c r="C270" t="e">
        <f>samples!#REF!</f>
        <v>#REF!</v>
      </c>
      <c r="D270">
        <f>IFERROR(SEARCH(search!$B$6,samples!#REF!,1),0)</f>
        <v>0</v>
      </c>
      <c r="E270" t="e">
        <f>IF(samples!#REF!=0,"",samples!#REF!)</f>
        <v>#REF!</v>
      </c>
      <c r="F270">
        <f>IFERROR(SEARCH(search!$B$6,samples!#REF!,1),0)</f>
        <v>0</v>
      </c>
      <c r="G270" t="e">
        <f>IF(samples!#REF!=0,"",samples!#REF!)</f>
        <v>#REF!</v>
      </c>
      <c r="H270">
        <f>IFERROR(SEARCH(search!$B$6,samples!#REF!,1),0)</f>
        <v>0</v>
      </c>
      <c r="I270" t="e">
        <f>IF(samples!#REF!=0,"",samples!#REF!)</f>
        <v>#REF!</v>
      </c>
      <c r="J270">
        <f>IFERROR(SEARCH(search!$B$6,samples!#REF!,1),0)</f>
        <v>0</v>
      </c>
      <c r="K270" t="e">
        <f>IF(samples!#REF!=0,"",samples!#REF!)</f>
        <v>#REF!</v>
      </c>
      <c r="L270">
        <f>IFERROR(SEARCH(search!$B$6,samples!#REF!,1),0)</f>
        <v>0</v>
      </c>
      <c r="M270" t="e">
        <f>IF(samples!#REF!=0,"",samples!#REF!)</f>
        <v>#REF!</v>
      </c>
      <c r="N270">
        <f>IFERROR(SEARCH(search!$B$6,samples!#REF!,1),0)</f>
        <v>0</v>
      </c>
      <c r="O270" t="e">
        <f>IF(samples!#REF!=0,"",samples!#REF!)</f>
        <v>#REF!</v>
      </c>
      <c r="P270">
        <f>IFERROR(SEARCH(search!$B$6,samples!#REF!,1),0)</f>
        <v>0</v>
      </c>
      <c r="Q270" t="e">
        <f>IF(samples!#REF!=0,"",samples!#REF!)</f>
        <v>#REF!</v>
      </c>
      <c r="R270">
        <f>IFERROR(SEARCH(search!$B$6,samples!#REF!,1),0)</f>
        <v>0</v>
      </c>
      <c r="S270" t="e">
        <f>IF(samples!#REF!=0,"",samples!#REF!)</f>
        <v>#REF!</v>
      </c>
      <c r="T270">
        <f>IFERROR(SEARCH(search!$B$6,samples!#REF!,1),0)</f>
        <v>0</v>
      </c>
      <c r="U270" t="e">
        <f>IF(samples!#REF!=0,"",samples!#REF!)</f>
        <v>#REF!</v>
      </c>
      <c r="V270">
        <f>IFERROR(SEARCH(search!$B$6,samples!#REF!,1),0)</f>
        <v>0</v>
      </c>
      <c r="W270" t="e">
        <f>IF(samples!#REF!=0,"",samples!#REF!)</f>
        <v>#REF!</v>
      </c>
      <c r="X270">
        <f>IFERROR(SEARCH(search!$B$6,samples!#REF!,1),0)</f>
        <v>0</v>
      </c>
      <c r="Y270" t="e">
        <f>IF(samples!#REF!=0,"",samples!#REF!)</f>
        <v>#REF!</v>
      </c>
      <c r="Z270">
        <f>IFERROR(SEARCH(search!$B$6,samples!#REF!,1),0)</f>
        <v>0</v>
      </c>
      <c r="AA270" t="e">
        <f>IF(samples!#REF!=0,"",samples!#REF!)</f>
        <v>#REF!</v>
      </c>
      <c r="AB270">
        <f>IFERROR(SEARCH(search!$B$6,samples!#REF!,1),0)</f>
        <v>0</v>
      </c>
      <c r="AC270" t="e">
        <f>IF(samples!#REF!=0,"",samples!#REF!)</f>
        <v>#REF!</v>
      </c>
      <c r="AD270">
        <f>IFERROR(SEARCH(search!$B$6,samples!#REF!,1),0)</f>
        <v>0</v>
      </c>
    </row>
    <row r="271" spans="1:30">
      <c r="A271">
        <f t="shared" si="4"/>
        <v>0</v>
      </c>
      <c r="B271">
        <f>IF(SUM(D271,F271,H271,J271,L271,N271,P271,R271,T271,V271,X271,Z271,AB271,AD271)&gt;0,SUM($A$2:A271),0)</f>
        <v>0</v>
      </c>
      <c r="C271" t="e">
        <f>samples!#REF!</f>
        <v>#REF!</v>
      </c>
      <c r="D271">
        <f>IFERROR(SEARCH(search!$B$6,samples!#REF!,1),0)</f>
        <v>0</v>
      </c>
      <c r="E271" t="e">
        <f>IF(samples!#REF!=0,"",samples!#REF!)</f>
        <v>#REF!</v>
      </c>
      <c r="F271">
        <f>IFERROR(SEARCH(search!$B$6,samples!#REF!,1),0)</f>
        <v>0</v>
      </c>
      <c r="G271" t="e">
        <f>IF(samples!#REF!=0,"",samples!#REF!)</f>
        <v>#REF!</v>
      </c>
      <c r="H271">
        <f>IFERROR(SEARCH(search!$B$6,samples!#REF!,1),0)</f>
        <v>0</v>
      </c>
      <c r="I271" t="e">
        <f>IF(samples!#REF!=0,"",samples!#REF!)</f>
        <v>#REF!</v>
      </c>
      <c r="J271">
        <f>IFERROR(SEARCH(search!$B$6,samples!#REF!,1),0)</f>
        <v>0</v>
      </c>
      <c r="K271" t="e">
        <f>IF(samples!#REF!=0,"",samples!#REF!)</f>
        <v>#REF!</v>
      </c>
      <c r="L271">
        <f>IFERROR(SEARCH(search!$B$6,samples!#REF!,1),0)</f>
        <v>0</v>
      </c>
      <c r="M271" t="e">
        <f>IF(samples!#REF!=0,"",samples!#REF!)</f>
        <v>#REF!</v>
      </c>
      <c r="N271">
        <f>IFERROR(SEARCH(search!$B$6,samples!#REF!,1),0)</f>
        <v>0</v>
      </c>
      <c r="O271" t="e">
        <f>IF(samples!#REF!=0,"",samples!#REF!)</f>
        <v>#REF!</v>
      </c>
      <c r="P271">
        <f>IFERROR(SEARCH(search!$B$6,samples!#REF!,1),0)</f>
        <v>0</v>
      </c>
      <c r="Q271" t="e">
        <f>IF(samples!#REF!=0,"",samples!#REF!)</f>
        <v>#REF!</v>
      </c>
      <c r="R271">
        <f>IFERROR(SEARCH(search!$B$6,samples!#REF!,1),0)</f>
        <v>0</v>
      </c>
      <c r="S271" t="e">
        <f>IF(samples!#REF!=0,"",samples!#REF!)</f>
        <v>#REF!</v>
      </c>
      <c r="T271">
        <f>IFERROR(SEARCH(search!$B$6,samples!#REF!,1),0)</f>
        <v>0</v>
      </c>
      <c r="U271" t="e">
        <f>IF(samples!#REF!=0,"",samples!#REF!)</f>
        <v>#REF!</v>
      </c>
      <c r="V271">
        <f>IFERROR(SEARCH(search!$B$6,samples!#REF!,1),0)</f>
        <v>0</v>
      </c>
      <c r="W271" t="e">
        <f>IF(samples!#REF!=0,"",samples!#REF!)</f>
        <v>#REF!</v>
      </c>
      <c r="X271">
        <f>IFERROR(SEARCH(search!$B$6,samples!#REF!,1),0)</f>
        <v>0</v>
      </c>
      <c r="Y271" t="e">
        <f>IF(samples!#REF!=0,"",samples!#REF!)</f>
        <v>#REF!</v>
      </c>
      <c r="Z271">
        <f>IFERROR(SEARCH(search!$B$6,samples!#REF!,1),0)</f>
        <v>0</v>
      </c>
      <c r="AA271" t="e">
        <f>IF(samples!#REF!=0,"",samples!#REF!)</f>
        <v>#REF!</v>
      </c>
      <c r="AB271">
        <f>IFERROR(SEARCH(search!$B$6,samples!#REF!,1),0)</f>
        <v>0</v>
      </c>
      <c r="AC271" t="e">
        <f>IF(samples!#REF!=0,"",samples!#REF!)</f>
        <v>#REF!</v>
      </c>
      <c r="AD271">
        <f>IFERROR(SEARCH(search!$B$6,samples!#REF!,1),0)</f>
        <v>0</v>
      </c>
    </row>
    <row r="272" spans="1:30">
      <c r="A272">
        <f t="shared" si="4"/>
        <v>0</v>
      </c>
      <c r="B272">
        <f>IF(SUM(D272,F272,H272,J272,L272,N272,P272,R272,T272,V272,X272,Z272,AB272,AD272)&gt;0,SUM($A$2:A272),0)</f>
        <v>0</v>
      </c>
      <c r="C272" t="e">
        <f>samples!#REF!</f>
        <v>#REF!</v>
      </c>
      <c r="D272">
        <f>IFERROR(SEARCH(search!$B$6,samples!#REF!,1),0)</f>
        <v>0</v>
      </c>
      <c r="E272" t="e">
        <f>IF(samples!#REF!=0,"",samples!#REF!)</f>
        <v>#REF!</v>
      </c>
      <c r="F272">
        <f>IFERROR(SEARCH(search!$B$6,samples!#REF!,1),0)</f>
        <v>0</v>
      </c>
      <c r="G272" t="e">
        <f>IF(samples!#REF!=0,"",samples!#REF!)</f>
        <v>#REF!</v>
      </c>
      <c r="H272">
        <f>IFERROR(SEARCH(search!$B$6,samples!#REF!,1),0)</f>
        <v>0</v>
      </c>
      <c r="I272" t="e">
        <f>IF(samples!#REF!=0,"",samples!#REF!)</f>
        <v>#REF!</v>
      </c>
      <c r="J272">
        <f>IFERROR(SEARCH(search!$B$6,samples!#REF!,1),0)</f>
        <v>0</v>
      </c>
      <c r="K272" t="e">
        <f>IF(samples!#REF!=0,"",samples!#REF!)</f>
        <v>#REF!</v>
      </c>
      <c r="L272">
        <f>IFERROR(SEARCH(search!$B$6,samples!#REF!,1),0)</f>
        <v>0</v>
      </c>
      <c r="M272" t="e">
        <f>IF(samples!#REF!=0,"",samples!#REF!)</f>
        <v>#REF!</v>
      </c>
      <c r="N272">
        <f>IFERROR(SEARCH(search!$B$6,samples!#REF!,1),0)</f>
        <v>0</v>
      </c>
      <c r="O272" t="e">
        <f>IF(samples!#REF!=0,"",samples!#REF!)</f>
        <v>#REF!</v>
      </c>
      <c r="P272">
        <f>IFERROR(SEARCH(search!$B$6,samples!#REF!,1),0)</f>
        <v>0</v>
      </c>
      <c r="Q272" t="e">
        <f>IF(samples!#REF!=0,"",samples!#REF!)</f>
        <v>#REF!</v>
      </c>
      <c r="R272">
        <f>IFERROR(SEARCH(search!$B$6,samples!#REF!,1),0)</f>
        <v>0</v>
      </c>
      <c r="S272" t="e">
        <f>IF(samples!#REF!=0,"",samples!#REF!)</f>
        <v>#REF!</v>
      </c>
      <c r="T272">
        <f>IFERROR(SEARCH(search!$B$6,samples!#REF!,1),0)</f>
        <v>0</v>
      </c>
      <c r="U272" t="e">
        <f>IF(samples!#REF!=0,"",samples!#REF!)</f>
        <v>#REF!</v>
      </c>
      <c r="V272">
        <f>IFERROR(SEARCH(search!$B$6,samples!#REF!,1),0)</f>
        <v>0</v>
      </c>
      <c r="W272" t="e">
        <f>IF(samples!#REF!=0,"",samples!#REF!)</f>
        <v>#REF!</v>
      </c>
      <c r="X272">
        <f>IFERROR(SEARCH(search!$B$6,samples!#REF!,1),0)</f>
        <v>0</v>
      </c>
      <c r="Y272" t="e">
        <f>IF(samples!#REF!=0,"",samples!#REF!)</f>
        <v>#REF!</v>
      </c>
      <c r="Z272">
        <f>IFERROR(SEARCH(search!$B$6,samples!#REF!,1),0)</f>
        <v>0</v>
      </c>
      <c r="AA272" t="e">
        <f>IF(samples!#REF!=0,"",samples!#REF!)</f>
        <v>#REF!</v>
      </c>
      <c r="AB272">
        <f>IFERROR(SEARCH(search!$B$6,samples!#REF!,1),0)</f>
        <v>0</v>
      </c>
      <c r="AC272" t="e">
        <f>IF(samples!#REF!=0,"",samples!#REF!)</f>
        <v>#REF!</v>
      </c>
      <c r="AD272">
        <f>IFERROR(SEARCH(search!$B$6,samples!#REF!,1),0)</f>
        <v>0</v>
      </c>
    </row>
    <row r="273" spans="1:30">
      <c r="A273">
        <f t="shared" si="4"/>
        <v>0</v>
      </c>
      <c r="B273">
        <f>IF(SUM(D273,F273,H273,J273,L273,N273,P273,R273,T273,V273,X273,Z273,AB273,AD273)&gt;0,SUM($A$2:A273),0)</f>
        <v>0</v>
      </c>
      <c r="C273" t="e">
        <f>samples!#REF!</f>
        <v>#REF!</v>
      </c>
      <c r="D273">
        <f>IFERROR(SEARCH(search!$B$6,samples!#REF!,1),0)</f>
        <v>0</v>
      </c>
      <c r="E273" t="e">
        <f>IF(samples!#REF!=0,"",samples!#REF!)</f>
        <v>#REF!</v>
      </c>
      <c r="F273">
        <f>IFERROR(SEARCH(search!$B$6,samples!#REF!,1),0)</f>
        <v>0</v>
      </c>
      <c r="G273" t="e">
        <f>IF(samples!#REF!=0,"",samples!#REF!)</f>
        <v>#REF!</v>
      </c>
      <c r="H273">
        <f>IFERROR(SEARCH(search!$B$6,samples!#REF!,1),0)</f>
        <v>0</v>
      </c>
      <c r="I273" t="e">
        <f>IF(samples!#REF!=0,"",samples!#REF!)</f>
        <v>#REF!</v>
      </c>
      <c r="J273">
        <f>IFERROR(SEARCH(search!$B$6,samples!#REF!,1),0)</f>
        <v>0</v>
      </c>
      <c r="K273" t="e">
        <f>IF(samples!#REF!=0,"",samples!#REF!)</f>
        <v>#REF!</v>
      </c>
      <c r="L273">
        <f>IFERROR(SEARCH(search!$B$6,samples!#REF!,1),0)</f>
        <v>0</v>
      </c>
      <c r="M273" t="e">
        <f>IF(samples!#REF!=0,"",samples!#REF!)</f>
        <v>#REF!</v>
      </c>
      <c r="N273">
        <f>IFERROR(SEARCH(search!$B$6,samples!#REF!,1),0)</f>
        <v>0</v>
      </c>
      <c r="O273" t="e">
        <f>IF(samples!#REF!=0,"",samples!#REF!)</f>
        <v>#REF!</v>
      </c>
      <c r="P273">
        <f>IFERROR(SEARCH(search!$B$6,samples!#REF!,1),0)</f>
        <v>0</v>
      </c>
      <c r="Q273" t="e">
        <f>IF(samples!#REF!=0,"",samples!#REF!)</f>
        <v>#REF!</v>
      </c>
      <c r="R273">
        <f>IFERROR(SEARCH(search!$B$6,samples!#REF!,1),0)</f>
        <v>0</v>
      </c>
      <c r="S273" t="e">
        <f>IF(samples!#REF!=0,"",samples!#REF!)</f>
        <v>#REF!</v>
      </c>
      <c r="T273">
        <f>IFERROR(SEARCH(search!$B$6,samples!#REF!,1),0)</f>
        <v>0</v>
      </c>
      <c r="U273" t="e">
        <f>IF(samples!#REF!=0,"",samples!#REF!)</f>
        <v>#REF!</v>
      </c>
      <c r="V273">
        <f>IFERROR(SEARCH(search!$B$6,samples!#REF!,1),0)</f>
        <v>0</v>
      </c>
      <c r="W273" t="e">
        <f>IF(samples!#REF!=0,"",samples!#REF!)</f>
        <v>#REF!</v>
      </c>
      <c r="X273">
        <f>IFERROR(SEARCH(search!$B$6,samples!#REF!,1),0)</f>
        <v>0</v>
      </c>
      <c r="Y273" t="e">
        <f>IF(samples!#REF!=0,"",samples!#REF!)</f>
        <v>#REF!</v>
      </c>
      <c r="Z273">
        <f>IFERROR(SEARCH(search!$B$6,samples!#REF!,1),0)</f>
        <v>0</v>
      </c>
      <c r="AA273" t="e">
        <f>IF(samples!#REF!=0,"",samples!#REF!)</f>
        <v>#REF!</v>
      </c>
      <c r="AB273">
        <f>IFERROR(SEARCH(search!$B$6,samples!#REF!,1),0)</f>
        <v>0</v>
      </c>
      <c r="AC273" t="e">
        <f>IF(samples!#REF!=0,"",samples!#REF!)</f>
        <v>#REF!</v>
      </c>
      <c r="AD273">
        <f>IFERROR(SEARCH(search!$B$6,samples!#REF!,1),0)</f>
        <v>0</v>
      </c>
    </row>
    <row r="274" spans="1:30">
      <c r="A274">
        <f t="shared" si="4"/>
        <v>0</v>
      </c>
      <c r="B274">
        <f>IF(SUM(D274,F274,H274,J274,L274,N274,P274,R274,T274,V274,X274,Z274,AB274,AD274)&gt;0,SUM($A$2:A274),0)</f>
        <v>0</v>
      </c>
      <c r="C274" t="e">
        <f>samples!#REF!</f>
        <v>#REF!</v>
      </c>
      <c r="D274">
        <f>IFERROR(SEARCH(search!$B$6,samples!#REF!,1),0)</f>
        <v>0</v>
      </c>
      <c r="E274" t="e">
        <f>IF(samples!#REF!=0,"",samples!#REF!)</f>
        <v>#REF!</v>
      </c>
      <c r="F274">
        <f>IFERROR(SEARCH(search!$B$6,samples!#REF!,1),0)</f>
        <v>0</v>
      </c>
      <c r="G274" t="e">
        <f>IF(samples!#REF!=0,"",samples!#REF!)</f>
        <v>#REF!</v>
      </c>
      <c r="H274">
        <f>IFERROR(SEARCH(search!$B$6,samples!#REF!,1),0)</f>
        <v>0</v>
      </c>
      <c r="I274" t="e">
        <f>IF(samples!#REF!=0,"",samples!#REF!)</f>
        <v>#REF!</v>
      </c>
      <c r="J274">
        <f>IFERROR(SEARCH(search!$B$6,samples!#REF!,1),0)</f>
        <v>0</v>
      </c>
      <c r="K274" t="e">
        <f>IF(samples!#REF!=0,"",samples!#REF!)</f>
        <v>#REF!</v>
      </c>
      <c r="L274">
        <f>IFERROR(SEARCH(search!$B$6,samples!#REF!,1),0)</f>
        <v>0</v>
      </c>
      <c r="M274" t="e">
        <f>IF(samples!#REF!=0,"",samples!#REF!)</f>
        <v>#REF!</v>
      </c>
      <c r="N274">
        <f>IFERROR(SEARCH(search!$B$6,samples!#REF!,1),0)</f>
        <v>0</v>
      </c>
      <c r="O274" t="e">
        <f>IF(samples!#REF!=0,"",samples!#REF!)</f>
        <v>#REF!</v>
      </c>
      <c r="P274">
        <f>IFERROR(SEARCH(search!$B$6,samples!#REF!,1),0)</f>
        <v>0</v>
      </c>
      <c r="Q274" t="e">
        <f>IF(samples!#REF!=0,"",samples!#REF!)</f>
        <v>#REF!</v>
      </c>
      <c r="R274">
        <f>IFERROR(SEARCH(search!$B$6,samples!#REF!,1),0)</f>
        <v>0</v>
      </c>
      <c r="S274" t="e">
        <f>IF(samples!#REF!=0,"",samples!#REF!)</f>
        <v>#REF!</v>
      </c>
      <c r="T274">
        <f>IFERROR(SEARCH(search!$B$6,samples!#REF!,1),0)</f>
        <v>0</v>
      </c>
      <c r="U274" t="e">
        <f>IF(samples!#REF!=0,"",samples!#REF!)</f>
        <v>#REF!</v>
      </c>
      <c r="V274">
        <f>IFERROR(SEARCH(search!$B$6,samples!#REF!,1),0)</f>
        <v>0</v>
      </c>
      <c r="W274" t="e">
        <f>IF(samples!#REF!=0,"",samples!#REF!)</f>
        <v>#REF!</v>
      </c>
      <c r="X274">
        <f>IFERROR(SEARCH(search!$B$6,samples!#REF!,1),0)</f>
        <v>0</v>
      </c>
      <c r="Y274" t="e">
        <f>IF(samples!#REF!=0,"",samples!#REF!)</f>
        <v>#REF!</v>
      </c>
      <c r="Z274">
        <f>IFERROR(SEARCH(search!$B$6,samples!#REF!,1),0)</f>
        <v>0</v>
      </c>
      <c r="AA274" t="e">
        <f>IF(samples!#REF!=0,"",samples!#REF!)</f>
        <v>#REF!</v>
      </c>
      <c r="AB274">
        <f>IFERROR(SEARCH(search!$B$6,samples!#REF!,1),0)</f>
        <v>0</v>
      </c>
      <c r="AC274" t="e">
        <f>IF(samples!#REF!=0,"",samples!#REF!)</f>
        <v>#REF!</v>
      </c>
      <c r="AD274">
        <f>IFERROR(SEARCH(search!$B$6,samples!#REF!,1),0)</f>
        <v>0</v>
      </c>
    </row>
    <row r="275" spans="1:30">
      <c r="A275">
        <f t="shared" si="4"/>
        <v>0</v>
      </c>
      <c r="B275">
        <f>IF(SUM(D275,F275,H275,J275,L275,N275,P275,R275,T275,V275,X275,Z275,AB275,AD275)&gt;0,SUM($A$2:A275),0)</f>
        <v>0</v>
      </c>
      <c r="C275" t="e">
        <f>samples!#REF!</f>
        <v>#REF!</v>
      </c>
      <c r="D275">
        <f>IFERROR(SEARCH(search!$B$6,samples!#REF!,1),0)</f>
        <v>0</v>
      </c>
      <c r="E275" t="e">
        <f>IF(samples!#REF!=0,"",samples!#REF!)</f>
        <v>#REF!</v>
      </c>
      <c r="F275">
        <f>IFERROR(SEARCH(search!$B$6,samples!#REF!,1),0)</f>
        <v>0</v>
      </c>
      <c r="G275" t="e">
        <f>IF(samples!#REF!=0,"",samples!#REF!)</f>
        <v>#REF!</v>
      </c>
      <c r="H275">
        <f>IFERROR(SEARCH(search!$B$6,samples!#REF!,1),0)</f>
        <v>0</v>
      </c>
      <c r="I275" t="e">
        <f>IF(samples!#REF!=0,"",samples!#REF!)</f>
        <v>#REF!</v>
      </c>
      <c r="J275">
        <f>IFERROR(SEARCH(search!$B$6,samples!#REF!,1),0)</f>
        <v>0</v>
      </c>
      <c r="K275" t="e">
        <f>IF(samples!#REF!=0,"",samples!#REF!)</f>
        <v>#REF!</v>
      </c>
      <c r="L275">
        <f>IFERROR(SEARCH(search!$B$6,samples!#REF!,1),0)</f>
        <v>0</v>
      </c>
      <c r="M275" t="e">
        <f>IF(samples!#REF!=0,"",samples!#REF!)</f>
        <v>#REF!</v>
      </c>
      <c r="N275">
        <f>IFERROR(SEARCH(search!$B$6,samples!#REF!,1),0)</f>
        <v>0</v>
      </c>
      <c r="O275" t="e">
        <f>IF(samples!#REF!=0,"",samples!#REF!)</f>
        <v>#REF!</v>
      </c>
      <c r="P275">
        <f>IFERROR(SEARCH(search!$B$6,samples!#REF!,1),0)</f>
        <v>0</v>
      </c>
      <c r="Q275" t="e">
        <f>IF(samples!#REF!=0,"",samples!#REF!)</f>
        <v>#REF!</v>
      </c>
      <c r="R275">
        <f>IFERROR(SEARCH(search!$B$6,samples!#REF!,1),0)</f>
        <v>0</v>
      </c>
      <c r="S275" t="e">
        <f>IF(samples!#REF!=0,"",samples!#REF!)</f>
        <v>#REF!</v>
      </c>
      <c r="T275">
        <f>IFERROR(SEARCH(search!$B$6,samples!#REF!,1),0)</f>
        <v>0</v>
      </c>
      <c r="U275" t="e">
        <f>IF(samples!#REF!=0,"",samples!#REF!)</f>
        <v>#REF!</v>
      </c>
      <c r="V275">
        <f>IFERROR(SEARCH(search!$B$6,samples!#REF!,1),0)</f>
        <v>0</v>
      </c>
      <c r="W275" t="e">
        <f>IF(samples!#REF!=0,"",samples!#REF!)</f>
        <v>#REF!</v>
      </c>
      <c r="X275">
        <f>IFERROR(SEARCH(search!$B$6,samples!#REF!,1),0)</f>
        <v>0</v>
      </c>
      <c r="Y275" t="e">
        <f>IF(samples!#REF!=0,"",samples!#REF!)</f>
        <v>#REF!</v>
      </c>
      <c r="Z275">
        <f>IFERROR(SEARCH(search!$B$6,samples!#REF!,1),0)</f>
        <v>0</v>
      </c>
      <c r="AA275" t="e">
        <f>IF(samples!#REF!=0,"",samples!#REF!)</f>
        <v>#REF!</v>
      </c>
      <c r="AB275">
        <f>IFERROR(SEARCH(search!$B$6,samples!#REF!,1),0)</f>
        <v>0</v>
      </c>
      <c r="AC275" t="e">
        <f>IF(samples!#REF!=0,"",samples!#REF!)</f>
        <v>#REF!</v>
      </c>
      <c r="AD275">
        <f>IFERROR(SEARCH(search!$B$6,samples!#REF!,1),0)</f>
        <v>0</v>
      </c>
    </row>
    <row r="276" spans="1:30">
      <c r="A276">
        <f t="shared" si="4"/>
        <v>0</v>
      </c>
      <c r="B276">
        <f>IF(SUM(D276,F276,H276,J276,L276,N276,P276,R276,T276,V276,X276,Z276,AB276,AD276)&gt;0,SUM($A$2:A276),0)</f>
        <v>0</v>
      </c>
      <c r="C276" t="e">
        <f>samples!#REF!</f>
        <v>#REF!</v>
      </c>
      <c r="D276">
        <f>IFERROR(SEARCH(search!$B$6,samples!#REF!,1),0)</f>
        <v>0</v>
      </c>
      <c r="E276" t="e">
        <f>IF(samples!#REF!=0,"",samples!#REF!)</f>
        <v>#REF!</v>
      </c>
      <c r="F276">
        <f>IFERROR(SEARCH(search!$B$6,samples!#REF!,1),0)</f>
        <v>0</v>
      </c>
      <c r="G276" t="e">
        <f>IF(samples!#REF!=0,"",samples!#REF!)</f>
        <v>#REF!</v>
      </c>
      <c r="H276">
        <f>IFERROR(SEARCH(search!$B$6,samples!#REF!,1),0)</f>
        <v>0</v>
      </c>
      <c r="I276" t="e">
        <f>IF(samples!#REF!=0,"",samples!#REF!)</f>
        <v>#REF!</v>
      </c>
      <c r="J276">
        <f>IFERROR(SEARCH(search!$B$6,samples!#REF!,1),0)</f>
        <v>0</v>
      </c>
      <c r="K276" t="e">
        <f>IF(samples!#REF!=0,"",samples!#REF!)</f>
        <v>#REF!</v>
      </c>
      <c r="L276">
        <f>IFERROR(SEARCH(search!$B$6,samples!#REF!,1),0)</f>
        <v>0</v>
      </c>
      <c r="M276" t="e">
        <f>IF(samples!#REF!=0,"",samples!#REF!)</f>
        <v>#REF!</v>
      </c>
      <c r="N276">
        <f>IFERROR(SEARCH(search!$B$6,samples!#REF!,1),0)</f>
        <v>0</v>
      </c>
      <c r="O276" t="e">
        <f>IF(samples!#REF!=0,"",samples!#REF!)</f>
        <v>#REF!</v>
      </c>
      <c r="P276">
        <f>IFERROR(SEARCH(search!$B$6,samples!#REF!,1),0)</f>
        <v>0</v>
      </c>
      <c r="Q276" t="e">
        <f>IF(samples!#REF!=0,"",samples!#REF!)</f>
        <v>#REF!</v>
      </c>
      <c r="R276">
        <f>IFERROR(SEARCH(search!$B$6,samples!#REF!,1),0)</f>
        <v>0</v>
      </c>
      <c r="S276" t="e">
        <f>IF(samples!#REF!=0,"",samples!#REF!)</f>
        <v>#REF!</v>
      </c>
      <c r="T276">
        <f>IFERROR(SEARCH(search!$B$6,samples!#REF!,1),0)</f>
        <v>0</v>
      </c>
      <c r="U276" t="e">
        <f>IF(samples!#REF!=0,"",samples!#REF!)</f>
        <v>#REF!</v>
      </c>
      <c r="V276">
        <f>IFERROR(SEARCH(search!$B$6,samples!#REF!,1),0)</f>
        <v>0</v>
      </c>
      <c r="W276" t="e">
        <f>IF(samples!#REF!=0,"",samples!#REF!)</f>
        <v>#REF!</v>
      </c>
      <c r="X276">
        <f>IFERROR(SEARCH(search!$B$6,samples!#REF!,1),0)</f>
        <v>0</v>
      </c>
      <c r="Y276" t="e">
        <f>IF(samples!#REF!=0,"",samples!#REF!)</f>
        <v>#REF!</v>
      </c>
      <c r="Z276">
        <f>IFERROR(SEARCH(search!$B$6,samples!#REF!,1),0)</f>
        <v>0</v>
      </c>
      <c r="AA276" t="e">
        <f>IF(samples!#REF!=0,"",samples!#REF!)</f>
        <v>#REF!</v>
      </c>
      <c r="AB276">
        <f>IFERROR(SEARCH(search!$B$6,samples!#REF!,1),0)</f>
        <v>0</v>
      </c>
      <c r="AC276" t="e">
        <f>IF(samples!#REF!=0,"",samples!#REF!)</f>
        <v>#REF!</v>
      </c>
      <c r="AD276">
        <f>IFERROR(SEARCH(search!$B$6,samples!#REF!,1),0)</f>
        <v>0</v>
      </c>
    </row>
    <row r="277" spans="1:30">
      <c r="A277">
        <f t="shared" si="4"/>
        <v>0</v>
      </c>
      <c r="B277">
        <f>IF(SUM(D277,F277,H277,J277,L277,N277,P277,R277,T277,V277,X277,Z277,AB277,AD277)&gt;0,SUM($A$2:A277),0)</f>
        <v>0</v>
      </c>
      <c r="C277" t="e">
        <f>samples!#REF!</f>
        <v>#REF!</v>
      </c>
      <c r="D277">
        <f>IFERROR(SEARCH(search!$B$6,samples!#REF!,1),0)</f>
        <v>0</v>
      </c>
      <c r="E277" t="e">
        <f>IF(samples!#REF!=0,"",samples!#REF!)</f>
        <v>#REF!</v>
      </c>
      <c r="F277">
        <f>IFERROR(SEARCH(search!$B$6,samples!#REF!,1),0)</f>
        <v>0</v>
      </c>
      <c r="G277" t="e">
        <f>IF(samples!#REF!=0,"",samples!#REF!)</f>
        <v>#REF!</v>
      </c>
      <c r="H277">
        <f>IFERROR(SEARCH(search!$B$6,samples!#REF!,1),0)</f>
        <v>0</v>
      </c>
      <c r="I277" t="e">
        <f>IF(samples!#REF!=0,"",samples!#REF!)</f>
        <v>#REF!</v>
      </c>
      <c r="J277">
        <f>IFERROR(SEARCH(search!$B$6,samples!#REF!,1),0)</f>
        <v>0</v>
      </c>
      <c r="K277" t="e">
        <f>IF(samples!#REF!=0,"",samples!#REF!)</f>
        <v>#REF!</v>
      </c>
      <c r="L277">
        <f>IFERROR(SEARCH(search!$B$6,samples!#REF!,1),0)</f>
        <v>0</v>
      </c>
      <c r="M277" t="e">
        <f>IF(samples!#REF!=0,"",samples!#REF!)</f>
        <v>#REF!</v>
      </c>
      <c r="N277">
        <f>IFERROR(SEARCH(search!$B$6,samples!#REF!,1),0)</f>
        <v>0</v>
      </c>
      <c r="O277" t="e">
        <f>IF(samples!#REF!=0,"",samples!#REF!)</f>
        <v>#REF!</v>
      </c>
      <c r="P277">
        <f>IFERROR(SEARCH(search!$B$6,samples!#REF!,1),0)</f>
        <v>0</v>
      </c>
      <c r="Q277" t="e">
        <f>IF(samples!#REF!=0,"",samples!#REF!)</f>
        <v>#REF!</v>
      </c>
      <c r="R277">
        <f>IFERROR(SEARCH(search!$B$6,samples!#REF!,1),0)</f>
        <v>0</v>
      </c>
      <c r="S277" t="e">
        <f>IF(samples!#REF!=0,"",samples!#REF!)</f>
        <v>#REF!</v>
      </c>
      <c r="T277">
        <f>IFERROR(SEARCH(search!$B$6,samples!#REF!,1),0)</f>
        <v>0</v>
      </c>
      <c r="U277" t="e">
        <f>IF(samples!#REF!=0,"",samples!#REF!)</f>
        <v>#REF!</v>
      </c>
      <c r="V277">
        <f>IFERROR(SEARCH(search!$B$6,samples!#REF!,1),0)</f>
        <v>0</v>
      </c>
      <c r="W277" t="e">
        <f>IF(samples!#REF!=0,"",samples!#REF!)</f>
        <v>#REF!</v>
      </c>
      <c r="X277">
        <f>IFERROR(SEARCH(search!$B$6,samples!#REF!,1),0)</f>
        <v>0</v>
      </c>
      <c r="Y277" t="e">
        <f>IF(samples!#REF!=0,"",samples!#REF!)</f>
        <v>#REF!</v>
      </c>
      <c r="Z277">
        <f>IFERROR(SEARCH(search!$B$6,samples!#REF!,1),0)</f>
        <v>0</v>
      </c>
      <c r="AA277" t="e">
        <f>IF(samples!#REF!=0,"",samples!#REF!)</f>
        <v>#REF!</v>
      </c>
      <c r="AB277">
        <f>IFERROR(SEARCH(search!$B$6,samples!#REF!,1),0)</f>
        <v>0</v>
      </c>
      <c r="AC277" t="e">
        <f>IF(samples!#REF!=0,"",samples!#REF!)</f>
        <v>#REF!</v>
      </c>
      <c r="AD277">
        <f>IFERROR(SEARCH(search!$B$6,samples!#REF!,1),0)</f>
        <v>0</v>
      </c>
    </row>
    <row r="278" spans="1:30">
      <c r="A278">
        <f t="shared" si="4"/>
        <v>0</v>
      </c>
      <c r="B278">
        <f>IF(SUM(D278,F278,H278,J278,L278,N278,P278,R278,T278,V278,X278,Z278,AB278,AD278)&gt;0,SUM($A$2:A278),0)</f>
        <v>0</v>
      </c>
      <c r="C278" t="e">
        <f>samples!#REF!</f>
        <v>#REF!</v>
      </c>
      <c r="D278">
        <f>IFERROR(SEARCH(search!$B$6,samples!#REF!,1),0)</f>
        <v>0</v>
      </c>
      <c r="E278" t="e">
        <f>IF(samples!#REF!=0,"",samples!#REF!)</f>
        <v>#REF!</v>
      </c>
      <c r="F278">
        <f>IFERROR(SEARCH(search!$B$6,samples!#REF!,1),0)</f>
        <v>0</v>
      </c>
      <c r="G278" t="e">
        <f>IF(samples!#REF!=0,"",samples!#REF!)</f>
        <v>#REF!</v>
      </c>
      <c r="H278">
        <f>IFERROR(SEARCH(search!$B$6,samples!#REF!,1),0)</f>
        <v>0</v>
      </c>
      <c r="I278" t="e">
        <f>IF(samples!#REF!=0,"",samples!#REF!)</f>
        <v>#REF!</v>
      </c>
      <c r="J278">
        <f>IFERROR(SEARCH(search!$B$6,samples!#REF!,1),0)</f>
        <v>0</v>
      </c>
      <c r="K278" t="e">
        <f>IF(samples!#REF!=0,"",samples!#REF!)</f>
        <v>#REF!</v>
      </c>
      <c r="L278">
        <f>IFERROR(SEARCH(search!$B$6,samples!#REF!,1),0)</f>
        <v>0</v>
      </c>
      <c r="M278" t="e">
        <f>IF(samples!#REF!=0,"",samples!#REF!)</f>
        <v>#REF!</v>
      </c>
      <c r="N278">
        <f>IFERROR(SEARCH(search!$B$6,samples!#REF!,1),0)</f>
        <v>0</v>
      </c>
      <c r="O278" t="e">
        <f>IF(samples!#REF!=0,"",samples!#REF!)</f>
        <v>#REF!</v>
      </c>
      <c r="P278">
        <f>IFERROR(SEARCH(search!$B$6,samples!#REF!,1),0)</f>
        <v>0</v>
      </c>
      <c r="Q278" t="e">
        <f>IF(samples!#REF!=0,"",samples!#REF!)</f>
        <v>#REF!</v>
      </c>
      <c r="R278">
        <f>IFERROR(SEARCH(search!$B$6,samples!#REF!,1),0)</f>
        <v>0</v>
      </c>
      <c r="S278" t="e">
        <f>IF(samples!#REF!=0,"",samples!#REF!)</f>
        <v>#REF!</v>
      </c>
      <c r="T278">
        <f>IFERROR(SEARCH(search!$B$6,samples!#REF!,1),0)</f>
        <v>0</v>
      </c>
      <c r="U278" t="e">
        <f>IF(samples!#REF!=0,"",samples!#REF!)</f>
        <v>#REF!</v>
      </c>
      <c r="V278">
        <f>IFERROR(SEARCH(search!$B$6,samples!#REF!,1),0)</f>
        <v>0</v>
      </c>
      <c r="W278" t="e">
        <f>IF(samples!#REF!=0,"",samples!#REF!)</f>
        <v>#REF!</v>
      </c>
      <c r="X278">
        <f>IFERROR(SEARCH(search!$B$6,samples!#REF!,1),0)</f>
        <v>0</v>
      </c>
      <c r="Y278" t="e">
        <f>IF(samples!#REF!=0,"",samples!#REF!)</f>
        <v>#REF!</v>
      </c>
      <c r="Z278">
        <f>IFERROR(SEARCH(search!$B$6,samples!#REF!,1),0)</f>
        <v>0</v>
      </c>
      <c r="AA278" t="e">
        <f>IF(samples!#REF!=0,"",samples!#REF!)</f>
        <v>#REF!</v>
      </c>
      <c r="AB278">
        <f>IFERROR(SEARCH(search!$B$6,samples!#REF!,1),0)</f>
        <v>0</v>
      </c>
      <c r="AC278" t="e">
        <f>IF(samples!#REF!=0,"",samples!#REF!)</f>
        <v>#REF!</v>
      </c>
      <c r="AD278">
        <f>IFERROR(SEARCH(search!$B$6,samples!#REF!,1),0)</f>
        <v>0</v>
      </c>
    </row>
    <row r="279" spans="1:30">
      <c r="A279">
        <f t="shared" si="4"/>
        <v>0</v>
      </c>
      <c r="B279">
        <f>IF(SUM(D279,F279,H279,J279,L279,N279,P279,R279,T279,V279,X279,Z279,AB279,AD279)&gt;0,SUM($A$2:A279),0)</f>
        <v>0</v>
      </c>
      <c r="C279" t="e">
        <f>samples!#REF!</f>
        <v>#REF!</v>
      </c>
      <c r="D279">
        <f>IFERROR(SEARCH(search!$B$6,samples!#REF!,1),0)</f>
        <v>0</v>
      </c>
      <c r="E279" t="e">
        <f>IF(samples!#REF!=0,"",samples!#REF!)</f>
        <v>#REF!</v>
      </c>
      <c r="F279">
        <f>IFERROR(SEARCH(search!$B$6,samples!#REF!,1),0)</f>
        <v>0</v>
      </c>
      <c r="G279" t="e">
        <f>IF(samples!#REF!=0,"",samples!#REF!)</f>
        <v>#REF!</v>
      </c>
      <c r="H279">
        <f>IFERROR(SEARCH(search!$B$6,samples!#REF!,1),0)</f>
        <v>0</v>
      </c>
      <c r="I279" t="e">
        <f>IF(samples!#REF!=0,"",samples!#REF!)</f>
        <v>#REF!</v>
      </c>
      <c r="J279">
        <f>IFERROR(SEARCH(search!$B$6,samples!#REF!,1),0)</f>
        <v>0</v>
      </c>
      <c r="K279" t="e">
        <f>IF(samples!#REF!=0,"",samples!#REF!)</f>
        <v>#REF!</v>
      </c>
      <c r="L279">
        <f>IFERROR(SEARCH(search!$B$6,samples!#REF!,1),0)</f>
        <v>0</v>
      </c>
      <c r="M279" t="e">
        <f>IF(samples!#REF!=0,"",samples!#REF!)</f>
        <v>#REF!</v>
      </c>
      <c r="N279">
        <f>IFERROR(SEARCH(search!$B$6,samples!#REF!,1),0)</f>
        <v>0</v>
      </c>
      <c r="O279" t="e">
        <f>IF(samples!#REF!=0,"",samples!#REF!)</f>
        <v>#REF!</v>
      </c>
      <c r="P279">
        <f>IFERROR(SEARCH(search!$B$6,samples!#REF!,1),0)</f>
        <v>0</v>
      </c>
      <c r="Q279" t="e">
        <f>IF(samples!#REF!=0,"",samples!#REF!)</f>
        <v>#REF!</v>
      </c>
      <c r="R279">
        <f>IFERROR(SEARCH(search!$B$6,samples!#REF!,1),0)</f>
        <v>0</v>
      </c>
      <c r="S279" t="e">
        <f>IF(samples!#REF!=0,"",samples!#REF!)</f>
        <v>#REF!</v>
      </c>
      <c r="T279">
        <f>IFERROR(SEARCH(search!$B$6,samples!#REF!,1),0)</f>
        <v>0</v>
      </c>
      <c r="U279" t="e">
        <f>IF(samples!#REF!=0,"",samples!#REF!)</f>
        <v>#REF!</v>
      </c>
      <c r="V279">
        <f>IFERROR(SEARCH(search!$B$6,samples!#REF!,1),0)</f>
        <v>0</v>
      </c>
      <c r="W279" t="e">
        <f>IF(samples!#REF!=0,"",samples!#REF!)</f>
        <v>#REF!</v>
      </c>
      <c r="X279">
        <f>IFERROR(SEARCH(search!$B$6,samples!#REF!,1),0)</f>
        <v>0</v>
      </c>
      <c r="Y279" t="e">
        <f>IF(samples!#REF!=0,"",samples!#REF!)</f>
        <v>#REF!</v>
      </c>
      <c r="Z279">
        <f>IFERROR(SEARCH(search!$B$6,samples!#REF!,1),0)</f>
        <v>0</v>
      </c>
      <c r="AA279" t="e">
        <f>IF(samples!#REF!=0,"",samples!#REF!)</f>
        <v>#REF!</v>
      </c>
      <c r="AB279">
        <f>IFERROR(SEARCH(search!$B$6,samples!#REF!,1),0)</f>
        <v>0</v>
      </c>
      <c r="AC279" t="e">
        <f>IF(samples!#REF!=0,"",samples!#REF!)</f>
        <v>#REF!</v>
      </c>
      <c r="AD279">
        <f>IFERROR(SEARCH(search!$B$6,samples!#REF!,1),0)</f>
        <v>0</v>
      </c>
    </row>
    <row r="280" spans="1:30">
      <c r="A280">
        <f t="shared" si="4"/>
        <v>0</v>
      </c>
      <c r="B280">
        <f>IF(SUM(D280,F280,H280,J280,L280,N280,P280,R280,T280,V280,X280,Z280,AB280,AD280)&gt;0,SUM($A$2:A280),0)</f>
        <v>0</v>
      </c>
      <c r="C280" t="e">
        <f>samples!#REF!</f>
        <v>#REF!</v>
      </c>
      <c r="D280">
        <f>IFERROR(SEARCH(search!$B$6,samples!#REF!,1),0)</f>
        <v>0</v>
      </c>
      <c r="E280" t="e">
        <f>IF(samples!#REF!=0,"",samples!#REF!)</f>
        <v>#REF!</v>
      </c>
      <c r="F280">
        <f>IFERROR(SEARCH(search!$B$6,samples!#REF!,1),0)</f>
        <v>0</v>
      </c>
      <c r="G280" t="e">
        <f>IF(samples!#REF!=0,"",samples!#REF!)</f>
        <v>#REF!</v>
      </c>
      <c r="H280">
        <f>IFERROR(SEARCH(search!$B$6,samples!#REF!,1),0)</f>
        <v>0</v>
      </c>
      <c r="I280" t="e">
        <f>IF(samples!#REF!=0,"",samples!#REF!)</f>
        <v>#REF!</v>
      </c>
      <c r="J280">
        <f>IFERROR(SEARCH(search!$B$6,samples!#REF!,1),0)</f>
        <v>0</v>
      </c>
      <c r="K280" t="e">
        <f>IF(samples!#REF!=0,"",samples!#REF!)</f>
        <v>#REF!</v>
      </c>
      <c r="L280">
        <f>IFERROR(SEARCH(search!$B$6,samples!#REF!,1),0)</f>
        <v>0</v>
      </c>
      <c r="M280" t="e">
        <f>IF(samples!#REF!=0,"",samples!#REF!)</f>
        <v>#REF!</v>
      </c>
      <c r="N280">
        <f>IFERROR(SEARCH(search!$B$6,samples!#REF!,1),0)</f>
        <v>0</v>
      </c>
      <c r="O280" t="e">
        <f>IF(samples!#REF!=0,"",samples!#REF!)</f>
        <v>#REF!</v>
      </c>
      <c r="P280">
        <f>IFERROR(SEARCH(search!$B$6,samples!#REF!,1),0)</f>
        <v>0</v>
      </c>
      <c r="Q280" t="e">
        <f>IF(samples!#REF!=0,"",samples!#REF!)</f>
        <v>#REF!</v>
      </c>
      <c r="R280">
        <f>IFERROR(SEARCH(search!$B$6,samples!#REF!,1),0)</f>
        <v>0</v>
      </c>
      <c r="S280" t="e">
        <f>IF(samples!#REF!=0,"",samples!#REF!)</f>
        <v>#REF!</v>
      </c>
      <c r="T280">
        <f>IFERROR(SEARCH(search!$B$6,samples!#REF!,1),0)</f>
        <v>0</v>
      </c>
      <c r="U280" t="e">
        <f>IF(samples!#REF!=0,"",samples!#REF!)</f>
        <v>#REF!</v>
      </c>
      <c r="V280">
        <f>IFERROR(SEARCH(search!$B$6,samples!#REF!,1),0)</f>
        <v>0</v>
      </c>
      <c r="W280" t="e">
        <f>IF(samples!#REF!=0,"",samples!#REF!)</f>
        <v>#REF!</v>
      </c>
      <c r="X280">
        <f>IFERROR(SEARCH(search!$B$6,samples!#REF!,1),0)</f>
        <v>0</v>
      </c>
      <c r="Y280" t="e">
        <f>IF(samples!#REF!=0,"",samples!#REF!)</f>
        <v>#REF!</v>
      </c>
      <c r="Z280">
        <f>IFERROR(SEARCH(search!$B$6,samples!#REF!,1),0)</f>
        <v>0</v>
      </c>
      <c r="AA280" t="e">
        <f>IF(samples!#REF!=0,"",samples!#REF!)</f>
        <v>#REF!</v>
      </c>
      <c r="AB280">
        <f>IFERROR(SEARCH(search!$B$6,samples!#REF!,1),0)</f>
        <v>0</v>
      </c>
      <c r="AC280" t="e">
        <f>IF(samples!#REF!=0,"",samples!#REF!)</f>
        <v>#REF!</v>
      </c>
      <c r="AD280">
        <f>IFERROR(SEARCH(search!$B$6,samples!#REF!,1),0)</f>
        <v>0</v>
      </c>
    </row>
    <row r="281" spans="1:30">
      <c r="A281">
        <f t="shared" si="4"/>
        <v>0</v>
      </c>
      <c r="B281">
        <f>IF(SUM(D281,F281,H281,J281,L281,N281,P281,R281,T281,V281,X281,Z281,AB281,AD281)&gt;0,SUM($A$2:A281),0)</f>
        <v>0</v>
      </c>
      <c r="C281" t="e">
        <f>samples!#REF!</f>
        <v>#REF!</v>
      </c>
      <c r="D281">
        <f>IFERROR(SEARCH(search!$B$6,samples!#REF!,1),0)</f>
        <v>0</v>
      </c>
      <c r="E281" t="e">
        <f>IF(samples!#REF!=0,"",samples!#REF!)</f>
        <v>#REF!</v>
      </c>
      <c r="F281">
        <f>IFERROR(SEARCH(search!$B$6,samples!#REF!,1),0)</f>
        <v>0</v>
      </c>
      <c r="G281" t="e">
        <f>IF(samples!#REF!=0,"",samples!#REF!)</f>
        <v>#REF!</v>
      </c>
      <c r="H281">
        <f>IFERROR(SEARCH(search!$B$6,samples!#REF!,1),0)</f>
        <v>0</v>
      </c>
      <c r="I281" t="e">
        <f>IF(samples!#REF!=0,"",samples!#REF!)</f>
        <v>#REF!</v>
      </c>
      <c r="J281">
        <f>IFERROR(SEARCH(search!$B$6,samples!#REF!,1),0)</f>
        <v>0</v>
      </c>
      <c r="K281" t="e">
        <f>IF(samples!#REF!=0,"",samples!#REF!)</f>
        <v>#REF!</v>
      </c>
      <c r="L281">
        <f>IFERROR(SEARCH(search!$B$6,samples!#REF!,1),0)</f>
        <v>0</v>
      </c>
      <c r="M281" t="e">
        <f>IF(samples!#REF!=0,"",samples!#REF!)</f>
        <v>#REF!</v>
      </c>
      <c r="N281">
        <f>IFERROR(SEARCH(search!$B$6,samples!#REF!,1),0)</f>
        <v>0</v>
      </c>
      <c r="O281" t="e">
        <f>IF(samples!#REF!=0,"",samples!#REF!)</f>
        <v>#REF!</v>
      </c>
      <c r="P281">
        <f>IFERROR(SEARCH(search!$B$6,samples!#REF!,1),0)</f>
        <v>0</v>
      </c>
      <c r="Q281" t="e">
        <f>IF(samples!#REF!=0,"",samples!#REF!)</f>
        <v>#REF!</v>
      </c>
      <c r="R281">
        <f>IFERROR(SEARCH(search!$B$6,samples!#REF!,1),0)</f>
        <v>0</v>
      </c>
      <c r="S281" t="e">
        <f>IF(samples!#REF!=0,"",samples!#REF!)</f>
        <v>#REF!</v>
      </c>
      <c r="T281">
        <f>IFERROR(SEARCH(search!$B$6,samples!#REF!,1),0)</f>
        <v>0</v>
      </c>
      <c r="U281" t="e">
        <f>IF(samples!#REF!=0,"",samples!#REF!)</f>
        <v>#REF!</v>
      </c>
      <c r="V281">
        <f>IFERROR(SEARCH(search!$B$6,samples!#REF!,1),0)</f>
        <v>0</v>
      </c>
      <c r="W281" t="e">
        <f>IF(samples!#REF!=0,"",samples!#REF!)</f>
        <v>#REF!</v>
      </c>
      <c r="X281">
        <f>IFERROR(SEARCH(search!$B$6,samples!#REF!,1),0)</f>
        <v>0</v>
      </c>
      <c r="Y281" t="e">
        <f>IF(samples!#REF!=0,"",samples!#REF!)</f>
        <v>#REF!</v>
      </c>
      <c r="Z281">
        <f>IFERROR(SEARCH(search!$B$6,samples!#REF!,1),0)</f>
        <v>0</v>
      </c>
      <c r="AA281" t="e">
        <f>IF(samples!#REF!=0,"",samples!#REF!)</f>
        <v>#REF!</v>
      </c>
      <c r="AB281">
        <f>IFERROR(SEARCH(search!$B$6,samples!#REF!,1),0)</f>
        <v>0</v>
      </c>
      <c r="AC281" t="e">
        <f>IF(samples!#REF!=0,"",samples!#REF!)</f>
        <v>#REF!</v>
      </c>
      <c r="AD281">
        <f>IFERROR(SEARCH(search!$B$6,samples!#REF!,1),0)</f>
        <v>0</v>
      </c>
    </row>
    <row r="282" spans="1:30">
      <c r="A282">
        <f t="shared" si="4"/>
        <v>0</v>
      </c>
      <c r="B282">
        <f>IF(SUM(D282,F282,H282,J282,L282,N282,P282,R282,T282,V282,X282,Z282,AB282,AD282)&gt;0,SUM($A$2:A282),0)</f>
        <v>0</v>
      </c>
      <c r="C282" t="e">
        <f>samples!#REF!</f>
        <v>#REF!</v>
      </c>
      <c r="D282">
        <f>IFERROR(SEARCH(search!$B$6,samples!#REF!,1),0)</f>
        <v>0</v>
      </c>
      <c r="E282" t="e">
        <f>IF(samples!#REF!=0,"",samples!#REF!)</f>
        <v>#REF!</v>
      </c>
      <c r="F282">
        <f>IFERROR(SEARCH(search!$B$6,samples!#REF!,1),0)</f>
        <v>0</v>
      </c>
      <c r="G282" t="e">
        <f>IF(samples!#REF!=0,"",samples!#REF!)</f>
        <v>#REF!</v>
      </c>
      <c r="H282">
        <f>IFERROR(SEARCH(search!$B$6,samples!#REF!,1),0)</f>
        <v>0</v>
      </c>
      <c r="I282" t="e">
        <f>IF(samples!#REF!=0,"",samples!#REF!)</f>
        <v>#REF!</v>
      </c>
      <c r="J282">
        <f>IFERROR(SEARCH(search!$B$6,samples!#REF!,1),0)</f>
        <v>0</v>
      </c>
      <c r="K282" t="e">
        <f>IF(samples!#REF!=0,"",samples!#REF!)</f>
        <v>#REF!</v>
      </c>
      <c r="L282">
        <f>IFERROR(SEARCH(search!$B$6,samples!#REF!,1),0)</f>
        <v>0</v>
      </c>
      <c r="M282" t="e">
        <f>IF(samples!#REF!=0,"",samples!#REF!)</f>
        <v>#REF!</v>
      </c>
      <c r="N282">
        <f>IFERROR(SEARCH(search!$B$6,samples!#REF!,1),0)</f>
        <v>0</v>
      </c>
      <c r="O282" t="e">
        <f>IF(samples!#REF!=0,"",samples!#REF!)</f>
        <v>#REF!</v>
      </c>
      <c r="P282">
        <f>IFERROR(SEARCH(search!$B$6,samples!#REF!,1),0)</f>
        <v>0</v>
      </c>
      <c r="Q282" t="e">
        <f>IF(samples!#REF!=0,"",samples!#REF!)</f>
        <v>#REF!</v>
      </c>
      <c r="R282">
        <f>IFERROR(SEARCH(search!$B$6,samples!#REF!,1),0)</f>
        <v>0</v>
      </c>
      <c r="S282" t="e">
        <f>IF(samples!#REF!=0,"",samples!#REF!)</f>
        <v>#REF!</v>
      </c>
      <c r="T282">
        <f>IFERROR(SEARCH(search!$B$6,samples!#REF!,1),0)</f>
        <v>0</v>
      </c>
      <c r="U282" t="e">
        <f>IF(samples!#REF!=0,"",samples!#REF!)</f>
        <v>#REF!</v>
      </c>
      <c r="V282">
        <f>IFERROR(SEARCH(search!$B$6,samples!#REF!,1),0)</f>
        <v>0</v>
      </c>
      <c r="W282" t="e">
        <f>IF(samples!#REF!=0,"",samples!#REF!)</f>
        <v>#REF!</v>
      </c>
      <c r="X282">
        <f>IFERROR(SEARCH(search!$B$6,samples!#REF!,1),0)</f>
        <v>0</v>
      </c>
      <c r="Y282" t="e">
        <f>IF(samples!#REF!=0,"",samples!#REF!)</f>
        <v>#REF!</v>
      </c>
      <c r="Z282">
        <f>IFERROR(SEARCH(search!$B$6,samples!#REF!,1),0)</f>
        <v>0</v>
      </c>
      <c r="AA282" t="e">
        <f>IF(samples!#REF!=0,"",samples!#REF!)</f>
        <v>#REF!</v>
      </c>
      <c r="AB282">
        <f>IFERROR(SEARCH(search!$B$6,samples!#REF!,1),0)</f>
        <v>0</v>
      </c>
      <c r="AC282" t="e">
        <f>IF(samples!#REF!=0,"",samples!#REF!)</f>
        <v>#REF!</v>
      </c>
      <c r="AD282">
        <f>IFERROR(SEARCH(search!$B$6,samples!#REF!,1),0)</f>
        <v>0</v>
      </c>
    </row>
    <row r="283" spans="1:30">
      <c r="A283">
        <f t="shared" si="4"/>
        <v>0</v>
      </c>
      <c r="B283">
        <f>IF(SUM(D283,F283,H283,J283,L283,N283,P283,R283,T283,V283,X283,Z283,AB283,AD283)&gt;0,SUM($A$2:A283),0)</f>
        <v>0</v>
      </c>
      <c r="C283" t="e">
        <f>samples!#REF!</f>
        <v>#REF!</v>
      </c>
      <c r="D283">
        <f>IFERROR(SEARCH(search!$B$6,samples!#REF!,1),0)</f>
        <v>0</v>
      </c>
      <c r="E283" t="e">
        <f>IF(samples!#REF!=0,"",samples!#REF!)</f>
        <v>#REF!</v>
      </c>
      <c r="F283">
        <f>IFERROR(SEARCH(search!$B$6,samples!#REF!,1),0)</f>
        <v>0</v>
      </c>
      <c r="G283" t="e">
        <f>IF(samples!#REF!=0,"",samples!#REF!)</f>
        <v>#REF!</v>
      </c>
      <c r="H283">
        <f>IFERROR(SEARCH(search!$B$6,samples!#REF!,1),0)</f>
        <v>0</v>
      </c>
      <c r="I283" t="e">
        <f>IF(samples!#REF!=0,"",samples!#REF!)</f>
        <v>#REF!</v>
      </c>
      <c r="J283">
        <f>IFERROR(SEARCH(search!$B$6,samples!#REF!,1),0)</f>
        <v>0</v>
      </c>
      <c r="K283" t="e">
        <f>IF(samples!#REF!=0,"",samples!#REF!)</f>
        <v>#REF!</v>
      </c>
      <c r="L283">
        <f>IFERROR(SEARCH(search!$B$6,samples!#REF!,1),0)</f>
        <v>0</v>
      </c>
      <c r="M283" t="e">
        <f>IF(samples!#REF!=0,"",samples!#REF!)</f>
        <v>#REF!</v>
      </c>
      <c r="N283">
        <f>IFERROR(SEARCH(search!$B$6,samples!#REF!,1),0)</f>
        <v>0</v>
      </c>
      <c r="O283" t="e">
        <f>IF(samples!#REF!=0,"",samples!#REF!)</f>
        <v>#REF!</v>
      </c>
      <c r="P283">
        <f>IFERROR(SEARCH(search!$B$6,samples!#REF!,1),0)</f>
        <v>0</v>
      </c>
      <c r="Q283" t="e">
        <f>IF(samples!#REF!=0,"",samples!#REF!)</f>
        <v>#REF!</v>
      </c>
      <c r="R283">
        <f>IFERROR(SEARCH(search!$B$6,samples!#REF!,1),0)</f>
        <v>0</v>
      </c>
      <c r="S283" t="e">
        <f>IF(samples!#REF!=0,"",samples!#REF!)</f>
        <v>#REF!</v>
      </c>
      <c r="T283">
        <f>IFERROR(SEARCH(search!$B$6,samples!#REF!,1),0)</f>
        <v>0</v>
      </c>
      <c r="U283" t="e">
        <f>IF(samples!#REF!=0,"",samples!#REF!)</f>
        <v>#REF!</v>
      </c>
      <c r="V283">
        <f>IFERROR(SEARCH(search!$B$6,samples!#REF!,1),0)</f>
        <v>0</v>
      </c>
      <c r="W283" t="e">
        <f>IF(samples!#REF!=0,"",samples!#REF!)</f>
        <v>#REF!</v>
      </c>
      <c r="X283">
        <f>IFERROR(SEARCH(search!$B$6,samples!#REF!,1),0)</f>
        <v>0</v>
      </c>
      <c r="Y283" t="e">
        <f>IF(samples!#REF!=0,"",samples!#REF!)</f>
        <v>#REF!</v>
      </c>
      <c r="Z283">
        <f>IFERROR(SEARCH(search!$B$6,samples!#REF!,1),0)</f>
        <v>0</v>
      </c>
      <c r="AA283" t="e">
        <f>IF(samples!#REF!=0,"",samples!#REF!)</f>
        <v>#REF!</v>
      </c>
      <c r="AB283">
        <f>IFERROR(SEARCH(search!$B$6,samples!#REF!,1),0)</f>
        <v>0</v>
      </c>
      <c r="AC283" t="e">
        <f>IF(samples!#REF!=0,"",samples!#REF!)</f>
        <v>#REF!</v>
      </c>
      <c r="AD283">
        <f>IFERROR(SEARCH(search!$B$6,samples!#REF!,1),0)</f>
        <v>0</v>
      </c>
    </row>
    <row r="284" spans="1:30">
      <c r="A284">
        <f t="shared" si="4"/>
        <v>0</v>
      </c>
      <c r="B284">
        <f>IF(SUM(D284,F284,H284,J284,L284,N284,P284,R284,T284,V284,X284,Z284,AB284,AD284)&gt;0,SUM($A$2:A284),0)</f>
        <v>0</v>
      </c>
      <c r="C284" t="e">
        <f>samples!#REF!</f>
        <v>#REF!</v>
      </c>
      <c r="D284">
        <f>IFERROR(SEARCH(search!$B$6,samples!#REF!,1),0)</f>
        <v>0</v>
      </c>
      <c r="E284" t="e">
        <f>IF(samples!#REF!=0,"",samples!#REF!)</f>
        <v>#REF!</v>
      </c>
      <c r="F284">
        <f>IFERROR(SEARCH(search!$B$6,samples!#REF!,1),0)</f>
        <v>0</v>
      </c>
      <c r="G284" t="e">
        <f>IF(samples!#REF!=0,"",samples!#REF!)</f>
        <v>#REF!</v>
      </c>
      <c r="H284">
        <f>IFERROR(SEARCH(search!$B$6,samples!#REF!,1),0)</f>
        <v>0</v>
      </c>
      <c r="I284" t="e">
        <f>IF(samples!#REF!=0,"",samples!#REF!)</f>
        <v>#REF!</v>
      </c>
      <c r="J284">
        <f>IFERROR(SEARCH(search!$B$6,samples!#REF!,1),0)</f>
        <v>0</v>
      </c>
      <c r="K284" t="e">
        <f>IF(samples!#REF!=0,"",samples!#REF!)</f>
        <v>#REF!</v>
      </c>
      <c r="L284">
        <f>IFERROR(SEARCH(search!$B$6,samples!#REF!,1),0)</f>
        <v>0</v>
      </c>
      <c r="M284" t="e">
        <f>IF(samples!#REF!=0,"",samples!#REF!)</f>
        <v>#REF!</v>
      </c>
      <c r="N284">
        <f>IFERROR(SEARCH(search!$B$6,samples!#REF!,1),0)</f>
        <v>0</v>
      </c>
      <c r="O284" t="e">
        <f>IF(samples!#REF!=0,"",samples!#REF!)</f>
        <v>#REF!</v>
      </c>
      <c r="P284">
        <f>IFERROR(SEARCH(search!$B$6,samples!#REF!,1),0)</f>
        <v>0</v>
      </c>
      <c r="Q284" t="e">
        <f>IF(samples!#REF!=0,"",samples!#REF!)</f>
        <v>#REF!</v>
      </c>
      <c r="R284">
        <f>IFERROR(SEARCH(search!$B$6,samples!#REF!,1),0)</f>
        <v>0</v>
      </c>
      <c r="S284" t="e">
        <f>IF(samples!#REF!=0,"",samples!#REF!)</f>
        <v>#REF!</v>
      </c>
      <c r="T284">
        <f>IFERROR(SEARCH(search!$B$6,samples!#REF!,1),0)</f>
        <v>0</v>
      </c>
      <c r="U284" t="e">
        <f>IF(samples!#REF!=0,"",samples!#REF!)</f>
        <v>#REF!</v>
      </c>
      <c r="V284">
        <f>IFERROR(SEARCH(search!$B$6,samples!#REF!,1),0)</f>
        <v>0</v>
      </c>
      <c r="W284" t="e">
        <f>IF(samples!#REF!=0,"",samples!#REF!)</f>
        <v>#REF!</v>
      </c>
      <c r="X284">
        <f>IFERROR(SEARCH(search!$B$6,samples!#REF!,1),0)</f>
        <v>0</v>
      </c>
      <c r="Y284" t="e">
        <f>IF(samples!#REF!=0,"",samples!#REF!)</f>
        <v>#REF!</v>
      </c>
      <c r="Z284">
        <f>IFERROR(SEARCH(search!$B$6,samples!#REF!,1),0)</f>
        <v>0</v>
      </c>
      <c r="AA284" t="e">
        <f>IF(samples!#REF!=0,"",samples!#REF!)</f>
        <v>#REF!</v>
      </c>
      <c r="AB284">
        <f>IFERROR(SEARCH(search!$B$6,samples!#REF!,1),0)</f>
        <v>0</v>
      </c>
      <c r="AC284" t="e">
        <f>IF(samples!#REF!=0,"",samples!#REF!)</f>
        <v>#REF!</v>
      </c>
      <c r="AD284">
        <f>IFERROR(SEARCH(search!$B$6,samples!#REF!,1),0)</f>
        <v>0</v>
      </c>
    </row>
    <row r="285" spans="1:30">
      <c r="A285">
        <f t="shared" si="4"/>
        <v>0</v>
      </c>
      <c r="B285">
        <f>IF(SUM(D285,F285,H285,J285,L285,N285,P285,R285,T285,V285,X285,Z285,AB285,AD285)&gt;0,SUM($A$2:A285),0)</f>
        <v>0</v>
      </c>
      <c r="C285" t="e">
        <f>samples!#REF!</f>
        <v>#REF!</v>
      </c>
      <c r="D285">
        <f>IFERROR(SEARCH(search!$B$6,samples!#REF!,1),0)</f>
        <v>0</v>
      </c>
      <c r="E285" t="e">
        <f>IF(samples!#REF!=0,"",samples!#REF!)</f>
        <v>#REF!</v>
      </c>
      <c r="F285">
        <f>IFERROR(SEARCH(search!$B$6,samples!#REF!,1),0)</f>
        <v>0</v>
      </c>
      <c r="G285" t="e">
        <f>IF(samples!#REF!=0,"",samples!#REF!)</f>
        <v>#REF!</v>
      </c>
      <c r="H285">
        <f>IFERROR(SEARCH(search!$B$6,samples!#REF!,1),0)</f>
        <v>0</v>
      </c>
      <c r="I285" t="e">
        <f>IF(samples!#REF!=0,"",samples!#REF!)</f>
        <v>#REF!</v>
      </c>
      <c r="J285">
        <f>IFERROR(SEARCH(search!$B$6,samples!#REF!,1),0)</f>
        <v>0</v>
      </c>
      <c r="K285" t="e">
        <f>IF(samples!#REF!=0,"",samples!#REF!)</f>
        <v>#REF!</v>
      </c>
      <c r="L285">
        <f>IFERROR(SEARCH(search!$B$6,samples!#REF!,1),0)</f>
        <v>0</v>
      </c>
      <c r="M285" t="e">
        <f>IF(samples!#REF!=0,"",samples!#REF!)</f>
        <v>#REF!</v>
      </c>
      <c r="N285">
        <f>IFERROR(SEARCH(search!$B$6,samples!#REF!,1),0)</f>
        <v>0</v>
      </c>
      <c r="O285" t="e">
        <f>IF(samples!#REF!=0,"",samples!#REF!)</f>
        <v>#REF!</v>
      </c>
      <c r="P285">
        <f>IFERROR(SEARCH(search!$B$6,samples!#REF!,1),0)</f>
        <v>0</v>
      </c>
      <c r="Q285" t="e">
        <f>IF(samples!#REF!=0,"",samples!#REF!)</f>
        <v>#REF!</v>
      </c>
      <c r="R285">
        <f>IFERROR(SEARCH(search!$B$6,samples!#REF!,1),0)</f>
        <v>0</v>
      </c>
      <c r="S285" t="e">
        <f>IF(samples!#REF!=0,"",samples!#REF!)</f>
        <v>#REF!</v>
      </c>
      <c r="T285">
        <f>IFERROR(SEARCH(search!$B$6,samples!#REF!,1),0)</f>
        <v>0</v>
      </c>
      <c r="U285" t="e">
        <f>IF(samples!#REF!=0,"",samples!#REF!)</f>
        <v>#REF!</v>
      </c>
      <c r="V285">
        <f>IFERROR(SEARCH(search!$B$6,samples!#REF!,1),0)</f>
        <v>0</v>
      </c>
      <c r="W285" t="e">
        <f>IF(samples!#REF!=0,"",samples!#REF!)</f>
        <v>#REF!</v>
      </c>
      <c r="X285">
        <f>IFERROR(SEARCH(search!$B$6,samples!#REF!,1),0)</f>
        <v>0</v>
      </c>
      <c r="Y285" t="e">
        <f>IF(samples!#REF!=0,"",samples!#REF!)</f>
        <v>#REF!</v>
      </c>
      <c r="Z285">
        <f>IFERROR(SEARCH(search!$B$6,samples!#REF!,1),0)</f>
        <v>0</v>
      </c>
      <c r="AA285" t="e">
        <f>IF(samples!#REF!=0,"",samples!#REF!)</f>
        <v>#REF!</v>
      </c>
      <c r="AB285">
        <f>IFERROR(SEARCH(search!$B$6,samples!#REF!,1),0)</f>
        <v>0</v>
      </c>
      <c r="AC285" t="e">
        <f>IF(samples!#REF!=0,"",samples!#REF!)</f>
        <v>#REF!</v>
      </c>
      <c r="AD285">
        <f>IFERROR(SEARCH(search!$B$6,samples!#REF!,1),0)</f>
        <v>0</v>
      </c>
    </row>
    <row r="286" spans="1:30">
      <c r="A286">
        <f t="shared" si="4"/>
        <v>0</v>
      </c>
      <c r="B286">
        <f>IF(SUM(D286,F286,H286,J286,L286,N286,P286,R286,T286,V286,X286,Z286,AB286,AD286)&gt;0,SUM($A$2:A286),0)</f>
        <v>0</v>
      </c>
      <c r="C286" t="e">
        <f>samples!#REF!</f>
        <v>#REF!</v>
      </c>
      <c r="D286">
        <f>IFERROR(SEARCH(search!$B$6,samples!#REF!,1),0)</f>
        <v>0</v>
      </c>
      <c r="E286" t="e">
        <f>IF(samples!#REF!=0,"",samples!#REF!)</f>
        <v>#REF!</v>
      </c>
      <c r="F286">
        <f>IFERROR(SEARCH(search!$B$6,samples!#REF!,1),0)</f>
        <v>0</v>
      </c>
      <c r="G286" t="e">
        <f>IF(samples!#REF!=0,"",samples!#REF!)</f>
        <v>#REF!</v>
      </c>
      <c r="H286">
        <f>IFERROR(SEARCH(search!$B$6,samples!#REF!,1),0)</f>
        <v>0</v>
      </c>
      <c r="I286" t="e">
        <f>IF(samples!#REF!=0,"",samples!#REF!)</f>
        <v>#REF!</v>
      </c>
      <c r="J286">
        <f>IFERROR(SEARCH(search!$B$6,samples!#REF!,1),0)</f>
        <v>0</v>
      </c>
      <c r="K286" t="e">
        <f>IF(samples!#REF!=0,"",samples!#REF!)</f>
        <v>#REF!</v>
      </c>
      <c r="L286">
        <f>IFERROR(SEARCH(search!$B$6,samples!#REF!,1),0)</f>
        <v>0</v>
      </c>
      <c r="M286" t="e">
        <f>IF(samples!#REF!=0,"",samples!#REF!)</f>
        <v>#REF!</v>
      </c>
      <c r="N286">
        <f>IFERROR(SEARCH(search!$B$6,samples!#REF!,1),0)</f>
        <v>0</v>
      </c>
      <c r="O286" t="e">
        <f>IF(samples!#REF!=0,"",samples!#REF!)</f>
        <v>#REF!</v>
      </c>
      <c r="P286">
        <f>IFERROR(SEARCH(search!$B$6,samples!#REF!,1),0)</f>
        <v>0</v>
      </c>
      <c r="Q286" t="e">
        <f>IF(samples!#REF!=0,"",samples!#REF!)</f>
        <v>#REF!</v>
      </c>
      <c r="R286">
        <f>IFERROR(SEARCH(search!$B$6,samples!#REF!,1),0)</f>
        <v>0</v>
      </c>
      <c r="S286" t="e">
        <f>IF(samples!#REF!=0,"",samples!#REF!)</f>
        <v>#REF!</v>
      </c>
      <c r="T286">
        <f>IFERROR(SEARCH(search!$B$6,samples!#REF!,1),0)</f>
        <v>0</v>
      </c>
      <c r="U286" t="e">
        <f>IF(samples!#REF!=0,"",samples!#REF!)</f>
        <v>#REF!</v>
      </c>
      <c r="V286">
        <f>IFERROR(SEARCH(search!$B$6,samples!#REF!,1),0)</f>
        <v>0</v>
      </c>
      <c r="W286" t="e">
        <f>IF(samples!#REF!=0,"",samples!#REF!)</f>
        <v>#REF!</v>
      </c>
      <c r="X286">
        <f>IFERROR(SEARCH(search!$B$6,samples!#REF!,1),0)</f>
        <v>0</v>
      </c>
      <c r="Y286" t="e">
        <f>IF(samples!#REF!=0,"",samples!#REF!)</f>
        <v>#REF!</v>
      </c>
      <c r="Z286">
        <f>IFERROR(SEARCH(search!$B$6,samples!#REF!,1),0)</f>
        <v>0</v>
      </c>
      <c r="AA286" t="e">
        <f>IF(samples!#REF!=0,"",samples!#REF!)</f>
        <v>#REF!</v>
      </c>
      <c r="AB286">
        <f>IFERROR(SEARCH(search!$B$6,samples!#REF!,1),0)</f>
        <v>0</v>
      </c>
      <c r="AC286" t="e">
        <f>IF(samples!#REF!=0,"",samples!#REF!)</f>
        <v>#REF!</v>
      </c>
      <c r="AD286">
        <f>IFERROR(SEARCH(search!$B$6,samples!#REF!,1),0)</f>
        <v>0</v>
      </c>
    </row>
    <row r="287" spans="1:30">
      <c r="A287">
        <f t="shared" si="4"/>
        <v>0</v>
      </c>
      <c r="B287">
        <f>IF(SUM(D287,F287,H287,J287,L287,N287,P287,R287,T287,V287,X287,Z287,AB287,AD287)&gt;0,SUM($A$2:A287),0)</f>
        <v>0</v>
      </c>
      <c r="C287" t="e">
        <f>samples!#REF!</f>
        <v>#REF!</v>
      </c>
      <c r="D287">
        <f>IFERROR(SEARCH(search!$B$6,samples!#REF!,1),0)</f>
        <v>0</v>
      </c>
      <c r="E287" t="e">
        <f>IF(samples!#REF!=0,"",samples!#REF!)</f>
        <v>#REF!</v>
      </c>
      <c r="F287">
        <f>IFERROR(SEARCH(search!$B$6,samples!#REF!,1),0)</f>
        <v>0</v>
      </c>
      <c r="G287" t="e">
        <f>IF(samples!#REF!=0,"",samples!#REF!)</f>
        <v>#REF!</v>
      </c>
      <c r="H287">
        <f>IFERROR(SEARCH(search!$B$6,samples!#REF!,1),0)</f>
        <v>0</v>
      </c>
      <c r="I287" t="e">
        <f>IF(samples!#REF!=0,"",samples!#REF!)</f>
        <v>#REF!</v>
      </c>
      <c r="J287">
        <f>IFERROR(SEARCH(search!$B$6,samples!#REF!,1),0)</f>
        <v>0</v>
      </c>
      <c r="K287" t="e">
        <f>IF(samples!#REF!=0,"",samples!#REF!)</f>
        <v>#REF!</v>
      </c>
      <c r="L287">
        <f>IFERROR(SEARCH(search!$B$6,samples!#REF!,1),0)</f>
        <v>0</v>
      </c>
      <c r="M287" t="e">
        <f>IF(samples!#REF!=0,"",samples!#REF!)</f>
        <v>#REF!</v>
      </c>
      <c r="N287">
        <f>IFERROR(SEARCH(search!$B$6,samples!#REF!,1),0)</f>
        <v>0</v>
      </c>
      <c r="O287" t="e">
        <f>IF(samples!#REF!=0,"",samples!#REF!)</f>
        <v>#REF!</v>
      </c>
      <c r="P287">
        <f>IFERROR(SEARCH(search!$B$6,samples!#REF!,1),0)</f>
        <v>0</v>
      </c>
      <c r="Q287" t="e">
        <f>IF(samples!#REF!=0,"",samples!#REF!)</f>
        <v>#REF!</v>
      </c>
      <c r="R287">
        <f>IFERROR(SEARCH(search!$B$6,samples!#REF!,1),0)</f>
        <v>0</v>
      </c>
      <c r="S287" t="e">
        <f>IF(samples!#REF!=0,"",samples!#REF!)</f>
        <v>#REF!</v>
      </c>
      <c r="T287">
        <f>IFERROR(SEARCH(search!$B$6,samples!#REF!,1),0)</f>
        <v>0</v>
      </c>
      <c r="U287" t="e">
        <f>IF(samples!#REF!=0,"",samples!#REF!)</f>
        <v>#REF!</v>
      </c>
      <c r="V287">
        <f>IFERROR(SEARCH(search!$B$6,samples!#REF!,1),0)</f>
        <v>0</v>
      </c>
      <c r="W287" t="e">
        <f>IF(samples!#REF!=0,"",samples!#REF!)</f>
        <v>#REF!</v>
      </c>
      <c r="X287">
        <f>IFERROR(SEARCH(search!$B$6,samples!#REF!,1),0)</f>
        <v>0</v>
      </c>
      <c r="Y287" t="e">
        <f>IF(samples!#REF!=0,"",samples!#REF!)</f>
        <v>#REF!</v>
      </c>
      <c r="Z287">
        <f>IFERROR(SEARCH(search!$B$6,samples!#REF!,1),0)</f>
        <v>0</v>
      </c>
      <c r="AA287" t="e">
        <f>IF(samples!#REF!=0,"",samples!#REF!)</f>
        <v>#REF!</v>
      </c>
      <c r="AB287">
        <f>IFERROR(SEARCH(search!$B$6,samples!#REF!,1),0)</f>
        <v>0</v>
      </c>
      <c r="AC287" t="e">
        <f>IF(samples!#REF!=0,"",samples!#REF!)</f>
        <v>#REF!</v>
      </c>
      <c r="AD287">
        <f>IFERROR(SEARCH(search!$B$6,samples!#REF!,1),0)</f>
        <v>0</v>
      </c>
    </row>
    <row r="288" spans="1:30">
      <c r="A288">
        <f t="shared" si="4"/>
        <v>0</v>
      </c>
      <c r="B288">
        <f>IF(SUM(D288,F288,H288,J288,L288,N288,P288,R288,T288,V288,X288,Z288,AB288,AD288)&gt;0,SUM($A$2:A288),0)</f>
        <v>0</v>
      </c>
      <c r="C288" t="e">
        <f>samples!#REF!</f>
        <v>#REF!</v>
      </c>
      <c r="D288">
        <f>IFERROR(SEARCH(search!$B$6,samples!#REF!,1),0)</f>
        <v>0</v>
      </c>
      <c r="E288" t="e">
        <f>IF(samples!#REF!=0,"",samples!#REF!)</f>
        <v>#REF!</v>
      </c>
      <c r="F288">
        <f>IFERROR(SEARCH(search!$B$6,samples!#REF!,1),0)</f>
        <v>0</v>
      </c>
      <c r="G288" t="e">
        <f>IF(samples!#REF!=0,"",samples!#REF!)</f>
        <v>#REF!</v>
      </c>
      <c r="H288">
        <f>IFERROR(SEARCH(search!$B$6,samples!#REF!,1),0)</f>
        <v>0</v>
      </c>
      <c r="I288" t="e">
        <f>IF(samples!#REF!=0,"",samples!#REF!)</f>
        <v>#REF!</v>
      </c>
      <c r="J288">
        <f>IFERROR(SEARCH(search!$B$6,samples!#REF!,1),0)</f>
        <v>0</v>
      </c>
      <c r="K288" t="e">
        <f>IF(samples!#REF!=0,"",samples!#REF!)</f>
        <v>#REF!</v>
      </c>
      <c r="L288">
        <f>IFERROR(SEARCH(search!$B$6,samples!#REF!,1),0)</f>
        <v>0</v>
      </c>
      <c r="M288" t="e">
        <f>IF(samples!#REF!=0,"",samples!#REF!)</f>
        <v>#REF!</v>
      </c>
      <c r="N288">
        <f>IFERROR(SEARCH(search!$B$6,samples!#REF!,1),0)</f>
        <v>0</v>
      </c>
      <c r="O288" t="e">
        <f>IF(samples!#REF!=0,"",samples!#REF!)</f>
        <v>#REF!</v>
      </c>
      <c r="P288">
        <f>IFERROR(SEARCH(search!$B$6,samples!#REF!,1),0)</f>
        <v>0</v>
      </c>
      <c r="Q288" t="e">
        <f>IF(samples!#REF!=0,"",samples!#REF!)</f>
        <v>#REF!</v>
      </c>
      <c r="R288">
        <f>IFERROR(SEARCH(search!$B$6,samples!#REF!,1),0)</f>
        <v>0</v>
      </c>
      <c r="S288" t="e">
        <f>IF(samples!#REF!=0,"",samples!#REF!)</f>
        <v>#REF!</v>
      </c>
      <c r="T288">
        <f>IFERROR(SEARCH(search!$B$6,samples!#REF!,1),0)</f>
        <v>0</v>
      </c>
      <c r="U288" t="e">
        <f>IF(samples!#REF!=0,"",samples!#REF!)</f>
        <v>#REF!</v>
      </c>
      <c r="V288">
        <f>IFERROR(SEARCH(search!$B$6,samples!#REF!,1),0)</f>
        <v>0</v>
      </c>
      <c r="W288" t="e">
        <f>IF(samples!#REF!=0,"",samples!#REF!)</f>
        <v>#REF!</v>
      </c>
      <c r="X288">
        <f>IFERROR(SEARCH(search!$B$6,samples!#REF!,1),0)</f>
        <v>0</v>
      </c>
      <c r="Y288" t="e">
        <f>IF(samples!#REF!=0,"",samples!#REF!)</f>
        <v>#REF!</v>
      </c>
      <c r="Z288">
        <f>IFERROR(SEARCH(search!$B$6,samples!#REF!,1),0)</f>
        <v>0</v>
      </c>
      <c r="AA288" t="e">
        <f>IF(samples!#REF!=0,"",samples!#REF!)</f>
        <v>#REF!</v>
      </c>
      <c r="AB288">
        <f>IFERROR(SEARCH(search!$B$6,samples!#REF!,1),0)</f>
        <v>0</v>
      </c>
      <c r="AC288" t="e">
        <f>IF(samples!#REF!=0,"",samples!#REF!)</f>
        <v>#REF!</v>
      </c>
      <c r="AD288">
        <f>IFERROR(SEARCH(search!$B$6,samples!#REF!,1),0)</f>
        <v>0</v>
      </c>
    </row>
    <row r="289" spans="1:30">
      <c r="A289">
        <f t="shared" si="4"/>
        <v>0</v>
      </c>
      <c r="B289">
        <f>IF(SUM(D289,F289,H289,J289,L289,N289,P289,R289,T289,V289,X289,Z289,AB289,AD289)&gt;0,SUM($A$2:A289),0)</f>
        <v>0</v>
      </c>
      <c r="C289" t="e">
        <f>samples!#REF!</f>
        <v>#REF!</v>
      </c>
      <c r="D289">
        <f>IFERROR(SEARCH(search!$B$6,samples!#REF!,1),0)</f>
        <v>0</v>
      </c>
      <c r="E289" t="e">
        <f>IF(samples!#REF!=0,"",samples!#REF!)</f>
        <v>#REF!</v>
      </c>
      <c r="F289">
        <f>IFERROR(SEARCH(search!$B$6,samples!#REF!,1),0)</f>
        <v>0</v>
      </c>
      <c r="G289" t="e">
        <f>IF(samples!#REF!=0,"",samples!#REF!)</f>
        <v>#REF!</v>
      </c>
      <c r="H289">
        <f>IFERROR(SEARCH(search!$B$6,samples!#REF!,1),0)</f>
        <v>0</v>
      </c>
      <c r="I289" t="e">
        <f>IF(samples!#REF!=0,"",samples!#REF!)</f>
        <v>#REF!</v>
      </c>
      <c r="J289">
        <f>IFERROR(SEARCH(search!$B$6,samples!#REF!,1),0)</f>
        <v>0</v>
      </c>
      <c r="K289" t="e">
        <f>IF(samples!#REF!=0,"",samples!#REF!)</f>
        <v>#REF!</v>
      </c>
      <c r="L289">
        <f>IFERROR(SEARCH(search!$B$6,samples!#REF!,1),0)</f>
        <v>0</v>
      </c>
      <c r="M289" t="e">
        <f>IF(samples!#REF!=0,"",samples!#REF!)</f>
        <v>#REF!</v>
      </c>
      <c r="N289">
        <f>IFERROR(SEARCH(search!$B$6,samples!#REF!,1),0)</f>
        <v>0</v>
      </c>
      <c r="O289" t="e">
        <f>IF(samples!#REF!=0,"",samples!#REF!)</f>
        <v>#REF!</v>
      </c>
      <c r="P289">
        <f>IFERROR(SEARCH(search!$B$6,samples!#REF!,1),0)</f>
        <v>0</v>
      </c>
      <c r="Q289" t="e">
        <f>IF(samples!#REF!=0,"",samples!#REF!)</f>
        <v>#REF!</v>
      </c>
      <c r="R289">
        <f>IFERROR(SEARCH(search!$B$6,samples!#REF!,1),0)</f>
        <v>0</v>
      </c>
      <c r="S289" t="e">
        <f>IF(samples!#REF!=0,"",samples!#REF!)</f>
        <v>#REF!</v>
      </c>
      <c r="T289">
        <f>IFERROR(SEARCH(search!$B$6,samples!#REF!,1),0)</f>
        <v>0</v>
      </c>
      <c r="U289" t="e">
        <f>IF(samples!#REF!=0,"",samples!#REF!)</f>
        <v>#REF!</v>
      </c>
      <c r="V289">
        <f>IFERROR(SEARCH(search!$B$6,samples!#REF!,1),0)</f>
        <v>0</v>
      </c>
      <c r="W289" t="e">
        <f>IF(samples!#REF!=0,"",samples!#REF!)</f>
        <v>#REF!</v>
      </c>
      <c r="X289">
        <f>IFERROR(SEARCH(search!$B$6,samples!#REF!,1),0)</f>
        <v>0</v>
      </c>
      <c r="Y289" t="e">
        <f>IF(samples!#REF!=0,"",samples!#REF!)</f>
        <v>#REF!</v>
      </c>
      <c r="Z289">
        <f>IFERROR(SEARCH(search!$B$6,samples!#REF!,1),0)</f>
        <v>0</v>
      </c>
      <c r="AA289" t="e">
        <f>IF(samples!#REF!=0,"",samples!#REF!)</f>
        <v>#REF!</v>
      </c>
      <c r="AB289">
        <f>IFERROR(SEARCH(search!$B$6,samples!#REF!,1),0)</f>
        <v>0</v>
      </c>
      <c r="AC289" t="e">
        <f>IF(samples!#REF!=0,"",samples!#REF!)</f>
        <v>#REF!</v>
      </c>
      <c r="AD289">
        <f>IFERROR(SEARCH(search!$B$6,samples!#REF!,1),0)</f>
        <v>0</v>
      </c>
    </row>
    <row r="290" spans="1:30">
      <c r="A290">
        <f t="shared" si="4"/>
        <v>0</v>
      </c>
      <c r="B290">
        <f>IF(SUM(D290,F290,H290,J290,L290,N290,P290,R290,T290,V290,X290,Z290,AB290,AD290)&gt;0,SUM($A$2:A290),0)</f>
        <v>0</v>
      </c>
      <c r="C290" t="e">
        <f>samples!#REF!</f>
        <v>#REF!</v>
      </c>
      <c r="D290">
        <f>IFERROR(SEARCH(search!$B$6,samples!#REF!,1),0)</f>
        <v>0</v>
      </c>
      <c r="E290" t="e">
        <f>IF(samples!#REF!=0,"",samples!#REF!)</f>
        <v>#REF!</v>
      </c>
      <c r="F290">
        <f>IFERROR(SEARCH(search!$B$6,samples!#REF!,1),0)</f>
        <v>0</v>
      </c>
      <c r="G290" t="e">
        <f>IF(samples!#REF!=0,"",samples!#REF!)</f>
        <v>#REF!</v>
      </c>
      <c r="H290">
        <f>IFERROR(SEARCH(search!$B$6,samples!#REF!,1),0)</f>
        <v>0</v>
      </c>
      <c r="I290" t="e">
        <f>IF(samples!#REF!=0,"",samples!#REF!)</f>
        <v>#REF!</v>
      </c>
      <c r="J290">
        <f>IFERROR(SEARCH(search!$B$6,samples!#REF!,1),0)</f>
        <v>0</v>
      </c>
      <c r="K290" t="e">
        <f>IF(samples!#REF!=0,"",samples!#REF!)</f>
        <v>#REF!</v>
      </c>
      <c r="L290">
        <f>IFERROR(SEARCH(search!$B$6,samples!#REF!,1),0)</f>
        <v>0</v>
      </c>
      <c r="M290" t="e">
        <f>IF(samples!#REF!=0,"",samples!#REF!)</f>
        <v>#REF!</v>
      </c>
      <c r="N290">
        <f>IFERROR(SEARCH(search!$B$6,samples!#REF!,1),0)</f>
        <v>0</v>
      </c>
      <c r="O290" t="e">
        <f>IF(samples!#REF!=0,"",samples!#REF!)</f>
        <v>#REF!</v>
      </c>
      <c r="P290">
        <f>IFERROR(SEARCH(search!$B$6,samples!#REF!,1),0)</f>
        <v>0</v>
      </c>
      <c r="Q290" t="e">
        <f>IF(samples!#REF!=0,"",samples!#REF!)</f>
        <v>#REF!</v>
      </c>
      <c r="R290">
        <f>IFERROR(SEARCH(search!$B$6,samples!#REF!,1),0)</f>
        <v>0</v>
      </c>
      <c r="S290" t="e">
        <f>IF(samples!#REF!=0,"",samples!#REF!)</f>
        <v>#REF!</v>
      </c>
      <c r="T290">
        <f>IFERROR(SEARCH(search!$B$6,samples!#REF!,1),0)</f>
        <v>0</v>
      </c>
      <c r="U290" t="e">
        <f>IF(samples!#REF!=0,"",samples!#REF!)</f>
        <v>#REF!</v>
      </c>
      <c r="V290">
        <f>IFERROR(SEARCH(search!$B$6,samples!#REF!,1),0)</f>
        <v>0</v>
      </c>
      <c r="W290" t="e">
        <f>IF(samples!#REF!=0,"",samples!#REF!)</f>
        <v>#REF!</v>
      </c>
      <c r="X290">
        <f>IFERROR(SEARCH(search!$B$6,samples!#REF!,1),0)</f>
        <v>0</v>
      </c>
      <c r="Y290" t="e">
        <f>IF(samples!#REF!=0,"",samples!#REF!)</f>
        <v>#REF!</v>
      </c>
      <c r="Z290">
        <f>IFERROR(SEARCH(search!$B$6,samples!#REF!,1),0)</f>
        <v>0</v>
      </c>
      <c r="AA290" t="e">
        <f>IF(samples!#REF!=0,"",samples!#REF!)</f>
        <v>#REF!</v>
      </c>
      <c r="AB290">
        <f>IFERROR(SEARCH(search!$B$6,samples!#REF!,1),0)</f>
        <v>0</v>
      </c>
      <c r="AC290" t="e">
        <f>IF(samples!#REF!=0,"",samples!#REF!)</f>
        <v>#REF!</v>
      </c>
      <c r="AD290">
        <f>IFERROR(SEARCH(search!$B$6,samples!#REF!,1),0)</f>
        <v>0</v>
      </c>
    </row>
    <row r="291" spans="1:30">
      <c r="A291">
        <f t="shared" si="4"/>
        <v>0</v>
      </c>
      <c r="B291">
        <f>IF(SUM(D291,F291,H291,J291,L291,N291,P291,R291,T291,V291,X291,Z291,AB291,AD291)&gt;0,SUM($A$2:A291),0)</f>
        <v>0</v>
      </c>
      <c r="C291" t="e">
        <f>samples!#REF!</f>
        <v>#REF!</v>
      </c>
      <c r="D291">
        <f>IFERROR(SEARCH(search!$B$6,samples!#REF!,1),0)</f>
        <v>0</v>
      </c>
      <c r="E291" t="e">
        <f>IF(samples!#REF!=0,"",samples!#REF!)</f>
        <v>#REF!</v>
      </c>
      <c r="F291">
        <f>IFERROR(SEARCH(search!$B$6,samples!#REF!,1),0)</f>
        <v>0</v>
      </c>
      <c r="G291" t="e">
        <f>IF(samples!#REF!=0,"",samples!#REF!)</f>
        <v>#REF!</v>
      </c>
      <c r="H291">
        <f>IFERROR(SEARCH(search!$B$6,samples!#REF!,1),0)</f>
        <v>0</v>
      </c>
      <c r="I291" t="e">
        <f>IF(samples!#REF!=0,"",samples!#REF!)</f>
        <v>#REF!</v>
      </c>
      <c r="J291">
        <f>IFERROR(SEARCH(search!$B$6,samples!#REF!,1),0)</f>
        <v>0</v>
      </c>
      <c r="K291" t="e">
        <f>IF(samples!#REF!=0,"",samples!#REF!)</f>
        <v>#REF!</v>
      </c>
      <c r="L291">
        <f>IFERROR(SEARCH(search!$B$6,samples!#REF!,1),0)</f>
        <v>0</v>
      </c>
      <c r="M291" t="e">
        <f>IF(samples!#REF!=0,"",samples!#REF!)</f>
        <v>#REF!</v>
      </c>
      <c r="N291">
        <f>IFERROR(SEARCH(search!$B$6,samples!#REF!,1),0)</f>
        <v>0</v>
      </c>
      <c r="O291" t="e">
        <f>IF(samples!#REF!=0,"",samples!#REF!)</f>
        <v>#REF!</v>
      </c>
      <c r="P291">
        <f>IFERROR(SEARCH(search!$B$6,samples!#REF!,1),0)</f>
        <v>0</v>
      </c>
      <c r="Q291" t="e">
        <f>IF(samples!#REF!=0,"",samples!#REF!)</f>
        <v>#REF!</v>
      </c>
      <c r="R291">
        <f>IFERROR(SEARCH(search!$B$6,samples!#REF!,1),0)</f>
        <v>0</v>
      </c>
      <c r="S291" t="e">
        <f>IF(samples!#REF!=0,"",samples!#REF!)</f>
        <v>#REF!</v>
      </c>
      <c r="T291">
        <f>IFERROR(SEARCH(search!$B$6,samples!#REF!,1),0)</f>
        <v>0</v>
      </c>
      <c r="U291" t="e">
        <f>IF(samples!#REF!=0,"",samples!#REF!)</f>
        <v>#REF!</v>
      </c>
      <c r="V291">
        <f>IFERROR(SEARCH(search!$B$6,samples!#REF!,1),0)</f>
        <v>0</v>
      </c>
      <c r="W291" t="e">
        <f>IF(samples!#REF!=0,"",samples!#REF!)</f>
        <v>#REF!</v>
      </c>
      <c r="X291">
        <f>IFERROR(SEARCH(search!$B$6,samples!#REF!,1),0)</f>
        <v>0</v>
      </c>
      <c r="Y291" t="e">
        <f>IF(samples!#REF!=0,"",samples!#REF!)</f>
        <v>#REF!</v>
      </c>
      <c r="Z291">
        <f>IFERROR(SEARCH(search!$B$6,samples!#REF!,1),0)</f>
        <v>0</v>
      </c>
      <c r="AA291" t="e">
        <f>IF(samples!#REF!=0,"",samples!#REF!)</f>
        <v>#REF!</v>
      </c>
      <c r="AB291">
        <f>IFERROR(SEARCH(search!$B$6,samples!#REF!,1),0)</f>
        <v>0</v>
      </c>
      <c r="AC291" t="e">
        <f>IF(samples!#REF!=0,"",samples!#REF!)</f>
        <v>#REF!</v>
      </c>
      <c r="AD291">
        <f>IFERROR(SEARCH(search!$B$6,samples!#REF!,1),0)</f>
        <v>0</v>
      </c>
    </row>
    <row r="292" spans="1:30">
      <c r="A292">
        <f t="shared" si="4"/>
        <v>0</v>
      </c>
      <c r="B292">
        <f>IF(SUM(D292,F292,H292,J292,L292,N292,P292,R292,T292,V292,X292,Z292,AB292,AD292)&gt;0,SUM($A$2:A292),0)</f>
        <v>0</v>
      </c>
      <c r="C292" t="e">
        <f>samples!#REF!</f>
        <v>#REF!</v>
      </c>
      <c r="D292">
        <f>IFERROR(SEARCH(search!$B$6,samples!#REF!,1),0)</f>
        <v>0</v>
      </c>
      <c r="E292" t="e">
        <f>IF(samples!#REF!=0,"",samples!#REF!)</f>
        <v>#REF!</v>
      </c>
      <c r="F292">
        <f>IFERROR(SEARCH(search!$B$6,samples!#REF!,1),0)</f>
        <v>0</v>
      </c>
      <c r="G292" t="e">
        <f>IF(samples!#REF!=0,"",samples!#REF!)</f>
        <v>#REF!</v>
      </c>
      <c r="H292">
        <f>IFERROR(SEARCH(search!$B$6,samples!#REF!,1),0)</f>
        <v>0</v>
      </c>
      <c r="I292" t="e">
        <f>IF(samples!#REF!=0,"",samples!#REF!)</f>
        <v>#REF!</v>
      </c>
      <c r="J292">
        <f>IFERROR(SEARCH(search!$B$6,samples!#REF!,1),0)</f>
        <v>0</v>
      </c>
      <c r="K292" t="e">
        <f>IF(samples!#REF!=0,"",samples!#REF!)</f>
        <v>#REF!</v>
      </c>
      <c r="L292">
        <f>IFERROR(SEARCH(search!$B$6,samples!#REF!,1),0)</f>
        <v>0</v>
      </c>
      <c r="M292" t="e">
        <f>IF(samples!#REF!=0,"",samples!#REF!)</f>
        <v>#REF!</v>
      </c>
      <c r="N292">
        <f>IFERROR(SEARCH(search!$B$6,samples!#REF!,1),0)</f>
        <v>0</v>
      </c>
      <c r="O292" t="e">
        <f>IF(samples!#REF!=0,"",samples!#REF!)</f>
        <v>#REF!</v>
      </c>
      <c r="P292">
        <f>IFERROR(SEARCH(search!$B$6,samples!#REF!,1),0)</f>
        <v>0</v>
      </c>
      <c r="Q292" t="e">
        <f>IF(samples!#REF!=0,"",samples!#REF!)</f>
        <v>#REF!</v>
      </c>
      <c r="R292">
        <f>IFERROR(SEARCH(search!$B$6,samples!#REF!,1),0)</f>
        <v>0</v>
      </c>
      <c r="S292" t="e">
        <f>IF(samples!#REF!=0,"",samples!#REF!)</f>
        <v>#REF!</v>
      </c>
      <c r="T292">
        <f>IFERROR(SEARCH(search!$B$6,samples!#REF!,1),0)</f>
        <v>0</v>
      </c>
      <c r="U292" t="e">
        <f>IF(samples!#REF!=0,"",samples!#REF!)</f>
        <v>#REF!</v>
      </c>
      <c r="V292">
        <f>IFERROR(SEARCH(search!$B$6,samples!#REF!,1),0)</f>
        <v>0</v>
      </c>
      <c r="W292" t="e">
        <f>IF(samples!#REF!=0,"",samples!#REF!)</f>
        <v>#REF!</v>
      </c>
      <c r="X292">
        <f>IFERROR(SEARCH(search!$B$6,samples!#REF!,1),0)</f>
        <v>0</v>
      </c>
      <c r="Y292" t="e">
        <f>IF(samples!#REF!=0,"",samples!#REF!)</f>
        <v>#REF!</v>
      </c>
      <c r="Z292">
        <f>IFERROR(SEARCH(search!$B$6,samples!#REF!,1),0)</f>
        <v>0</v>
      </c>
      <c r="AA292" t="e">
        <f>IF(samples!#REF!=0,"",samples!#REF!)</f>
        <v>#REF!</v>
      </c>
      <c r="AB292">
        <f>IFERROR(SEARCH(search!$B$6,samples!#REF!,1),0)</f>
        <v>0</v>
      </c>
      <c r="AC292" t="e">
        <f>IF(samples!#REF!=0,"",samples!#REF!)</f>
        <v>#REF!</v>
      </c>
      <c r="AD292">
        <f>IFERROR(SEARCH(search!$B$6,samples!#REF!,1),0)</f>
        <v>0</v>
      </c>
    </row>
    <row r="293" spans="1:30">
      <c r="A293">
        <f t="shared" si="4"/>
        <v>0</v>
      </c>
      <c r="B293">
        <f>IF(SUM(D293,F293,H293,J293,L293,N293,P293,R293,T293,V293,X293,Z293,AB293,AD293)&gt;0,SUM($A$2:A293),0)</f>
        <v>0</v>
      </c>
      <c r="C293" t="e">
        <f>samples!#REF!</f>
        <v>#REF!</v>
      </c>
      <c r="D293">
        <f>IFERROR(SEARCH(search!$B$6,samples!#REF!,1),0)</f>
        <v>0</v>
      </c>
      <c r="E293" t="e">
        <f>IF(samples!#REF!=0,"",samples!#REF!)</f>
        <v>#REF!</v>
      </c>
      <c r="F293">
        <f>IFERROR(SEARCH(search!$B$6,samples!#REF!,1),0)</f>
        <v>0</v>
      </c>
      <c r="G293" t="e">
        <f>IF(samples!#REF!=0,"",samples!#REF!)</f>
        <v>#REF!</v>
      </c>
      <c r="H293">
        <f>IFERROR(SEARCH(search!$B$6,samples!#REF!,1),0)</f>
        <v>0</v>
      </c>
      <c r="I293" t="e">
        <f>IF(samples!#REF!=0,"",samples!#REF!)</f>
        <v>#REF!</v>
      </c>
      <c r="J293">
        <f>IFERROR(SEARCH(search!$B$6,samples!#REF!,1),0)</f>
        <v>0</v>
      </c>
      <c r="K293" t="e">
        <f>IF(samples!#REF!=0,"",samples!#REF!)</f>
        <v>#REF!</v>
      </c>
      <c r="L293">
        <f>IFERROR(SEARCH(search!$B$6,samples!#REF!,1),0)</f>
        <v>0</v>
      </c>
      <c r="M293" t="e">
        <f>IF(samples!#REF!=0,"",samples!#REF!)</f>
        <v>#REF!</v>
      </c>
      <c r="N293">
        <f>IFERROR(SEARCH(search!$B$6,samples!#REF!,1),0)</f>
        <v>0</v>
      </c>
      <c r="O293" t="e">
        <f>IF(samples!#REF!=0,"",samples!#REF!)</f>
        <v>#REF!</v>
      </c>
      <c r="P293">
        <f>IFERROR(SEARCH(search!$B$6,samples!#REF!,1),0)</f>
        <v>0</v>
      </c>
      <c r="Q293" t="e">
        <f>IF(samples!#REF!=0,"",samples!#REF!)</f>
        <v>#REF!</v>
      </c>
      <c r="R293">
        <f>IFERROR(SEARCH(search!$B$6,samples!#REF!,1),0)</f>
        <v>0</v>
      </c>
      <c r="S293" t="e">
        <f>IF(samples!#REF!=0,"",samples!#REF!)</f>
        <v>#REF!</v>
      </c>
      <c r="T293">
        <f>IFERROR(SEARCH(search!$B$6,samples!#REF!,1),0)</f>
        <v>0</v>
      </c>
      <c r="U293" t="e">
        <f>IF(samples!#REF!=0,"",samples!#REF!)</f>
        <v>#REF!</v>
      </c>
      <c r="V293">
        <f>IFERROR(SEARCH(search!$B$6,samples!#REF!,1),0)</f>
        <v>0</v>
      </c>
      <c r="W293" t="e">
        <f>IF(samples!#REF!=0,"",samples!#REF!)</f>
        <v>#REF!</v>
      </c>
      <c r="X293">
        <f>IFERROR(SEARCH(search!$B$6,samples!#REF!,1),0)</f>
        <v>0</v>
      </c>
      <c r="Y293" t="e">
        <f>IF(samples!#REF!=0,"",samples!#REF!)</f>
        <v>#REF!</v>
      </c>
      <c r="Z293">
        <f>IFERROR(SEARCH(search!$B$6,samples!#REF!,1),0)</f>
        <v>0</v>
      </c>
      <c r="AA293" t="e">
        <f>IF(samples!#REF!=0,"",samples!#REF!)</f>
        <v>#REF!</v>
      </c>
      <c r="AB293">
        <f>IFERROR(SEARCH(search!$B$6,samples!#REF!,1),0)</f>
        <v>0</v>
      </c>
      <c r="AC293" t="e">
        <f>IF(samples!#REF!=0,"",samples!#REF!)</f>
        <v>#REF!</v>
      </c>
      <c r="AD293">
        <f>IFERROR(SEARCH(search!$B$6,samples!#REF!,1),0)</f>
        <v>0</v>
      </c>
    </row>
    <row r="294" spans="1:30">
      <c r="A294">
        <f t="shared" si="4"/>
        <v>0</v>
      </c>
      <c r="B294">
        <f>IF(SUM(D294,F294,H294,J294,L294,N294,P294,R294,T294,V294,X294,Z294,AB294,AD294)&gt;0,SUM($A$2:A294),0)</f>
        <v>0</v>
      </c>
      <c r="C294" t="e">
        <f>samples!#REF!</f>
        <v>#REF!</v>
      </c>
      <c r="D294">
        <f>IFERROR(SEARCH(search!$B$6,samples!#REF!,1),0)</f>
        <v>0</v>
      </c>
      <c r="E294" t="e">
        <f>IF(samples!#REF!=0,"",samples!#REF!)</f>
        <v>#REF!</v>
      </c>
      <c r="F294">
        <f>IFERROR(SEARCH(search!$B$6,samples!#REF!,1),0)</f>
        <v>0</v>
      </c>
      <c r="G294" t="e">
        <f>IF(samples!#REF!=0,"",samples!#REF!)</f>
        <v>#REF!</v>
      </c>
      <c r="H294">
        <f>IFERROR(SEARCH(search!$B$6,samples!#REF!,1),0)</f>
        <v>0</v>
      </c>
      <c r="I294" t="e">
        <f>IF(samples!#REF!=0,"",samples!#REF!)</f>
        <v>#REF!</v>
      </c>
      <c r="J294">
        <f>IFERROR(SEARCH(search!$B$6,samples!#REF!,1),0)</f>
        <v>0</v>
      </c>
      <c r="K294" t="e">
        <f>IF(samples!#REF!=0,"",samples!#REF!)</f>
        <v>#REF!</v>
      </c>
      <c r="L294">
        <f>IFERROR(SEARCH(search!$B$6,samples!#REF!,1),0)</f>
        <v>0</v>
      </c>
      <c r="M294" t="e">
        <f>IF(samples!#REF!=0,"",samples!#REF!)</f>
        <v>#REF!</v>
      </c>
      <c r="N294">
        <f>IFERROR(SEARCH(search!$B$6,samples!#REF!,1),0)</f>
        <v>0</v>
      </c>
      <c r="O294" t="e">
        <f>IF(samples!#REF!=0,"",samples!#REF!)</f>
        <v>#REF!</v>
      </c>
      <c r="P294">
        <f>IFERROR(SEARCH(search!$B$6,samples!#REF!,1),0)</f>
        <v>0</v>
      </c>
      <c r="Q294" t="e">
        <f>IF(samples!#REF!=0,"",samples!#REF!)</f>
        <v>#REF!</v>
      </c>
      <c r="R294">
        <f>IFERROR(SEARCH(search!$B$6,samples!#REF!,1),0)</f>
        <v>0</v>
      </c>
      <c r="S294" t="e">
        <f>IF(samples!#REF!=0,"",samples!#REF!)</f>
        <v>#REF!</v>
      </c>
      <c r="T294">
        <f>IFERROR(SEARCH(search!$B$6,samples!#REF!,1),0)</f>
        <v>0</v>
      </c>
      <c r="U294" t="e">
        <f>IF(samples!#REF!=0,"",samples!#REF!)</f>
        <v>#REF!</v>
      </c>
      <c r="V294">
        <f>IFERROR(SEARCH(search!$B$6,samples!#REF!,1),0)</f>
        <v>0</v>
      </c>
      <c r="W294" t="e">
        <f>IF(samples!#REF!=0,"",samples!#REF!)</f>
        <v>#REF!</v>
      </c>
      <c r="X294">
        <f>IFERROR(SEARCH(search!$B$6,samples!#REF!,1),0)</f>
        <v>0</v>
      </c>
      <c r="Y294" t="e">
        <f>IF(samples!#REF!=0,"",samples!#REF!)</f>
        <v>#REF!</v>
      </c>
      <c r="Z294">
        <f>IFERROR(SEARCH(search!$B$6,samples!#REF!,1),0)</f>
        <v>0</v>
      </c>
      <c r="AA294" t="e">
        <f>IF(samples!#REF!=0,"",samples!#REF!)</f>
        <v>#REF!</v>
      </c>
      <c r="AB294">
        <f>IFERROR(SEARCH(search!$B$6,samples!#REF!,1),0)</f>
        <v>0</v>
      </c>
      <c r="AC294" t="e">
        <f>IF(samples!#REF!=0,"",samples!#REF!)</f>
        <v>#REF!</v>
      </c>
      <c r="AD294">
        <f>IFERROR(SEARCH(search!$B$6,samples!#REF!,1),0)</f>
        <v>0</v>
      </c>
    </row>
    <row r="295" spans="1:30">
      <c r="A295">
        <f t="shared" si="4"/>
        <v>0</v>
      </c>
      <c r="B295">
        <f>IF(SUM(D295,F295,H295,J295,L295,N295,P295,R295,T295,V295,X295,Z295,AB295,AD295)&gt;0,SUM($A$2:A295),0)</f>
        <v>0</v>
      </c>
      <c r="C295" t="e">
        <f>samples!#REF!</f>
        <v>#REF!</v>
      </c>
      <c r="D295">
        <f>IFERROR(SEARCH(search!$B$6,samples!#REF!,1),0)</f>
        <v>0</v>
      </c>
      <c r="E295" t="e">
        <f>IF(samples!#REF!=0,"",samples!#REF!)</f>
        <v>#REF!</v>
      </c>
      <c r="F295">
        <f>IFERROR(SEARCH(search!$B$6,samples!#REF!,1),0)</f>
        <v>0</v>
      </c>
      <c r="G295" t="e">
        <f>IF(samples!#REF!=0,"",samples!#REF!)</f>
        <v>#REF!</v>
      </c>
      <c r="H295">
        <f>IFERROR(SEARCH(search!$B$6,samples!#REF!,1),0)</f>
        <v>0</v>
      </c>
      <c r="I295" t="e">
        <f>IF(samples!#REF!=0,"",samples!#REF!)</f>
        <v>#REF!</v>
      </c>
      <c r="J295">
        <f>IFERROR(SEARCH(search!$B$6,samples!#REF!,1),0)</f>
        <v>0</v>
      </c>
      <c r="K295" t="e">
        <f>IF(samples!#REF!=0,"",samples!#REF!)</f>
        <v>#REF!</v>
      </c>
      <c r="L295">
        <f>IFERROR(SEARCH(search!$B$6,samples!#REF!,1),0)</f>
        <v>0</v>
      </c>
      <c r="M295" t="e">
        <f>IF(samples!#REF!=0,"",samples!#REF!)</f>
        <v>#REF!</v>
      </c>
      <c r="N295">
        <f>IFERROR(SEARCH(search!$B$6,samples!#REF!,1),0)</f>
        <v>0</v>
      </c>
      <c r="O295" t="e">
        <f>IF(samples!#REF!=0,"",samples!#REF!)</f>
        <v>#REF!</v>
      </c>
      <c r="P295">
        <f>IFERROR(SEARCH(search!$B$6,samples!#REF!,1),0)</f>
        <v>0</v>
      </c>
      <c r="Q295" t="e">
        <f>IF(samples!#REF!=0,"",samples!#REF!)</f>
        <v>#REF!</v>
      </c>
      <c r="R295">
        <f>IFERROR(SEARCH(search!$B$6,samples!#REF!,1),0)</f>
        <v>0</v>
      </c>
      <c r="S295" t="e">
        <f>IF(samples!#REF!=0,"",samples!#REF!)</f>
        <v>#REF!</v>
      </c>
      <c r="T295">
        <f>IFERROR(SEARCH(search!$B$6,samples!#REF!,1),0)</f>
        <v>0</v>
      </c>
      <c r="U295" t="e">
        <f>IF(samples!#REF!=0,"",samples!#REF!)</f>
        <v>#REF!</v>
      </c>
      <c r="V295">
        <f>IFERROR(SEARCH(search!$B$6,samples!#REF!,1),0)</f>
        <v>0</v>
      </c>
      <c r="W295" t="e">
        <f>IF(samples!#REF!=0,"",samples!#REF!)</f>
        <v>#REF!</v>
      </c>
      <c r="X295">
        <f>IFERROR(SEARCH(search!$B$6,samples!#REF!,1),0)</f>
        <v>0</v>
      </c>
      <c r="Y295" t="e">
        <f>IF(samples!#REF!=0,"",samples!#REF!)</f>
        <v>#REF!</v>
      </c>
      <c r="Z295">
        <f>IFERROR(SEARCH(search!$B$6,samples!#REF!,1),0)</f>
        <v>0</v>
      </c>
      <c r="AA295" t="e">
        <f>IF(samples!#REF!=0,"",samples!#REF!)</f>
        <v>#REF!</v>
      </c>
      <c r="AB295">
        <f>IFERROR(SEARCH(search!$B$6,samples!#REF!,1),0)</f>
        <v>0</v>
      </c>
      <c r="AC295" t="e">
        <f>IF(samples!#REF!=0,"",samples!#REF!)</f>
        <v>#REF!</v>
      </c>
      <c r="AD295">
        <f>IFERROR(SEARCH(search!$B$6,samples!#REF!,1),0)</f>
        <v>0</v>
      </c>
    </row>
    <row r="296" spans="1:30">
      <c r="A296">
        <f t="shared" si="4"/>
        <v>0</v>
      </c>
      <c r="B296">
        <f>IF(SUM(D296,F296,H296,J296,L296,N296,P296,R296,T296,V296,X296,Z296,AB296,AD296)&gt;0,SUM($A$2:A296),0)</f>
        <v>0</v>
      </c>
      <c r="C296" t="e">
        <f>samples!#REF!</f>
        <v>#REF!</v>
      </c>
      <c r="D296">
        <f>IFERROR(SEARCH(search!$B$6,samples!#REF!,1),0)</f>
        <v>0</v>
      </c>
      <c r="E296" t="e">
        <f>IF(samples!#REF!=0,"",samples!#REF!)</f>
        <v>#REF!</v>
      </c>
      <c r="F296">
        <f>IFERROR(SEARCH(search!$B$6,samples!#REF!,1),0)</f>
        <v>0</v>
      </c>
      <c r="G296" t="e">
        <f>IF(samples!#REF!=0,"",samples!#REF!)</f>
        <v>#REF!</v>
      </c>
      <c r="H296">
        <f>IFERROR(SEARCH(search!$B$6,samples!#REF!,1),0)</f>
        <v>0</v>
      </c>
      <c r="I296" t="e">
        <f>IF(samples!#REF!=0,"",samples!#REF!)</f>
        <v>#REF!</v>
      </c>
      <c r="J296">
        <f>IFERROR(SEARCH(search!$B$6,samples!#REF!,1),0)</f>
        <v>0</v>
      </c>
      <c r="K296" t="e">
        <f>IF(samples!#REF!=0,"",samples!#REF!)</f>
        <v>#REF!</v>
      </c>
      <c r="L296">
        <f>IFERROR(SEARCH(search!$B$6,samples!#REF!,1),0)</f>
        <v>0</v>
      </c>
      <c r="M296" t="e">
        <f>IF(samples!#REF!=0,"",samples!#REF!)</f>
        <v>#REF!</v>
      </c>
      <c r="N296">
        <f>IFERROR(SEARCH(search!$B$6,samples!#REF!,1),0)</f>
        <v>0</v>
      </c>
      <c r="O296" t="e">
        <f>IF(samples!#REF!=0,"",samples!#REF!)</f>
        <v>#REF!</v>
      </c>
      <c r="P296">
        <f>IFERROR(SEARCH(search!$B$6,samples!#REF!,1),0)</f>
        <v>0</v>
      </c>
      <c r="Q296" t="e">
        <f>IF(samples!#REF!=0,"",samples!#REF!)</f>
        <v>#REF!</v>
      </c>
      <c r="R296">
        <f>IFERROR(SEARCH(search!$B$6,samples!#REF!,1),0)</f>
        <v>0</v>
      </c>
      <c r="S296" t="e">
        <f>IF(samples!#REF!=0,"",samples!#REF!)</f>
        <v>#REF!</v>
      </c>
      <c r="T296">
        <f>IFERROR(SEARCH(search!$B$6,samples!#REF!,1),0)</f>
        <v>0</v>
      </c>
      <c r="U296" t="e">
        <f>IF(samples!#REF!=0,"",samples!#REF!)</f>
        <v>#REF!</v>
      </c>
      <c r="V296">
        <f>IFERROR(SEARCH(search!$B$6,samples!#REF!,1),0)</f>
        <v>0</v>
      </c>
      <c r="W296" t="e">
        <f>IF(samples!#REF!=0,"",samples!#REF!)</f>
        <v>#REF!</v>
      </c>
      <c r="X296">
        <f>IFERROR(SEARCH(search!$B$6,samples!#REF!,1),0)</f>
        <v>0</v>
      </c>
      <c r="Y296" t="e">
        <f>IF(samples!#REF!=0,"",samples!#REF!)</f>
        <v>#REF!</v>
      </c>
      <c r="Z296">
        <f>IFERROR(SEARCH(search!$B$6,samples!#REF!,1),0)</f>
        <v>0</v>
      </c>
      <c r="AA296" t="e">
        <f>IF(samples!#REF!=0,"",samples!#REF!)</f>
        <v>#REF!</v>
      </c>
      <c r="AB296">
        <f>IFERROR(SEARCH(search!$B$6,samples!#REF!,1),0)</f>
        <v>0</v>
      </c>
      <c r="AC296" t="e">
        <f>IF(samples!#REF!=0,"",samples!#REF!)</f>
        <v>#REF!</v>
      </c>
      <c r="AD296">
        <f>IFERROR(SEARCH(search!$B$6,samples!#REF!,1),0)</f>
        <v>0</v>
      </c>
    </row>
    <row r="297" spans="1:30">
      <c r="A297">
        <f t="shared" si="4"/>
        <v>0</v>
      </c>
      <c r="B297">
        <f>IF(SUM(D297,F297,H297,J297,L297,N297,P297,R297,T297,V297,X297,Z297,AB297,AD297)&gt;0,SUM($A$2:A297),0)</f>
        <v>0</v>
      </c>
      <c r="C297" t="e">
        <f>samples!#REF!</f>
        <v>#REF!</v>
      </c>
      <c r="D297">
        <f>IFERROR(SEARCH(search!$B$6,samples!#REF!,1),0)</f>
        <v>0</v>
      </c>
      <c r="E297" t="e">
        <f>IF(samples!#REF!=0,"",samples!#REF!)</f>
        <v>#REF!</v>
      </c>
      <c r="F297">
        <f>IFERROR(SEARCH(search!$B$6,samples!#REF!,1),0)</f>
        <v>0</v>
      </c>
      <c r="G297" t="e">
        <f>IF(samples!#REF!=0,"",samples!#REF!)</f>
        <v>#REF!</v>
      </c>
      <c r="H297">
        <f>IFERROR(SEARCH(search!$B$6,samples!#REF!,1),0)</f>
        <v>0</v>
      </c>
      <c r="I297" t="e">
        <f>IF(samples!#REF!=0,"",samples!#REF!)</f>
        <v>#REF!</v>
      </c>
      <c r="J297">
        <f>IFERROR(SEARCH(search!$B$6,samples!#REF!,1),0)</f>
        <v>0</v>
      </c>
      <c r="K297" t="e">
        <f>IF(samples!#REF!=0,"",samples!#REF!)</f>
        <v>#REF!</v>
      </c>
      <c r="L297">
        <f>IFERROR(SEARCH(search!$B$6,samples!#REF!,1),0)</f>
        <v>0</v>
      </c>
      <c r="M297" t="e">
        <f>IF(samples!#REF!=0,"",samples!#REF!)</f>
        <v>#REF!</v>
      </c>
      <c r="N297">
        <f>IFERROR(SEARCH(search!$B$6,samples!#REF!,1),0)</f>
        <v>0</v>
      </c>
      <c r="O297" t="e">
        <f>IF(samples!#REF!=0,"",samples!#REF!)</f>
        <v>#REF!</v>
      </c>
      <c r="P297">
        <f>IFERROR(SEARCH(search!$B$6,samples!#REF!,1),0)</f>
        <v>0</v>
      </c>
      <c r="Q297" t="e">
        <f>IF(samples!#REF!=0,"",samples!#REF!)</f>
        <v>#REF!</v>
      </c>
      <c r="R297">
        <f>IFERROR(SEARCH(search!$B$6,samples!#REF!,1),0)</f>
        <v>0</v>
      </c>
      <c r="S297" t="e">
        <f>IF(samples!#REF!=0,"",samples!#REF!)</f>
        <v>#REF!</v>
      </c>
      <c r="T297">
        <f>IFERROR(SEARCH(search!$B$6,samples!#REF!,1),0)</f>
        <v>0</v>
      </c>
      <c r="U297" t="e">
        <f>IF(samples!#REF!=0,"",samples!#REF!)</f>
        <v>#REF!</v>
      </c>
      <c r="V297">
        <f>IFERROR(SEARCH(search!$B$6,samples!#REF!,1),0)</f>
        <v>0</v>
      </c>
      <c r="W297" t="e">
        <f>IF(samples!#REF!=0,"",samples!#REF!)</f>
        <v>#REF!</v>
      </c>
      <c r="X297">
        <f>IFERROR(SEARCH(search!$B$6,samples!#REF!,1),0)</f>
        <v>0</v>
      </c>
      <c r="Y297" t="e">
        <f>IF(samples!#REF!=0,"",samples!#REF!)</f>
        <v>#REF!</v>
      </c>
      <c r="Z297">
        <f>IFERROR(SEARCH(search!$B$6,samples!#REF!,1),0)</f>
        <v>0</v>
      </c>
      <c r="AA297" t="e">
        <f>IF(samples!#REF!=0,"",samples!#REF!)</f>
        <v>#REF!</v>
      </c>
      <c r="AB297">
        <f>IFERROR(SEARCH(search!$B$6,samples!#REF!,1),0)</f>
        <v>0</v>
      </c>
      <c r="AC297" t="e">
        <f>IF(samples!#REF!=0,"",samples!#REF!)</f>
        <v>#REF!</v>
      </c>
      <c r="AD297">
        <f>IFERROR(SEARCH(search!$B$6,samples!#REF!,1),0)</f>
        <v>0</v>
      </c>
    </row>
    <row r="298" spans="1:30">
      <c r="A298">
        <f t="shared" si="4"/>
        <v>0</v>
      </c>
      <c r="B298">
        <f>IF(SUM(D298,F298,H298,J298,L298,N298,P298,R298,T298,V298,X298,Z298,AB298,AD298)&gt;0,SUM($A$2:A298),0)</f>
        <v>0</v>
      </c>
      <c r="C298" t="e">
        <f>samples!#REF!</f>
        <v>#REF!</v>
      </c>
      <c r="D298">
        <f>IFERROR(SEARCH(search!$B$6,samples!#REF!,1),0)</f>
        <v>0</v>
      </c>
      <c r="E298" t="e">
        <f>IF(samples!#REF!=0,"",samples!#REF!)</f>
        <v>#REF!</v>
      </c>
      <c r="F298">
        <f>IFERROR(SEARCH(search!$B$6,samples!#REF!,1),0)</f>
        <v>0</v>
      </c>
      <c r="G298" t="e">
        <f>IF(samples!#REF!=0,"",samples!#REF!)</f>
        <v>#REF!</v>
      </c>
      <c r="H298">
        <f>IFERROR(SEARCH(search!$B$6,samples!#REF!,1),0)</f>
        <v>0</v>
      </c>
      <c r="I298" t="e">
        <f>IF(samples!#REF!=0,"",samples!#REF!)</f>
        <v>#REF!</v>
      </c>
      <c r="J298">
        <f>IFERROR(SEARCH(search!$B$6,samples!#REF!,1),0)</f>
        <v>0</v>
      </c>
      <c r="K298" t="e">
        <f>IF(samples!#REF!=0,"",samples!#REF!)</f>
        <v>#REF!</v>
      </c>
      <c r="L298">
        <f>IFERROR(SEARCH(search!$B$6,samples!#REF!,1),0)</f>
        <v>0</v>
      </c>
      <c r="M298" t="e">
        <f>IF(samples!#REF!=0,"",samples!#REF!)</f>
        <v>#REF!</v>
      </c>
      <c r="N298">
        <f>IFERROR(SEARCH(search!$B$6,samples!#REF!,1),0)</f>
        <v>0</v>
      </c>
      <c r="O298" t="e">
        <f>IF(samples!#REF!=0,"",samples!#REF!)</f>
        <v>#REF!</v>
      </c>
      <c r="P298">
        <f>IFERROR(SEARCH(search!$B$6,samples!#REF!,1),0)</f>
        <v>0</v>
      </c>
      <c r="Q298" t="e">
        <f>IF(samples!#REF!=0,"",samples!#REF!)</f>
        <v>#REF!</v>
      </c>
      <c r="R298">
        <f>IFERROR(SEARCH(search!$B$6,samples!#REF!,1),0)</f>
        <v>0</v>
      </c>
      <c r="S298" t="e">
        <f>IF(samples!#REF!=0,"",samples!#REF!)</f>
        <v>#REF!</v>
      </c>
      <c r="T298">
        <f>IFERROR(SEARCH(search!$B$6,samples!#REF!,1),0)</f>
        <v>0</v>
      </c>
      <c r="U298" t="e">
        <f>IF(samples!#REF!=0,"",samples!#REF!)</f>
        <v>#REF!</v>
      </c>
      <c r="V298">
        <f>IFERROR(SEARCH(search!$B$6,samples!#REF!,1),0)</f>
        <v>0</v>
      </c>
      <c r="W298" t="e">
        <f>IF(samples!#REF!=0,"",samples!#REF!)</f>
        <v>#REF!</v>
      </c>
      <c r="X298">
        <f>IFERROR(SEARCH(search!$B$6,samples!#REF!,1),0)</f>
        <v>0</v>
      </c>
      <c r="Y298" t="e">
        <f>IF(samples!#REF!=0,"",samples!#REF!)</f>
        <v>#REF!</v>
      </c>
      <c r="Z298">
        <f>IFERROR(SEARCH(search!$B$6,samples!#REF!,1),0)</f>
        <v>0</v>
      </c>
      <c r="AA298" t="e">
        <f>IF(samples!#REF!=0,"",samples!#REF!)</f>
        <v>#REF!</v>
      </c>
      <c r="AB298">
        <f>IFERROR(SEARCH(search!$B$6,samples!#REF!,1),0)</f>
        <v>0</v>
      </c>
      <c r="AC298" t="e">
        <f>IF(samples!#REF!=0,"",samples!#REF!)</f>
        <v>#REF!</v>
      </c>
      <c r="AD298">
        <f>IFERROR(SEARCH(search!$B$6,samples!#REF!,1),0)</f>
        <v>0</v>
      </c>
    </row>
    <row r="299" spans="1:30">
      <c r="A299">
        <f t="shared" si="4"/>
        <v>0</v>
      </c>
      <c r="B299">
        <f>IF(SUM(D299,F299,H299,J299,L299,N299,P299,R299,T299,V299,X299,Z299,AB299,AD299)&gt;0,SUM($A$2:A299),0)</f>
        <v>0</v>
      </c>
      <c r="C299" t="e">
        <f>samples!#REF!</f>
        <v>#REF!</v>
      </c>
      <c r="D299">
        <f>IFERROR(SEARCH(search!$B$6,samples!#REF!,1),0)</f>
        <v>0</v>
      </c>
      <c r="E299" t="e">
        <f>IF(samples!#REF!=0,"",samples!#REF!)</f>
        <v>#REF!</v>
      </c>
      <c r="F299">
        <f>IFERROR(SEARCH(search!$B$6,samples!#REF!,1),0)</f>
        <v>0</v>
      </c>
      <c r="G299" t="e">
        <f>IF(samples!#REF!=0,"",samples!#REF!)</f>
        <v>#REF!</v>
      </c>
      <c r="H299">
        <f>IFERROR(SEARCH(search!$B$6,samples!#REF!,1),0)</f>
        <v>0</v>
      </c>
      <c r="I299" t="e">
        <f>IF(samples!#REF!=0,"",samples!#REF!)</f>
        <v>#REF!</v>
      </c>
      <c r="J299">
        <f>IFERROR(SEARCH(search!$B$6,samples!#REF!,1),0)</f>
        <v>0</v>
      </c>
      <c r="K299" t="e">
        <f>IF(samples!#REF!=0,"",samples!#REF!)</f>
        <v>#REF!</v>
      </c>
      <c r="L299">
        <f>IFERROR(SEARCH(search!$B$6,samples!#REF!,1),0)</f>
        <v>0</v>
      </c>
      <c r="M299" t="e">
        <f>IF(samples!#REF!=0,"",samples!#REF!)</f>
        <v>#REF!</v>
      </c>
      <c r="N299">
        <f>IFERROR(SEARCH(search!$B$6,samples!#REF!,1),0)</f>
        <v>0</v>
      </c>
      <c r="O299" t="e">
        <f>IF(samples!#REF!=0,"",samples!#REF!)</f>
        <v>#REF!</v>
      </c>
      <c r="P299">
        <f>IFERROR(SEARCH(search!$B$6,samples!#REF!,1),0)</f>
        <v>0</v>
      </c>
      <c r="Q299" t="e">
        <f>IF(samples!#REF!=0,"",samples!#REF!)</f>
        <v>#REF!</v>
      </c>
      <c r="R299">
        <f>IFERROR(SEARCH(search!$B$6,samples!#REF!,1),0)</f>
        <v>0</v>
      </c>
      <c r="S299" t="e">
        <f>IF(samples!#REF!=0,"",samples!#REF!)</f>
        <v>#REF!</v>
      </c>
      <c r="T299">
        <f>IFERROR(SEARCH(search!$B$6,samples!#REF!,1),0)</f>
        <v>0</v>
      </c>
      <c r="U299" t="e">
        <f>IF(samples!#REF!=0,"",samples!#REF!)</f>
        <v>#REF!</v>
      </c>
      <c r="V299">
        <f>IFERROR(SEARCH(search!$B$6,samples!#REF!,1),0)</f>
        <v>0</v>
      </c>
      <c r="W299" t="e">
        <f>IF(samples!#REF!=0,"",samples!#REF!)</f>
        <v>#REF!</v>
      </c>
      <c r="X299">
        <f>IFERROR(SEARCH(search!$B$6,samples!#REF!,1),0)</f>
        <v>0</v>
      </c>
      <c r="Y299" t="e">
        <f>IF(samples!#REF!=0,"",samples!#REF!)</f>
        <v>#REF!</v>
      </c>
      <c r="Z299">
        <f>IFERROR(SEARCH(search!$B$6,samples!#REF!,1),0)</f>
        <v>0</v>
      </c>
      <c r="AA299" t="e">
        <f>IF(samples!#REF!=0,"",samples!#REF!)</f>
        <v>#REF!</v>
      </c>
      <c r="AB299">
        <f>IFERROR(SEARCH(search!$B$6,samples!#REF!,1),0)</f>
        <v>0</v>
      </c>
      <c r="AC299" t="e">
        <f>IF(samples!#REF!=0,"",samples!#REF!)</f>
        <v>#REF!</v>
      </c>
      <c r="AD299">
        <f>IFERROR(SEARCH(search!$B$6,samples!#REF!,1),0)</f>
        <v>0</v>
      </c>
    </row>
    <row r="300" spans="1:30">
      <c r="A300">
        <f t="shared" si="4"/>
        <v>0</v>
      </c>
      <c r="B300">
        <f>IF(SUM(D300,F300,H300,J300,L300,N300,P300,R300,T300,V300,X300,Z300,AB300,AD300)&gt;0,SUM($A$2:A300),0)</f>
        <v>0</v>
      </c>
      <c r="C300" t="e">
        <f>samples!#REF!</f>
        <v>#REF!</v>
      </c>
      <c r="D300">
        <f>IFERROR(SEARCH(search!$B$6,samples!#REF!,1),0)</f>
        <v>0</v>
      </c>
      <c r="E300" t="e">
        <f>IF(samples!#REF!=0,"",samples!#REF!)</f>
        <v>#REF!</v>
      </c>
      <c r="F300">
        <f>IFERROR(SEARCH(search!$B$6,samples!#REF!,1),0)</f>
        <v>0</v>
      </c>
      <c r="G300" t="e">
        <f>IF(samples!#REF!=0,"",samples!#REF!)</f>
        <v>#REF!</v>
      </c>
      <c r="H300">
        <f>IFERROR(SEARCH(search!$B$6,samples!#REF!,1),0)</f>
        <v>0</v>
      </c>
      <c r="I300" t="e">
        <f>IF(samples!#REF!=0,"",samples!#REF!)</f>
        <v>#REF!</v>
      </c>
      <c r="J300">
        <f>IFERROR(SEARCH(search!$B$6,samples!#REF!,1),0)</f>
        <v>0</v>
      </c>
      <c r="K300" t="e">
        <f>IF(samples!#REF!=0,"",samples!#REF!)</f>
        <v>#REF!</v>
      </c>
      <c r="L300">
        <f>IFERROR(SEARCH(search!$B$6,samples!#REF!,1),0)</f>
        <v>0</v>
      </c>
      <c r="M300" t="e">
        <f>IF(samples!#REF!=0,"",samples!#REF!)</f>
        <v>#REF!</v>
      </c>
      <c r="N300">
        <f>IFERROR(SEARCH(search!$B$6,samples!#REF!,1),0)</f>
        <v>0</v>
      </c>
      <c r="O300" t="e">
        <f>IF(samples!#REF!=0,"",samples!#REF!)</f>
        <v>#REF!</v>
      </c>
      <c r="P300">
        <f>IFERROR(SEARCH(search!$B$6,samples!#REF!,1),0)</f>
        <v>0</v>
      </c>
      <c r="Q300" t="e">
        <f>IF(samples!#REF!=0,"",samples!#REF!)</f>
        <v>#REF!</v>
      </c>
      <c r="R300">
        <f>IFERROR(SEARCH(search!$B$6,samples!#REF!,1),0)</f>
        <v>0</v>
      </c>
      <c r="S300" t="e">
        <f>IF(samples!#REF!=0,"",samples!#REF!)</f>
        <v>#REF!</v>
      </c>
      <c r="T300">
        <f>IFERROR(SEARCH(search!$B$6,samples!#REF!,1),0)</f>
        <v>0</v>
      </c>
      <c r="U300" t="e">
        <f>IF(samples!#REF!=0,"",samples!#REF!)</f>
        <v>#REF!</v>
      </c>
      <c r="V300">
        <f>IFERROR(SEARCH(search!$B$6,samples!#REF!,1),0)</f>
        <v>0</v>
      </c>
      <c r="W300" t="e">
        <f>IF(samples!#REF!=0,"",samples!#REF!)</f>
        <v>#REF!</v>
      </c>
      <c r="X300">
        <f>IFERROR(SEARCH(search!$B$6,samples!#REF!,1),0)</f>
        <v>0</v>
      </c>
      <c r="Y300" t="e">
        <f>IF(samples!#REF!=0,"",samples!#REF!)</f>
        <v>#REF!</v>
      </c>
      <c r="Z300">
        <f>IFERROR(SEARCH(search!$B$6,samples!#REF!,1),0)</f>
        <v>0</v>
      </c>
      <c r="AA300" t="e">
        <f>IF(samples!#REF!=0,"",samples!#REF!)</f>
        <v>#REF!</v>
      </c>
      <c r="AB300">
        <f>IFERROR(SEARCH(search!$B$6,samples!#REF!,1),0)</f>
        <v>0</v>
      </c>
      <c r="AC300" t="e">
        <f>IF(samples!#REF!=0,"",samples!#REF!)</f>
        <v>#REF!</v>
      </c>
      <c r="AD300">
        <f>IFERROR(SEARCH(search!$B$6,samples!#REF!,1),0)</f>
        <v>0</v>
      </c>
    </row>
    <row r="301" spans="1:30">
      <c r="A301">
        <f t="shared" si="4"/>
        <v>0</v>
      </c>
      <c r="B301">
        <f>IF(SUM(D301,F301,H301,J301,L301,N301,P301,R301,T301,V301,X301,Z301,AB301,AD301)&gt;0,SUM($A$2:A301),0)</f>
        <v>0</v>
      </c>
      <c r="C301" t="e">
        <f>samples!#REF!</f>
        <v>#REF!</v>
      </c>
      <c r="D301">
        <f>IFERROR(SEARCH(search!$B$6,samples!#REF!,1),0)</f>
        <v>0</v>
      </c>
      <c r="E301" t="e">
        <f>IF(samples!#REF!=0,"",samples!#REF!)</f>
        <v>#REF!</v>
      </c>
      <c r="F301">
        <f>IFERROR(SEARCH(search!$B$6,samples!#REF!,1),0)</f>
        <v>0</v>
      </c>
      <c r="G301" t="e">
        <f>IF(samples!#REF!=0,"",samples!#REF!)</f>
        <v>#REF!</v>
      </c>
      <c r="H301">
        <f>IFERROR(SEARCH(search!$B$6,samples!#REF!,1),0)</f>
        <v>0</v>
      </c>
      <c r="I301" t="e">
        <f>IF(samples!#REF!=0,"",samples!#REF!)</f>
        <v>#REF!</v>
      </c>
      <c r="J301">
        <f>IFERROR(SEARCH(search!$B$6,samples!#REF!,1),0)</f>
        <v>0</v>
      </c>
      <c r="K301" t="e">
        <f>IF(samples!#REF!=0,"",samples!#REF!)</f>
        <v>#REF!</v>
      </c>
      <c r="L301">
        <f>IFERROR(SEARCH(search!$B$6,samples!#REF!,1),0)</f>
        <v>0</v>
      </c>
      <c r="M301" t="e">
        <f>IF(samples!#REF!=0,"",samples!#REF!)</f>
        <v>#REF!</v>
      </c>
      <c r="N301">
        <f>IFERROR(SEARCH(search!$B$6,samples!#REF!,1),0)</f>
        <v>0</v>
      </c>
      <c r="O301" t="e">
        <f>IF(samples!#REF!=0,"",samples!#REF!)</f>
        <v>#REF!</v>
      </c>
      <c r="P301">
        <f>IFERROR(SEARCH(search!$B$6,samples!#REF!,1),0)</f>
        <v>0</v>
      </c>
      <c r="Q301" t="e">
        <f>IF(samples!#REF!=0,"",samples!#REF!)</f>
        <v>#REF!</v>
      </c>
      <c r="R301">
        <f>IFERROR(SEARCH(search!$B$6,samples!#REF!,1),0)</f>
        <v>0</v>
      </c>
      <c r="S301" t="e">
        <f>IF(samples!#REF!=0,"",samples!#REF!)</f>
        <v>#REF!</v>
      </c>
      <c r="T301">
        <f>IFERROR(SEARCH(search!$B$6,samples!#REF!,1),0)</f>
        <v>0</v>
      </c>
      <c r="U301" t="e">
        <f>IF(samples!#REF!=0,"",samples!#REF!)</f>
        <v>#REF!</v>
      </c>
      <c r="V301">
        <f>IFERROR(SEARCH(search!$B$6,samples!#REF!,1),0)</f>
        <v>0</v>
      </c>
      <c r="W301" t="e">
        <f>IF(samples!#REF!=0,"",samples!#REF!)</f>
        <v>#REF!</v>
      </c>
      <c r="X301">
        <f>IFERROR(SEARCH(search!$B$6,samples!#REF!,1),0)</f>
        <v>0</v>
      </c>
      <c r="Y301" t="e">
        <f>IF(samples!#REF!=0,"",samples!#REF!)</f>
        <v>#REF!</v>
      </c>
      <c r="Z301">
        <f>IFERROR(SEARCH(search!$B$6,samples!#REF!,1),0)</f>
        <v>0</v>
      </c>
      <c r="AA301" t="e">
        <f>IF(samples!#REF!=0,"",samples!#REF!)</f>
        <v>#REF!</v>
      </c>
      <c r="AB301">
        <f>IFERROR(SEARCH(search!$B$6,samples!#REF!,1),0)</f>
        <v>0</v>
      </c>
      <c r="AC301" t="e">
        <f>IF(samples!#REF!=0,"",samples!#REF!)</f>
        <v>#REF!</v>
      </c>
      <c r="AD301">
        <f>IFERROR(SEARCH(search!$B$6,samples!#REF!,1),0)</f>
        <v>0</v>
      </c>
    </row>
    <row r="302" spans="1:30">
      <c r="A302">
        <f t="shared" si="4"/>
        <v>0</v>
      </c>
      <c r="B302">
        <f>IF(SUM(D302,F302,H302,J302,L302,N302,P302,R302,T302,V302,X302,Z302,AB302,AD302)&gt;0,SUM($A$2:A302),0)</f>
        <v>0</v>
      </c>
      <c r="C302" t="e">
        <f>samples!#REF!</f>
        <v>#REF!</v>
      </c>
      <c r="D302">
        <f>IFERROR(SEARCH(search!$B$6,samples!#REF!,1),0)</f>
        <v>0</v>
      </c>
      <c r="E302" t="e">
        <f>IF(samples!#REF!=0,"",samples!#REF!)</f>
        <v>#REF!</v>
      </c>
      <c r="F302">
        <f>IFERROR(SEARCH(search!$B$6,samples!#REF!,1),0)</f>
        <v>0</v>
      </c>
      <c r="G302" t="e">
        <f>IF(samples!#REF!=0,"",samples!#REF!)</f>
        <v>#REF!</v>
      </c>
      <c r="H302">
        <f>IFERROR(SEARCH(search!$B$6,samples!#REF!,1),0)</f>
        <v>0</v>
      </c>
      <c r="I302" t="e">
        <f>IF(samples!#REF!=0,"",samples!#REF!)</f>
        <v>#REF!</v>
      </c>
      <c r="J302">
        <f>IFERROR(SEARCH(search!$B$6,samples!#REF!,1),0)</f>
        <v>0</v>
      </c>
      <c r="K302" t="e">
        <f>IF(samples!#REF!=0,"",samples!#REF!)</f>
        <v>#REF!</v>
      </c>
      <c r="L302">
        <f>IFERROR(SEARCH(search!$B$6,samples!#REF!,1),0)</f>
        <v>0</v>
      </c>
      <c r="M302" t="e">
        <f>IF(samples!#REF!=0,"",samples!#REF!)</f>
        <v>#REF!</v>
      </c>
      <c r="N302">
        <f>IFERROR(SEARCH(search!$B$6,samples!#REF!,1),0)</f>
        <v>0</v>
      </c>
      <c r="O302" t="e">
        <f>IF(samples!#REF!=0,"",samples!#REF!)</f>
        <v>#REF!</v>
      </c>
      <c r="P302">
        <f>IFERROR(SEARCH(search!$B$6,samples!#REF!,1),0)</f>
        <v>0</v>
      </c>
      <c r="Q302" t="e">
        <f>IF(samples!#REF!=0,"",samples!#REF!)</f>
        <v>#REF!</v>
      </c>
      <c r="R302">
        <f>IFERROR(SEARCH(search!$B$6,samples!#REF!,1),0)</f>
        <v>0</v>
      </c>
      <c r="S302" t="e">
        <f>IF(samples!#REF!=0,"",samples!#REF!)</f>
        <v>#REF!</v>
      </c>
      <c r="T302">
        <f>IFERROR(SEARCH(search!$B$6,samples!#REF!,1),0)</f>
        <v>0</v>
      </c>
      <c r="U302" t="e">
        <f>IF(samples!#REF!=0,"",samples!#REF!)</f>
        <v>#REF!</v>
      </c>
      <c r="V302">
        <f>IFERROR(SEARCH(search!$B$6,samples!#REF!,1),0)</f>
        <v>0</v>
      </c>
      <c r="W302" t="e">
        <f>IF(samples!#REF!=0,"",samples!#REF!)</f>
        <v>#REF!</v>
      </c>
      <c r="X302">
        <f>IFERROR(SEARCH(search!$B$6,samples!#REF!,1),0)</f>
        <v>0</v>
      </c>
      <c r="Y302" t="e">
        <f>IF(samples!#REF!=0,"",samples!#REF!)</f>
        <v>#REF!</v>
      </c>
      <c r="Z302">
        <f>IFERROR(SEARCH(search!$B$6,samples!#REF!,1),0)</f>
        <v>0</v>
      </c>
      <c r="AA302" t="e">
        <f>IF(samples!#REF!=0,"",samples!#REF!)</f>
        <v>#REF!</v>
      </c>
      <c r="AB302">
        <f>IFERROR(SEARCH(search!$B$6,samples!#REF!,1),0)</f>
        <v>0</v>
      </c>
      <c r="AC302" t="e">
        <f>IF(samples!#REF!=0,"",samples!#REF!)</f>
        <v>#REF!</v>
      </c>
      <c r="AD302">
        <f>IFERROR(SEARCH(search!$B$6,samples!#REF!,1),0)</f>
        <v>0</v>
      </c>
    </row>
    <row r="303" spans="1:30">
      <c r="A303">
        <f t="shared" si="4"/>
        <v>0</v>
      </c>
      <c r="B303">
        <f>IF(SUM(D303,F303,H303,J303,L303,N303,P303,R303,T303,V303,X303,Z303,AB303,AD303)&gt;0,SUM($A$2:A303),0)</f>
        <v>0</v>
      </c>
      <c r="C303" t="e">
        <f>samples!#REF!</f>
        <v>#REF!</v>
      </c>
      <c r="D303">
        <f>IFERROR(SEARCH(search!$B$6,samples!#REF!,1),0)</f>
        <v>0</v>
      </c>
      <c r="E303" t="e">
        <f>IF(samples!#REF!=0,"",samples!#REF!)</f>
        <v>#REF!</v>
      </c>
      <c r="F303">
        <f>IFERROR(SEARCH(search!$B$6,samples!#REF!,1),0)</f>
        <v>0</v>
      </c>
      <c r="G303" t="e">
        <f>IF(samples!#REF!=0,"",samples!#REF!)</f>
        <v>#REF!</v>
      </c>
      <c r="H303">
        <f>IFERROR(SEARCH(search!$B$6,samples!#REF!,1),0)</f>
        <v>0</v>
      </c>
      <c r="I303" t="e">
        <f>IF(samples!#REF!=0,"",samples!#REF!)</f>
        <v>#REF!</v>
      </c>
      <c r="J303">
        <f>IFERROR(SEARCH(search!$B$6,samples!#REF!,1),0)</f>
        <v>0</v>
      </c>
      <c r="K303" t="e">
        <f>IF(samples!#REF!=0,"",samples!#REF!)</f>
        <v>#REF!</v>
      </c>
      <c r="L303">
        <f>IFERROR(SEARCH(search!$B$6,samples!#REF!,1),0)</f>
        <v>0</v>
      </c>
      <c r="M303" t="e">
        <f>IF(samples!#REF!=0,"",samples!#REF!)</f>
        <v>#REF!</v>
      </c>
      <c r="N303">
        <f>IFERROR(SEARCH(search!$B$6,samples!#REF!,1),0)</f>
        <v>0</v>
      </c>
      <c r="O303" t="e">
        <f>IF(samples!#REF!=0,"",samples!#REF!)</f>
        <v>#REF!</v>
      </c>
      <c r="P303">
        <f>IFERROR(SEARCH(search!$B$6,samples!#REF!,1),0)</f>
        <v>0</v>
      </c>
      <c r="Q303" t="e">
        <f>IF(samples!#REF!=0,"",samples!#REF!)</f>
        <v>#REF!</v>
      </c>
      <c r="R303">
        <f>IFERROR(SEARCH(search!$B$6,samples!#REF!,1),0)</f>
        <v>0</v>
      </c>
      <c r="S303" t="e">
        <f>IF(samples!#REF!=0,"",samples!#REF!)</f>
        <v>#REF!</v>
      </c>
      <c r="T303">
        <f>IFERROR(SEARCH(search!$B$6,samples!#REF!,1),0)</f>
        <v>0</v>
      </c>
      <c r="U303" t="e">
        <f>IF(samples!#REF!=0,"",samples!#REF!)</f>
        <v>#REF!</v>
      </c>
      <c r="V303">
        <f>IFERROR(SEARCH(search!$B$6,samples!#REF!,1),0)</f>
        <v>0</v>
      </c>
      <c r="W303" t="e">
        <f>IF(samples!#REF!=0,"",samples!#REF!)</f>
        <v>#REF!</v>
      </c>
      <c r="X303">
        <f>IFERROR(SEARCH(search!$B$6,samples!#REF!,1),0)</f>
        <v>0</v>
      </c>
      <c r="Y303" t="e">
        <f>IF(samples!#REF!=0,"",samples!#REF!)</f>
        <v>#REF!</v>
      </c>
      <c r="Z303">
        <f>IFERROR(SEARCH(search!$B$6,samples!#REF!,1),0)</f>
        <v>0</v>
      </c>
      <c r="AA303" t="e">
        <f>IF(samples!#REF!=0,"",samples!#REF!)</f>
        <v>#REF!</v>
      </c>
      <c r="AB303">
        <f>IFERROR(SEARCH(search!$B$6,samples!#REF!,1),0)</f>
        <v>0</v>
      </c>
      <c r="AC303" t="e">
        <f>IF(samples!#REF!=0,"",samples!#REF!)</f>
        <v>#REF!</v>
      </c>
      <c r="AD303">
        <f>IFERROR(SEARCH(search!$B$6,samples!#REF!,1),0)</f>
        <v>0</v>
      </c>
    </row>
    <row r="304" spans="1:30">
      <c r="A304">
        <f t="shared" si="4"/>
        <v>0</v>
      </c>
      <c r="B304">
        <f>IF(SUM(D304,F304,H304,J304,L304,N304,P304,R304,T304,V304,X304,Z304,AB304,AD304)&gt;0,SUM($A$2:A304),0)</f>
        <v>0</v>
      </c>
      <c r="C304" t="e">
        <f>samples!#REF!</f>
        <v>#REF!</v>
      </c>
      <c r="D304">
        <f>IFERROR(SEARCH(search!$B$6,samples!#REF!,1),0)</f>
        <v>0</v>
      </c>
      <c r="E304" t="e">
        <f>IF(samples!#REF!=0,"",samples!#REF!)</f>
        <v>#REF!</v>
      </c>
      <c r="F304">
        <f>IFERROR(SEARCH(search!$B$6,samples!#REF!,1),0)</f>
        <v>0</v>
      </c>
      <c r="G304" t="e">
        <f>IF(samples!#REF!=0,"",samples!#REF!)</f>
        <v>#REF!</v>
      </c>
      <c r="H304">
        <f>IFERROR(SEARCH(search!$B$6,samples!#REF!,1),0)</f>
        <v>0</v>
      </c>
      <c r="I304" t="e">
        <f>IF(samples!#REF!=0,"",samples!#REF!)</f>
        <v>#REF!</v>
      </c>
      <c r="J304">
        <f>IFERROR(SEARCH(search!$B$6,samples!#REF!,1),0)</f>
        <v>0</v>
      </c>
      <c r="K304" t="e">
        <f>IF(samples!#REF!=0,"",samples!#REF!)</f>
        <v>#REF!</v>
      </c>
      <c r="L304">
        <f>IFERROR(SEARCH(search!$B$6,samples!#REF!,1),0)</f>
        <v>0</v>
      </c>
      <c r="M304" t="e">
        <f>IF(samples!#REF!=0,"",samples!#REF!)</f>
        <v>#REF!</v>
      </c>
      <c r="N304">
        <f>IFERROR(SEARCH(search!$B$6,samples!#REF!,1),0)</f>
        <v>0</v>
      </c>
      <c r="O304" t="e">
        <f>IF(samples!#REF!=0,"",samples!#REF!)</f>
        <v>#REF!</v>
      </c>
      <c r="P304">
        <f>IFERROR(SEARCH(search!$B$6,samples!#REF!,1),0)</f>
        <v>0</v>
      </c>
      <c r="Q304" t="e">
        <f>IF(samples!#REF!=0,"",samples!#REF!)</f>
        <v>#REF!</v>
      </c>
      <c r="R304">
        <f>IFERROR(SEARCH(search!$B$6,samples!#REF!,1),0)</f>
        <v>0</v>
      </c>
      <c r="S304" t="e">
        <f>IF(samples!#REF!=0,"",samples!#REF!)</f>
        <v>#REF!</v>
      </c>
      <c r="T304">
        <f>IFERROR(SEARCH(search!$B$6,samples!#REF!,1),0)</f>
        <v>0</v>
      </c>
      <c r="U304" t="e">
        <f>IF(samples!#REF!=0,"",samples!#REF!)</f>
        <v>#REF!</v>
      </c>
      <c r="V304">
        <f>IFERROR(SEARCH(search!$B$6,samples!#REF!,1),0)</f>
        <v>0</v>
      </c>
      <c r="W304" t="e">
        <f>IF(samples!#REF!=0,"",samples!#REF!)</f>
        <v>#REF!</v>
      </c>
      <c r="X304">
        <f>IFERROR(SEARCH(search!$B$6,samples!#REF!,1),0)</f>
        <v>0</v>
      </c>
      <c r="Y304" t="e">
        <f>IF(samples!#REF!=0,"",samples!#REF!)</f>
        <v>#REF!</v>
      </c>
      <c r="Z304">
        <f>IFERROR(SEARCH(search!$B$6,samples!#REF!,1),0)</f>
        <v>0</v>
      </c>
      <c r="AA304" t="e">
        <f>IF(samples!#REF!=0,"",samples!#REF!)</f>
        <v>#REF!</v>
      </c>
      <c r="AB304">
        <f>IFERROR(SEARCH(search!$B$6,samples!#REF!,1),0)</f>
        <v>0</v>
      </c>
      <c r="AC304" t="e">
        <f>IF(samples!#REF!=0,"",samples!#REF!)</f>
        <v>#REF!</v>
      </c>
      <c r="AD304">
        <f>IFERROR(SEARCH(search!$B$6,samples!#REF!,1),0)</f>
        <v>0</v>
      </c>
    </row>
    <row r="305" spans="1:30">
      <c r="A305">
        <f t="shared" si="4"/>
        <v>0</v>
      </c>
      <c r="B305">
        <f>IF(SUM(D305,F305,H305,J305,L305,N305,P305,R305,T305,V305,X305,Z305,AB305,AD305)&gt;0,SUM($A$2:A305),0)</f>
        <v>0</v>
      </c>
      <c r="C305" t="e">
        <f>samples!#REF!</f>
        <v>#REF!</v>
      </c>
      <c r="D305">
        <f>IFERROR(SEARCH(search!$B$6,samples!#REF!,1),0)</f>
        <v>0</v>
      </c>
      <c r="E305" t="e">
        <f>IF(samples!#REF!=0,"",samples!#REF!)</f>
        <v>#REF!</v>
      </c>
      <c r="F305">
        <f>IFERROR(SEARCH(search!$B$6,samples!#REF!,1),0)</f>
        <v>0</v>
      </c>
      <c r="G305" t="e">
        <f>IF(samples!#REF!=0,"",samples!#REF!)</f>
        <v>#REF!</v>
      </c>
      <c r="H305">
        <f>IFERROR(SEARCH(search!$B$6,samples!#REF!,1),0)</f>
        <v>0</v>
      </c>
      <c r="I305" t="e">
        <f>IF(samples!#REF!=0,"",samples!#REF!)</f>
        <v>#REF!</v>
      </c>
      <c r="J305">
        <f>IFERROR(SEARCH(search!$B$6,samples!#REF!,1),0)</f>
        <v>0</v>
      </c>
      <c r="K305" t="e">
        <f>IF(samples!#REF!=0,"",samples!#REF!)</f>
        <v>#REF!</v>
      </c>
      <c r="L305">
        <f>IFERROR(SEARCH(search!$B$6,samples!#REF!,1),0)</f>
        <v>0</v>
      </c>
      <c r="M305" t="e">
        <f>IF(samples!#REF!=0,"",samples!#REF!)</f>
        <v>#REF!</v>
      </c>
      <c r="N305">
        <f>IFERROR(SEARCH(search!$B$6,samples!#REF!,1),0)</f>
        <v>0</v>
      </c>
      <c r="O305" t="e">
        <f>IF(samples!#REF!=0,"",samples!#REF!)</f>
        <v>#REF!</v>
      </c>
      <c r="P305">
        <f>IFERROR(SEARCH(search!$B$6,samples!#REF!,1),0)</f>
        <v>0</v>
      </c>
      <c r="Q305" t="e">
        <f>IF(samples!#REF!=0,"",samples!#REF!)</f>
        <v>#REF!</v>
      </c>
      <c r="R305">
        <f>IFERROR(SEARCH(search!$B$6,samples!#REF!,1),0)</f>
        <v>0</v>
      </c>
      <c r="S305" t="e">
        <f>IF(samples!#REF!=0,"",samples!#REF!)</f>
        <v>#REF!</v>
      </c>
      <c r="T305">
        <f>IFERROR(SEARCH(search!$B$6,samples!#REF!,1),0)</f>
        <v>0</v>
      </c>
      <c r="U305" t="e">
        <f>IF(samples!#REF!=0,"",samples!#REF!)</f>
        <v>#REF!</v>
      </c>
      <c r="V305">
        <f>IFERROR(SEARCH(search!$B$6,samples!#REF!,1),0)</f>
        <v>0</v>
      </c>
      <c r="W305" t="e">
        <f>IF(samples!#REF!=0,"",samples!#REF!)</f>
        <v>#REF!</v>
      </c>
      <c r="X305">
        <f>IFERROR(SEARCH(search!$B$6,samples!#REF!,1),0)</f>
        <v>0</v>
      </c>
      <c r="Y305" t="e">
        <f>IF(samples!#REF!=0,"",samples!#REF!)</f>
        <v>#REF!</v>
      </c>
      <c r="Z305">
        <f>IFERROR(SEARCH(search!$B$6,samples!#REF!,1),0)</f>
        <v>0</v>
      </c>
      <c r="AA305" t="e">
        <f>IF(samples!#REF!=0,"",samples!#REF!)</f>
        <v>#REF!</v>
      </c>
      <c r="AB305">
        <f>IFERROR(SEARCH(search!$B$6,samples!#REF!,1),0)</f>
        <v>0</v>
      </c>
      <c r="AC305" t="e">
        <f>IF(samples!#REF!=0,"",samples!#REF!)</f>
        <v>#REF!</v>
      </c>
      <c r="AD305">
        <f>IFERROR(SEARCH(search!$B$6,samples!#REF!,1),0)</f>
        <v>0</v>
      </c>
    </row>
    <row r="306" spans="1:30">
      <c r="A306">
        <f t="shared" si="4"/>
        <v>0</v>
      </c>
      <c r="B306">
        <f>IF(SUM(D306,F306,H306,J306,L306,N306,P306,R306,T306,V306,X306,Z306,AB306,AD306)&gt;0,SUM($A$2:A306),0)</f>
        <v>0</v>
      </c>
      <c r="C306" t="e">
        <f>samples!#REF!</f>
        <v>#REF!</v>
      </c>
      <c r="D306">
        <f>IFERROR(SEARCH(search!$B$6,samples!#REF!,1),0)</f>
        <v>0</v>
      </c>
      <c r="E306" t="e">
        <f>IF(samples!#REF!=0,"",samples!#REF!)</f>
        <v>#REF!</v>
      </c>
      <c r="F306">
        <f>IFERROR(SEARCH(search!$B$6,samples!#REF!,1),0)</f>
        <v>0</v>
      </c>
      <c r="G306" t="e">
        <f>IF(samples!#REF!=0,"",samples!#REF!)</f>
        <v>#REF!</v>
      </c>
      <c r="H306">
        <f>IFERROR(SEARCH(search!$B$6,samples!#REF!,1),0)</f>
        <v>0</v>
      </c>
      <c r="I306" t="e">
        <f>IF(samples!#REF!=0,"",samples!#REF!)</f>
        <v>#REF!</v>
      </c>
      <c r="J306">
        <f>IFERROR(SEARCH(search!$B$6,samples!#REF!,1),0)</f>
        <v>0</v>
      </c>
      <c r="K306" t="e">
        <f>IF(samples!#REF!=0,"",samples!#REF!)</f>
        <v>#REF!</v>
      </c>
      <c r="L306">
        <f>IFERROR(SEARCH(search!$B$6,samples!#REF!,1),0)</f>
        <v>0</v>
      </c>
      <c r="M306" t="e">
        <f>IF(samples!#REF!=0,"",samples!#REF!)</f>
        <v>#REF!</v>
      </c>
      <c r="N306">
        <f>IFERROR(SEARCH(search!$B$6,samples!#REF!,1),0)</f>
        <v>0</v>
      </c>
      <c r="O306" t="e">
        <f>IF(samples!#REF!=0,"",samples!#REF!)</f>
        <v>#REF!</v>
      </c>
      <c r="P306">
        <f>IFERROR(SEARCH(search!$B$6,samples!#REF!,1),0)</f>
        <v>0</v>
      </c>
      <c r="Q306" t="e">
        <f>IF(samples!#REF!=0,"",samples!#REF!)</f>
        <v>#REF!</v>
      </c>
      <c r="R306">
        <f>IFERROR(SEARCH(search!$B$6,samples!#REF!,1),0)</f>
        <v>0</v>
      </c>
      <c r="S306" t="e">
        <f>IF(samples!#REF!=0,"",samples!#REF!)</f>
        <v>#REF!</v>
      </c>
      <c r="T306">
        <f>IFERROR(SEARCH(search!$B$6,samples!#REF!,1),0)</f>
        <v>0</v>
      </c>
      <c r="U306" t="e">
        <f>IF(samples!#REF!=0,"",samples!#REF!)</f>
        <v>#REF!</v>
      </c>
      <c r="V306">
        <f>IFERROR(SEARCH(search!$B$6,samples!#REF!,1),0)</f>
        <v>0</v>
      </c>
      <c r="W306" t="e">
        <f>IF(samples!#REF!=0,"",samples!#REF!)</f>
        <v>#REF!</v>
      </c>
      <c r="X306">
        <f>IFERROR(SEARCH(search!$B$6,samples!#REF!,1),0)</f>
        <v>0</v>
      </c>
      <c r="Y306" t="e">
        <f>IF(samples!#REF!=0,"",samples!#REF!)</f>
        <v>#REF!</v>
      </c>
      <c r="Z306">
        <f>IFERROR(SEARCH(search!$B$6,samples!#REF!,1),0)</f>
        <v>0</v>
      </c>
      <c r="AA306" t="e">
        <f>IF(samples!#REF!=0,"",samples!#REF!)</f>
        <v>#REF!</v>
      </c>
      <c r="AB306">
        <f>IFERROR(SEARCH(search!$B$6,samples!#REF!,1),0)</f>
        <v>0</v>
      </c>
      <c r="AC306" t="e">
        <f>IF(samples!#REF!=0,"",samples!#REF!)</f>
        <v>#REF!</v>
      </c>
      <c r="AD306">
        <f>IFERROR(SEARCH(search!$B$6,samples!#REF!,1),0)</f>
        <v>0</v>
      </c>
    </row>
    <row r="307" spans="1:30">
      <c r="A307">
        <f t="shared" si="4"/>
        <v>0</v>
      </c>
      <c r="B307">
        <f>IF(SUM(D307,F307,H307,J307,L307,N307,P307,R307,T307,V307,X307,Z307,AB307,AD307)&gt;0,SUM($A$2:A307),0)</f>
        <v>0</v>
      </c>
      <c r="C307" t="e">
        <f>samples!#REF!</f>
        <v>#REF!</v>
      </c>
      <c r="D307">
        <f>IFERROR(SEARCH(search!$B$6,samples!#REF!,1),0)</f>
        <v>0</v>
      </c>
      <c r="E307" t="e">
        <f>IF(samples!#REF!=0,"",samples!#REF!)</f>
        <v>#REF!</v>
      </c>
      <c r="F307">
        <f>IFERROR(SEARCH(search!$B$6,samples!#REF!,1),0)</f>
        <v>0</v>
      </c>
      <c r="G307" t="e">
        <f>IF(samples!#REF!=0,"",samples!#REF!)</f>
        <v>#REF!</v>
      </c>
      <c r="H307">
        <f>IFERROR(SEARCH(search!$B$6,samples!#REF!,1),0)</f>
        <v>0</v>
      </c>
      <c r="I307" t="e">
        <f>IF(samples!#REF!=0,"",samples!#REF!)</f>
        <v>#REF!</v>
      </c>
      <c r="J307">
        <f>IFERROR(SEARCH(search!$B$6,samples!#REF!,1),0)</f>
        <v>0</v>
      </c>
      <c r="K307" t="e">
        <f>IF(samples!#REF!=0,"",samples!#REF!)</f>
        <v>#REF!</v>
      </c>
      <c r="L307">
        <f>IFERROR(SEARCH(search!$B$6,samples!#REF!,1),0)</f>
        <v>0</v>
      </c>
      <c r="M307" t="e">
        <f>IF(samples!#REF!=0,"",samples!#REF!)</f>
        <v>#REF!</v>
      </c>
      <c r="N307">
        <f>IFERROR(SEARCH(search!$B$6,samples!#REF!,1),0)</f>
        <v>0</v>
      </c>
      <c r="O307" t="e">
        <f>IF(samples!#REF!=0,"",samples!#REF!)</f>
        <v>#REF!</v>
      </c>
      <c r="P307">
        <f>IFERROR(SEARCH(search!$B$6,samples!#REF!,1),0)</f>
        <v>0</v>
      </c>
      <c r="Q307" t="e">
        <f>IF(samples!#REF!=0,"",samples!#REF!)</f>
        <v>#REF!</v>
      </c>
      <c r="R307">
        <f>IFERROR(SEARCH(search!$B$6,samples!#REF!,1),0)</f>
        <v>0</v>
      </c>
      <c r="S307" t="e">
        <f>IF(samples!#REF!=0,"",samples!#REF!)</f>
        <v>#REF!</v>
      </c>
      <c r="T307">
        <f>IFERROR(SEARCH(search!$B$6,samples!#REF!,1),0)</f>
        <v>0</v>
      </c>
      <c r="U307" t="e">
        <f>IF(samples!#REF!=0,"",samples!#REF!)</f>
        <v>#REF!</v>
      </c>
      <c r="V307">
        <f>IFERROR(SEARCH(search!$B$6,samples!#REF!,1),0)</f>
        <v>0</v>
      </c>
      <c r="W307" t="e">
        <f>IF(samples!#REF!=0,"",samples!#REF!)</f>
        <v>#REF!</v>
      </c>
      <c r="X307">
        <f>IFERROR(SEARCH(search!$B$6,samples!#REF!,1),0)</f>
        <v>0</v>
      </c>
      <c r="Y307" t="e">
        <f>IF(samples!#REF!=0,"",samples!#REF!)</f>
        <v>#REF!</v>
      </c>
      <c r="Z307">
        <f>IFERROR(SEARCH(search!$B$6,samples!#REF!,1),0)</f>
        <v>0</v>
      </c>
      <c r="AA307" t="e">
        <f>IF(samples!#REF!=0,"",samples!#REF!)</f>
        <v>#REF!</v>
      </c>
      <c r="AB307">
        <f>IFERROR(SEARCH(search!$B$6,samples!#REF!,1),0)</f>
        <v>0</v>
      </c>
      <c r="AC307" t="e">
        <f>IF(samples!#REF!=0,"",samples!#REF!)</f>
        <v>#REF!</v>
      </c>
      <c r="AD307">
        <f>IFERROR(SEARCH(search!$B$6,samples!#REF!,1),0)</f>
        <v>0</v>
      </c>
    </row>
    <row r="308" spans="1:30">
      <c r="A308">
        <f t="shared" si="4"/>
        <v>0</v>
      </c>
      <c r="B308">
        <f>IF(SUM(D308,F308,H308,J308,L308,N308,P308,R308,T308,V308,X308,Z308,AB308,AD308)&gt;0,SUM($A$2:A308),0)</f>
        <v>0</v>
      </c>
      <c r="C308" t="e">
        <f>samples!#REF!</f>
        <v>#REF!</v>
      </c>
      <c r="D308">
        <f>IFERROR(SEARCH(search!$B$6,samples!#REF!,1),0)</f>
        <v>0</v>
      </c>
      <c r="E308" t="e">
        <f>IF(samples!#REF!=0,"",samples!#REF!)</f>
        <v>#REF!</v>
      </c>
      <c r="F308">
        <f>IFERROR(SEARCH(search!$B$6,samples!#REF!,1),0)</f>
        <v>0</v>
      </c>
      <c r="G308" t="e">
        <f>IF(samples!#REF!=0,"",samples!#REF!)</f>
        <v>#REF!</v>
      </c>
      <c r="H308">
        <f>IFERROR(SEARCH(search!$B$6,samples!#REF!,1),0)</f>
        <v>0</v>
      </c>
      <c r="I308" t="e">
        <f>IF(samples!#REF!=0,"",samples!#REF!)</f>
        <v>#REF!</v>
      </c>
      <c r="J308">
        <f>IFERROR(SEARCH(search!$B$6,samples!#REF!,1),0)</f>
        <v>0</v>
      </c>
      <c r="K308" t="e">
        <f>IF(samples!#REF!=0,"",samples!#REF!)</f>
        <v>#REF!</v>
      </c>
      <c r="L308">
        <f>IFERROR(SEARCH(search!$B$6,samples!#REF!,1),0)</f>
        <v>0</v>
      </c>
      <c r="M308" t="e">
        <f>IF(samples!#REF!=0,"",samples!#REF!)</f>
        <v>#REF!</v>
      </c>
      <c r="N308">
        <f>IFERROR(SEARCH(search!$B$6,samples!#REF!,1),0)</f>
        <v>0</v>
      </c>
      <c r="O308" t="e">
        <f>IF(samples!#REF!=0,"",samples!#REF!)</f>
        <v>#REF!</v>
      </c>
      <c r="P308">
        <f>IFERROR(SEARCH(search!$B$6,samples!#REF!,1),0)</f>
        <v>0</v>
      </c>
      <c r="Q308" t="e">
        <f>IF(samples!#REF!=0,"",samples!#REF!)</f>
        <v>#REF!</v>
      </c>
      <c r="R308">
        <f>IFERROR(SEARCH(search!$B$6,samples!#REF!,1),0)</f>
        <v>0</v>
      </c>
      <c r="S308" t="e">
        <f>IF(samples!#REF!=0,"",samples!#REF!)</f>
        <v>#REF!</v>
      </c>
      <c r="T308">
        <f>IFERROR(SEARCH(search!$B$6,samples!#REF!,1),0)</f>
        <v>0</v>
      </c>
      <c r="U308" t="e">
        <f>IF(samples!#REF!=0,"",samples!#REF!)</f>
        <v>#REF!</v>
      </c>
      <c r="V308">
        <f>IFERROR(SEARCH(search!$B$6,samples!#REF!,1),0)</f>
        <v>0</v>
      </c>
      <c r="W308" t="e">
        <f>IF(samples!#REF!=0,"",samples!#REF!)</f>
        <v>#REF!</v>
      </c>
      <c r="X308">
        <f>IFERROR(SEARCH(search!$B$6,samples!#REF!,1),0)</f>
        <v>0</v>
      </c>
      <c r="Y308" t="e">
        <f>IF(samples!#REF!=0,"",samples!#REF!)</f>
        <v>#REF!</v>
      </c>
      <c r="Z308">
        <f>IFERROR(SEARCH(search!$B$6,samples!#REF!,1),0)</f>
        <v>0</v>
      </c>
      <c r="AA308" t="e">
        <f>IF(samples!#REF!=0,"",samples!#REF!)</f>
        <v>#REF!</v>
      </c>
      <c r="AB308">
        <f>IFERROR(SEARCH(search!$B$6,samples!#REF!,1),0)</f>
        <v>0</v>
      </c>
      <c r="AC308" t="e">
        <f>IF(samples!#REF!=0,"",samples!#REF!)</f>
        <v>#REF!</v>
      </c>
      <c r="AD308">
        <f>IFERROR(SEARCH(search!$B$6,samples!#REF!,1),0)</f>
        <v>0</v>
      </c>
    </row>
    <row r="309" spans="1:30">
      <c r="A309">
        <f t="shared" si="4"/>
        <v>0</v>
      </c>
      <c r="B309">
        <f>IF(SUM(D309,F309,H309,J309,L309,N309,P309,R309,T309,V309,X309,Z309,AB309,AD309)&gt;0,SUM($A$2:A309),0)</f>
        <v>0</v>
      </c>
      <c r="C309" t="e">
        <f>samples!#REF!</f>
        <v>#REF!</v>
      </c>
      <c r="D309">
        <f>IFERROR(SEARCH(search!$B$6,samples!#REF!,1),0)</f>
        <v>0</v>
      </c>
      <c r="E309" t="e">
        <f>IF(samples!#REF!=0,"",samples!#REF!)</f>
        <v>#REF!</v>
      </c>
      <c r="F309">
        <f>IFERROR(SEARCH(search!$B$6,samples!#REF!,1),0)</f>
        <v>0</v>
      </c>
      <c r="G309" t="e">
        <f>IF(samples!#REF!=0,"",samples!#REF!)</f>
        <v>#REF!</v>
      </c>
      <c r="H309">
        <f>IFERROR(SEARCH(search!$B$6,samples!#REF!,1),0)</f>
        <v>0</v>
      </c>
      <c r="I309" t="e">
        <f>IF(samples!#REF!=0,"",samples!#REF!)</f>
        <v>#REF!</v>
      </c>
      <c r="J309">
        <f>IFERROR(SEARCH(search!$B$6,samples!#REF!,1),0)</f>
        <v>0</v>
      </c>
      <c r="K309" t="e">
        <f>IF(samples!#REF!=0,"",samples!#REF!)</f>
        <v>#REF!</v>
      </c>
      <c r="L309">
        <f>IFERROR(SEARCH(search!$B$6,samples!#REF!,1),0)</f>
        <v>0</v>
      </c>
      <c r="M309" t="e">
        <f>IF(samples!#REF!=0,"",samples!#REF!)</f>
        <v>#REF!</v>
      </c>
      <c r="N309">
        <f>IFERROR(SEARCH(search!$B$6,samples!#REF!,1),0)</f>
        <v>0</v>
      </c>
      <c r="O309" t="e">
        <f>IF(samples!#REF!=0,"",samples!#REF!)</f>
        <v>#REF!</v>
      </c>
      <c r="P309">
        <f>IFERROR(SEARCH(search!$B$6,samples!#REF!,1),0)</f>
        <v>0</v>
      </c>
      <c r="Q309" t="e">
        <f>IF(samples!#REF!=0,"",samples!#REF!)</f>
        <v>#REF!</v>
      </c>
      <c r="R309">
        <f>IFERROR(SEARCH(search!$B$6,samples!#REF!,1),0)</f>
        <v>0</v>
      </c>
      <c r="S309" t="e">
        <f>IF(samples!#REF!=0,"",samples!#REF!)</f>
        <v>#REF!</v>
      </c>
      <c r="T309">
        <f>IFERROR(SEARCH(search!$B$6,samples!#REF!,1),0)</f>
        <v>0</v>
      </c>
      <c r="U309" t="e">
        <f>IF(samples!#REF!=0,"",samples!#REF!)</f>
        <v>#REF!</v>
      </c>
      <c r="V309">
        <f>IFERROR(SEARCH(search!$B$6,samples!#REF!,1),0)</f>
        <v>0</v>
      </c>
      <c r="W309" t="e">
        <f>IF(samples!#REF!=0,"",samples!#REF!)</f>
        <v>#REF!</v>
      </c>
      <c r="X309">
        <f>IFERROR(SEARCH(search!$B$6,samples!#REF!,1),0)</f>
        <v>0</v>
      </c>
      <c r="Y309" t="e">
        <f>IF(samples!#REF!=0,"",samples!#REF!)</f>
        <v>#REF!</v>
      </c>
      <c r="Z309">
        <f>IFERROR(SEARCH(search!$B$6,samples!#REF!,1),0)</f>
        <v>0</v>
      </c>
      <c r="AA309" t="e">
        <f>IF(samples!#REF!=0,"",samples!#REF!)</f>
        <v>#REF!</v>
      </c>
      <c r="AB309">
        <f>IFERROR(SEARCH(search!$B$6,samples!#REF!,1),0)</f>
        <v>0</v>
      </c>
      <c r="AC309" t="e">
        <f>IF(samples!#REF!=0,"",samples!#REF!)</f>
        <v>#REF!</v>
      </c>
      <c r="AD309">
        <f>IFERROR(SEARCH(search!$B$6,samples!#REF!,1),0)</f>
        <v>0</v>
      </c>
    </row>
    <row r="310" spans="1:30">
      <c r="A310">
        <f t="shared" si="4"/>
        <v>0</v>
      </c>
      <c r="B310">
        <f>IF(SUM(D310,F310,H310,J310,L310,N310,P310,R310,T310,V310,X310,Z310,AB310,AD310)&gt;0,SUM($A$2:A310),0)</f>
        <v>0</v>
      </c>
      <c r="C310" t="e">
        <f>samples!#REF!</f>
        <v>#REF!</v>
      </c>
      <c r="D310">
        <f>IFERROR(SEARCH(search!$B$6,samples!#REF!,1),0)</f>
        <v>0</v>
      </c>
      <c r="E310" t="e">
        <f>IF(samples!#REF!=0,"",samples!#REF!)</f>
        <v>#REF!</v>
      </c>
      <c r="F310">
        <f>IFERROR(SEARCH(search!$B$6,samples!#REF!,1),0)</f>
        <v>0</v>
      </c>
      <c r="G310" t="e">
        <f>IF(samples!#REF!=0,"",samples!#REF!)</f>
        <v>#REF!</v>
      </c>
      <c r="H310">
        <f>IFERROR(SEARCH(search!$B$6,samples!#REF!,1),0)</f>
        <v>0</v>
      </c>
      <c r="I310" t="e">
        <f>IF(samples!#REF!=0,"",samples!#REF!)</f>
        <v>#REF!</v>
      </c>
      <c r="J310">
        <f>IFERROR(SEARCH(search!$B$6,samples!#REF!,1),0)</f>
        <v>0</v>
      </c>
      <c r="K310" t="e">
        <f>IF(samples!#REF!=0,"",samples!#REF!)</f>
        <v>#REF!</v>
      </c>
      <c r="L310">
        <f>IFERROR(SEARCH(search!$B$6,samples!#REF!,1),0)</f>
        <v>0</v>
      </c>
      <c r="M310" t="e">
        <f>IF(samples!#REF!=0,"",samples!#REF!)</f>
        <v>#REF!</v>
      </c>
      <c r="N310">
        <f>IFERROR(SEARCH(search!$B$6,samples!#REF!,1),0)</f>
        <v>0</v>
      </c>
      <c r="O310" t="e">
        <f>IF(samples!#REF!=0,"",samples!#REF!)</f>
        <v>#REF!</v>
      </c>
      <c r="P310">
        <f>IFERROR(SEARCH(search!$B$6,samples!#REF!,1),0)</f>
        <v>0</v>
      </c>
      <c r="Q310" t="e">
        <f>IF(samples!#REF!=0,"",samples!#REF!)</f>
        <v>#REF!</v>
      </c>
      <c r="R310">
        <f>IFERROR(SEARCH(search!$B$6,samples!#REF!,1),0)</f>
        <v>0</v>
      </c>
      <c r="S310" t="e">
        <f>IF(samples!#REF!=0,"",samples!#REF!)</f>
        <v>#REF!</v>
      </c>
      <c r="T310">
        <f>IFERROR(SEARCH(search!$B$6,samples!#REF!,1),0)</f>
        <v>0</v>
      </c>
      <c r="U310" t="e">
        <f>IF(samples!#REF!=0,"",samples!#REF!)</f>
        <v>#REF!</v>
      </c>
      <c r="V310">
        <f>IFERROR(SEARCH(search!$B$6,samples!#REF!,1),0)</f>
        <v>0</v>
      </c>
      <c r="W310" t="e">
        <f>IF(samples!#REF!=0,"",samples!#REF!)</f>
        <v>#REF!</v>
      </c>
      <c r="X310">
        <f>IFERROR(SEARCH(search!$B$6,samples!#REF!,1),0)</f>
        <v>0</v>
      </c>
      <c r="Y310" t="e">
        <f>IF(samples!#REF!=0,"",samples!#REF!)</f>
        <v>#REF!</v>
      </c>
      <c r="Z310">
        <f>IFERROR(SEARCH(search!$B$6,samples!#REF!,1),0)</f>
        <v>0</v>
      </c>
      <c r="AA310" t="e">
        <f>IF(samples!#REF!=0,"",samples!#REF!)</f>
        <v>#REF!</v>
      </c>
      <c r="AB310">
        <f>IFERROR(SEARCH(search!$B$6,samples!#REF!,1),0)</f>
        <v>0</v>
      </c>
      <c r="AC310" t="e">
        <f>IF(samples!#REF!=0,"",samples!#REF!)</f>
        <v>#REF!</v>
      </c>
      <c r="AD310">
        <f>IFERROR(SEARCH(search!$B$6,samples!#REF!,1),0)</f>
        <v>0</v>
      </c>
    </row>
    <row r="311" spans="1:30">
      <c r="A311">
        <f t="shared" si="4"/>
        <v>0</v>
      </c>
      <c r="B311">
        <f>IF(SUM(D311,F311,H311,J311,L311,N311,P311,R311,T311,V311,X311,Z311,AB311,AD311)&gt;0,SUM($A$2:A311),0)</f>
        <v>0</v>
      </c>
      <c r="C311" t="e">
        <f>samples!#REF!</f>
        <v>#REF!</v>
      </c>
      <c r="D311">
        <f>IFERROR(SEARCH(search!$B$6,samples!#REF!,1),0)</f>
        <v>0</v>
      </c>
      <c r="E311" t="e">
        <f>IF(samples!#REF!=0,"",samples!#REF!)</f>
        <v>#REF!</v>
      </c>
      <c r="F311">
        <f>IFERROR(SEARCH(search!$B$6,samples!#REF!,1),0)</f>
        <v>0</v>
      </c>
      <c r="G311" t="e">
        <f>IF(samples!#REF!=0,"",samples!#REF!)</f>
        <v>#REF!</v>
      </c>
      <c r="H311">
        <f>IFERROR(SEARCH(search!$B$6,samples!#REF!,1),0)</f>
        <v>0</v>
      </c>
      <c r="I311" t="e">
        <f>IF(samples!#REF!=0,"",samples!#REF!)</f>
        <v>#REF!</v>
      </c>
      <c r="J311">
        <f>IFERROR(SEARCH(search!$B$6,samples!#REF!,1),0)</f>
        <v>0</v>
      </c>
      <c r="K311" t="e">
        <f>IF(samples!#REF!=0,"",samples!#REF!)</f>
        <v>#REF!</v>
      </c>
      <c r="L311">
        <f>IFERROR(SEARCH(search!$B$6,samples!#REF!,1),0)</f>
        <v>0</v>
      </c>
      <c r="M311" t="e">
        <f>IF(samples!#REF!=0,"",samples!#REF!)</f>
        <v>#REF!</v>
      </c>
      <c r="N311">
        <f>IFERROR(SEARCH(search!$B$6,samples!#REF!,1),0)</f>
        <v>0</v>
      </c>
      <c r="O311" t="e">
        <f>IF(samples!#REF!=0,"",samples!#REF!)</f>
        <v>#REF!</v>
      </c>
      <c r="P311">
        <f>IFERROR(SEARCH(search!$B$6,samples!#REF!,1),0)</f>
        <v>0</v>
      </c>
      <c r="Q311" t="e">
        <f>IF(samples!#REF!=0,"",samples!#REF!)</f>
        <v>#REF!</v>
      </c>
      <c r="R311">
        <f>IFERROR(SEARCH(search!$B$6,samples!#REF!,1),0)</f>
        <v>0</v>
      </c>
      <c r="S311" t="e">
        <f>IF(samples!#REF!=0,"",samples!#REF!)</f>
        <v>#REF!</v>
      </c>
      <c r="T311">
        <f>IFERROR(SEARCH(search!$B$6,samples!#REF!,1),0)</f>
        <v>0</v>
      </c>
      <c r="U311" t="e">
        <f>IF(samples!#REF!=0,"",samples!#REF!)</f>
        <v>#REF!</v>
      </c>
      <c r="V311">
        <f>IFERROR(SEARCH(search!$B$6,samples!#REF!,1),0)</f>
        <v>0</v>
      </c>
      <c r="W311" t="e">
        <f>IF(samples!#REF!=0,"",samples!#REF!)</f>
        <v>#REF!</v>
      </c>
      <c r="X311">
        <f>IFERROR(SEARCH(search!$B$6,samples!#REF!,1),0)</f>
        <v>0</v>
      </c>
      <c r="Y311" t="e">
        <f>IF(samples!#REF!=0,"",samples!#REF!)</f>
        <v>#REF!</v>
      </c>
      <c r="Z311">
        <f>IFERROR(SEARCH(search!$B$6,samples!#REF!,1),0)</f>
        <v>0</v>
      </c>
      <c r="AA311" t="e">
        <f>IF(samples!#REF!=0,"",samples!#REF!)</f>
        <v>#REF!</v>
      </c>
      <c r="AB311">
        <f>IFERROR(SEARCH(search!$B$6,samples!#REF!,1),0)</f>
        <v>0</v>
      </c>
      <c r="AC311" t="e">
        <f>IF(samples!#REF!=0,"",samples!#REF!)</f>
        <v>#REF!</v>
      </c>
      <c r="AD311">
        <f>IFERROR(SEARCH(search!$B$6,samples!#REF!,1),0)</f>
        <v>0</v>
      </c>
    </row>
    <row r="312" spans="1:30">
      <c r="A312">
        <f t="shared" si="4"/>
        <v>0</v>
      </c>
      <c r="B312">
        <f>IF(SUM(D312,F312,H312,J312,L312,N312,P312,R312,T312,V312,X312,Z312,AB312,AD312)&gt;0,SUM($A$2:A312),0)</f>
        <v>0</v>
      </c>
      <c r="C312" t="e">
        <f>samples!#REF!</f>
        <v>#REF!</v>
      </c>
      <c r="D312">
        <f>IFERROR(SEARCH(search!$B$6,samples!#REF!,1),0)</f>
        <v>0</v>
      </c>
      <c r="E312" t="e">
        <f>IF(samples!#REF!=0,"",samples!#REF!)</f>
        <v>#REF!</v>
      </c>
      <c r="F312">
        <f>IFERROR(SEARCH(search!$B$6,samples!#REF!,1),0)</f>
        <v>0</v>
      </c>
      <c r="G312" t="e">
        <f>IF(samples!#REF!=0,"",samples!#REF!)</f>
        <v>#REF!</v>
      </c>
      <c r="H312">
        <f>IFERROR(SEARCH(search!$B$6,samples!#REF!,1),0)</f>
        <v>0</v>
      </c>
      <c r="I312" t="e">
        <f>IF(samples!#REF!=0,"",samples!#REF!)</f>
        <v>#REF!</v>
      </c>
      <c r="J312">
        <f>IFERROR(SEARCH(search!$B$6,samples!#REF!,1),0)</f>
        <v>0</v>
      </c>
      <c r="K312" t="e">
        <f>IF(samples!#REF!=0,"",samples!#REF!)</f>
        <v>#REF!</v>
      </c>
      <c r="L312">
        <f>IFERROR(SEARCH(search!$B$6,samples!#REF!,1),0)</f>
        <v>0</v>
      </c>
      <c r="M312" t="e">
        <f>IF(samples!#REF!=0,"",samples!#REF!)</f>
        <v>#REF!</v>
      </c>
      <c r="N312">
        <f>IFERROR(SEARCH(search!$B$6,samples!#REF!,1),0)</f>
        <v>0</v>
      </c>
      <c r="O312" t="e">
        <f>IF(samples!#REF!=0,"",samples!#REF!)</f>
        <v>#REF!</v>
      </c>
      <c r="P312">
        <f>IFERROR(SEARCH(search!$B$6,samples!#REF!,1),0)</f>
        <v>0</v>
      </c>
      <c r="Q312" t="e">
        <f>IF(samples!#REF!=0,"",samples!#REF!)</f>
        <v>#REF!</v>
      </c>
      <c r="R312">
        <f>IFERROR(SEARCH(search!$B$6,samples!#REF!,1),0)</f>
        <v>0</v>
      </c>
      <c r="S312" t="e">
        <f>IF(samples!#REF!=0,"",samples!#REF!)</f>
        <v>#REF!</v>
      </c>
      <c r="T312">
        <f>IFERROR(SEARCH(search!$B$6,samples!#REF!,1),0)</f>
        <v>0</v>
      </c>
      <c r="U312" t="e">
        <f>IF(samples!#REF!=0,"",samples!#REF!)</f>
        <v>#REF!</v>
      </c>
      <c r="V312">
        <f>IFERROR(SEARCH(search!$B$6,samples!#REF!,1),0)</f>
        <v>0</v>
      </c>
      <c r="W312" t="e">
        <f>IF(samples!#REF!=0,"",samples!#REF!)</f>
        <v>#REF!</v>
      </c>
      <c r="X312">
        <f>IFERROR(SEARCH(search!$B$6,samples!#REF!,1),0)</f>
        <v>0</v>
      </c>
      <c r="Y312" t="e">
        <f>IF(samples!#REF!=0,"",samples!#REF!)</f>
        <v>#REF!</v>
      </c>
      <c r="Z312">
        <f>IFERROR(SEARCH(search!$B$6,samples!#REF!,1),0)</f>
        <v>0</v>
      </c>
      <c r="AA312" t="e">
        <f>IF(samples!#REF!=0,"",samples!#REF!)</f>
        <v>#REF!</v>
      </c>
      <c r="AB312">
        <f>IFERROR(SEARCH(search!$B$6,samples!#REF!,1),0)</f>
        <v>0</v>
      </c>
      <c r="AC312" t="e">
        <f>IF(samples!#REF!=0,"",samples!#REF!)</f>
        <v>#REF!</v>
      </c>
      <c r="AD312">
        <f>IFERROR(SEARCH(search!$B$6,samples!#REF!,1),0)</f>
        <v>0</v>
      </c>
    </row>
    <row r="313" spans="1:30">
      <c r="A313">
        <f t="shared" si="4"/>
        <v>0</v>
      </c>
      <c r="B313">
        <f>IF(SUM(D313,F313,H313,J313,L313,N313,P313,R313,T313,V313,X313,Z313,AB313,AD313)&gt;0,SUM($A$2:A313),0)</f>
        <v>0</v>
      </c>
      <c r="C313" t="e">
        <f>samples!#REF!</f>
        <v>#REF!</v>
      </c>
      <c r="D313">
        <f>IFERROR(SEARCH(search!$B$6,samples!#REF!,1),0)</f>
        <v>0</v>
      </c>
      <c r="E313" t="e">
        <f>IF(samples!#REF!=0,"",samples!#REF!)</f>
        <v>#REF!</v>
      </c>
      <c r="F313">
        <f>IFERROR(SEARCH(search!$B$6,samples!#REF!,1),0)</f>
        <v>0</v>
      </c>
      <c r="G313" t="e">
        <f>IF(samples!#REF!=0,"",samples!#REF!)</f>
        <v>#REF!</v>
      </c>
      <c r="H313">
        <f>IFERROR(SEARCH(search!$B$6,samples!#REF!,1),0)</f>
        <v>0</v>
      </c>
      <c r="I313" t="e">
        <f>IF(samples!#REF!=0,"",samples!#REF!)</f>
        <v>#REF!</v>
      </c>
      <c r="J313">
        <f>IFERROR(SEARCH(search!$B$6,samples!#REF!,1),0)</f>
        <v>0</v>
      </c>
      <c r="K313" t="e">
        <f>IF(samples!#REF!=0,"",samples!#REF!)</f>
        <v>#REF!</v>
      </c>
      <c r="L313">
        <f>IFERROR(SEARCH(search!$B$6,samples!#REF!,1),0)</f>
        <v>0</v>
      </c>
      <c r="M313" t="e">
        <f>IF(samples!#REF!=0,"",samples!#REF!)</f>
        <v>#REF!</v>
      </c>
      <c r="N313">
        <f>IFERROR(SEARCH(search!$B$6,samples!#REF!,1),0)</f>
        <v>0</v>
      </c>
      <c r="O313" t="e">
        <f>IF(samples!#REF!=0,"",samples!#REF!)</f>
        <v>#REF!</v>
      </c>
      <c r="P313">
        <f>IFERROR(SEARCH(search!$B$6,samples!#REF!,1),0)</f>
        <v>0</v>
      </c>
      <c r="Q313" t="e">
        <f>IF(samples!#REF!=0,"",samples!#REF!)</f>
        <v>#REF!</v>
      </c>
      <c r="R313">
        <f>IFERROR(SEARCH(search!$B$6,samples!#REF!,1),0)</f>
        <v>0</v>
      </c>
      <c r="S313" t="e">
        <f>IF(samples!#REF!=0,"",samples!#REF!)</f>
        <v>#REF!</v>
      </c>
      <c r="T313">
        <f>IFERROR(SEARCH(search!$B$6,samples!#REF!,1),0)</f>
        <v>0</v>
      </c>
      <c r="U313" t="e">
        <f>IF(samples!#REF!=0,"",samples!#REF!)</f>
        <v>#REF!</v>
      </c>
      <c r="V313">
        <f>IFERROR(SEARCH(search!$B$6,samples!#REF!,1),0)</f>
        <v>0</v>
      </c>
      <c r="W313" t="e">
        <f>IF(samples!#REF!=0,"",samples!#REF!)</f>
        <v>#REF!</v>
      </c>
      <c r="X313">
        <f>IFERROR(SEARCH(search!$B$6,samples!#REF!,1),0)</f>
        <v>0</v>
      </c>
      <c r="Y313" t="e">
        <f>IF(samples!#REF!=0,"",samples!#REF!)</f>
        <v>#REF!</v>
      </c>
      <c r="Z313">
        <f>IFERROR(SEARCH(search!$B$6,samples!#REF!,1),0)</f>
        <v>0</v>
      </c>
      <c r="AA313" t="e">
        <f>IF(samples!#REF!=0,"",samples!#REF!)</f>
        <v>#REF!</v>
      </c>
      <c r="AB313">
        <f>IFERROR(SEARCH(search!$B$6,samples!#REF!,1),0)</f>
        <v>0</v>
      </c>
      <c r="AC313" t="e">
        <f>IF(samples!#REF!=0,"",samples!#REF!)</f>
        <v>#REF!</v>
      </c>
      <c r="AD313">
        <f>IFERROR(SEARCH(search!$B$6,samples!#REF!,1),0)</f>
        <v>0</v>
      </c>
    </row>
    <row r="314" spans="1:30">
      <c r="A314">
        <f t="shared" si="4"/>
        <v>0</v>
      </c>
      <c r="B314">
        <f>IF(SUM(D314,F314,H314,J314,L314,N314,P314,R314,T314,V314,X314,Z314,AB314,AD314)&gt;0,SUM($A$2:A314),0)</f>
        <v>0</v>
      </c>
      <c r="C314" t="e">
        <f>samples!#REF!</f>
        <v>#REF!</v>
      </c>
      <c r="D314">
        <f>IFERROR(SEARCH(search!$B$6,samples!#REF!,1),0)</f>
        <v>0</v>
      </c>
      <c r="E314" t="e">
        <f>IF(samples!#REF!=0,"",samples!#REF!)</f>
        <v>#REF!</v>
      </c>
      <c r="F314">
        <f>IFERROR(SEARCH(search!$B$6,samples!#REF!,1),0)</f>
        <v>0</v>
      </c>
      <c r="G314" t="e">
        <f>IF(samples!#REF!=0,"",samples!#REF!)</f>
        <v>#REF!</v>
      </c>
      <c r="H314">
        <f>IFERROR(SEARCH(search!$B$6,samples!#REF!,1),0)</f>
        <v>0</v>
      </c>
      <c r="I314" t="e">
        <f>IF(samples!#REF!=0,"",samples!#REF!)</f>
        <v>#REF!</v>
      </c>
      <c r="J314">
        <f>IFERROR(SEARCH(search!$B$6,samples!#REF!,1),0)</f>
        <v>0</v>
      </c>
      <c r="K314" t="e">
        <f>IF(samples!#REF!=0,"",samples!#REF!)</f>
        <v>#REF!</v>
      </c>
      <c r="L314">
        <f>IFERROR(SEARCH(search!$B$6,samples!#REF!,1),0)</f>
        <v>0</v>
      </c>
      <c r="M314" t="e">
        <f>IF(samples!#REF!=0,"",samples!#REF!)</f>
        <v>#REF!</v>
      </c>
      <c r="N314">
        <f>IFERROR(SEARCH(search!$B$6,samples!#REF!,1),0)</f>
        <v>0</v>
      </c>
      <c r="O314" t="e">
        <f>IF(samples!#REF!=0,"",samples!#REF!)</f>
        <v>#REF!</v>
      </c>
      <c r="P314">
        <f>IFERROR(SEARCH(search!$B$6,samples!#REF!,1),0)</f>
        <v>0</v>
      </c>
      <c r="Q314" t="e">
        <f>IF(samples!#REF!=0,"",samples!#REF!)</f>
        <v>#REF!</v>
      </c>
      <c r="R314">
        <f>IFERROR(SEARCH(search!$B$6,samples!#REF!,1),0)</f>
        <v>0</v>
      </c>
      <c r="S314" t="e">
        <f>IF(samples!#REF!=0,"",samples!#REF!)</f>
        <v>#REF!</v>
      </c>
      <c r="T314">
        <f>IFERROR(SEARCH(search!$B$6,samples!#REF!,1),0)</f>
        <v>0</v>
      </c>
      <c r="U314" t="e">
        <f>IF(samples!#REF!=0,"",samples!#REF!)</f>
        <v>#REF!</v>
      </c>
      <c r="V314">
        <f>IFERROR(SEARCH(search!$B$6,samples!#REF!,1),0)</f>
        <v>0</v>
      </c>
      <c r="W314" t="e">
        <f>IF(samples!#REF!=0,"",samples!#REF!)</f>
        <v>#REF!</v>
      </c>
      <c r="X314">
        <f>IFERROR(SEARCH(search!$B$6,samples!#REF!,1),0)</f>
        <v>0</v>
      </c>
      <c r="Y314" t="e">
        <f>IF(samples!#REF!=0,"",samples!#REF!)</f>
        <v>#REF!</v>
      </c>
      <c r="Z314">
        <f>IFERROR(SEARCH(search!$B$6,samples!#REF!,1),0)</f>
        <v>0</v>
      </c>
      <c r="AA314" t="e">
        <f>IF(samples!#REF!=0,"",samples!#REF!)</f>
        <v>#REF!</v>
      </c>
      <c r="AB314">
        <f>IFERROR(SEARCH(search!$B$6,samples!#REF!,1),0)</f>
        <v>0</v>
      </c>
      <c r="AC314" t="e">
        <f>IF(samples!#REF!=0,"",samples!#REF!)</f>
        <v>#REF!</v>
      </c>
      <c r="AD314">
        <f>IFERROR(SEARCH(search!$B$6,samples!#REF!,1),0)</f>
        <v>0</v>
      </c>
    </row>
    <row r="315" spans="1:30">
      <c r="A315">
        <f t="shared" si="4"/>
        <v>0</v>
      </c>
      <c r="B315">
        <f>IF(SUM(D315,F315,H315,J315,L315,N315,P315,R315,T315,V315,X315,Z315,AB315,AD315)&gt;0,SUM($A$2:A315),0)</f>
        <v>0</v>
      </c>
      <c r="C315" t="e">
        <f>samples!#REF!</f>
        <v>#REF!</v>
      </c>
      <c r="D315">
        <f>IFERROR(SEARCH(search!$B$6,samples!#REF!,1),0)</f>
        <v>0</v>
      </c>
      <c r="E315" t="e">
        <f>IF(samples!#REF!=0,"",samples!#REF!)</f>
        <v>#REF!</v>
      </c>
      <c r="F315">
        <f>IFERROR(SEARCH(search!$B$6,samples!#REF!,1),0)</f>
        <v>0</v>
      </c>
      <c r="G315" t="e">
        <f>IF(samples!#REF!=0,"",samples!#REF!)</f>
        <v>#REF!</v>
      </c>
      <c r="H315">
        <f>IFERROR(SEARCH(search!$B$6,samples!#REF!,1),0)</f>
        <v>0</v>
      </c>
      <c r="I315" t="e">
        <f>IF(samples!#REF!=0,"",samples!#REF!)</f>
        <v>#REF!</v>
      </c>
      <c r="J315">
        <f>IFERROR(SEARCH(search!$B$6,samples!#REF!,1),0)</f>
        <v>0</v>
      </c>
      <c r="K315" t="e">
        <f>IF(samples!#REF!=0,"",samples!#REF!)</f>
        <v>#REF!</v>
      </c>
      <c r="L315">
        <f>IFERROR(SEARCH(search!$B$6,samples!#REF!,1),0)</f>
        <v>0</v>
      </c>
      <c r="M315" t="e">
        <f>IF(samples!#REF!=0,"",samples!#REF!)</f>
        <v>#REF!</v>
      </c>
      <c r="N315">
        <f>IFERROR(SEARCH(search!$B$6,samples!#REF!,1),0)</f>
        <v>0</v>
      </c>
      <c r="O315" t="e">
        <f>IF(samples!#REF!=0,"",samples!#REF!)</f>
        <v>#REF!</v>
      </c>
      <c r="P315">
        <f>IFERROR(SEARCH(search!$B$6,samples!#REF!,1),0)</f>
        <v>0</v>
      </c>
      <c r="Q315" t="e">
        <f>IF(samples!#REF!=0,"",samples!#REF!)</f>
        <v>#REF!</v>
      </c>
      <c r="R315">
        <f>IFERROR(SEARCH(search!$B$6,samples!#REF!,1),0)</f>
        <v>0</v>
      </c>
      <c r="S315" t="e">
        <f>IF(samples!#REF!=0,"",samples!#REF!)</f>
        <v>#REF!</v>
      </c>
      <c r="T315">
        <f>IFERROR(SEARCH(search!$B$6,samples!#REF!,1),0)</f>
        <v>0</v>
      </c>
      <c r="U315" t="e">
        <f>IF(samples!#REF!=0,"",samples!#REF!)</f>
        <v>#REF!</v>
      </c>
      <c r="V315">
        <f>IFERROR(SEARCH(search!$B$6,samples!#REF!,1),0)</f>
        <v>0</v>
      </c>
      <c r="W315" t="e">
        <f>IF(samples!#REF!=0,"",samples!#REF!)</f>
        <v>#REF!</v>
      </c>
      <c r="X315">
        <f>IFERROR(SEARCH(search!$B$6,samples!#REF!,1),0)</f>
        <v>0</v>
      </c>
      <c r="Y315" t="e">
        <f>IF(samples!#REF!=0,"",samples!#REF!)</f>
        <v>#REF!</v>
      </c>
      <c r="Z315">
        <f>IFERROR(SEARCH(search!$B$6,samples!#REF!,1),0)</f>
        <v>0</v>
      </c>
      <c r="AA315" t="e">
        <f>IF(samples!#REF!=0,"",samples!#REF!)</f>
        <v>#REF!</v>
      </c>
      <c r="AB315">
        <f>IFERROR(SEARCH(search!$B$6,samples!#REF!,1),0)</f>
        <v>0</v>
      </c>
      <c r="AC315" t="e">
        <f>IF(samples!#REF!=0,"",samples!#REF!)</f>
        <v>#REF!</v>
      </c>
      <c r="AD315">
        <f>IFERROR(SEARCH(search!$B$6,samples!#REF!,1),0)</f>
        <v>0</v>
      </c>
    </row>
    <row r="316" spans="1:30">
      <c r="A316">
        <f t="shared" si="4"/>
        <v>0</v>
      </c>
      <c r="B316">
        <f>IF(SUM(D316,F316,H316,J316,L316,N316,P316,R316,T316,V316,X316,Z316,AB316,AD316)&gt;0,SUM($A$2:A316),0)</f>
        <v>0</v>
      </c>
      <c r="C316" t="e">
        <f>samples!#REF!</f>
        <v>#REF!</v>
      </c>
      <c r="D316">
        <f>IFERROR(SEARCH(search!$B$6,samples!#REF!,1),0)</f>
        <v>0</v>
      </c>
      <c r="E316" t="e">
        <f>IF(samples!#REF!=0,"",samples!#REF!)</f>
        <v>#REF!</v>
      </c>
      <c r="F316">
        <f>IFERROR(SEARCH(search!$B$6,samples!#REF!,1),0)</f>
        <v>0</v>
      </c>
      <c r="G316" t="e">
        <f>IF(samples!#REF!=0,"",samples!#REF!)</f>
        <v>#REF!</v>
      </c>
      <c r="H316">
        <f>IFERROR(SEARCH(search!$B$6,samples!#REF!,1),0)</f>
        <v>0</v>
      </c>
      <c r="I316" t="e">
        <f>IF(samples!#REF!=0,"",samples!#REF!)</f>
        <v>#REF!</v>
      </c>
      <c r="J316">
        <f>IFERROR(SEARCH(search!$B$6,samples!#REF!,1),0)</f>
        <v>0</v>
      </c>
      <c r="K316" t="e">
        <f>IF(samples!#REF!=0,"",samples!#REF!)</f>
        <v>#REF!</v>
      </c>
      <c r="L316">
        <f>IFERROR(SEARCH(search!$B$6,samples!#REF!,1),0)</f>
        <v>0</v>
      </c>
      <c r="M316" t="e">
        <f>IF(samples!#REF!=0,"",samples!#REF!)</f>
        <v>#REF!</v>
      </c>
      <c r="N316">
        <f>IFERROR(SEARCH(search!$B$6,samples!#REF!,1),0)</f>
        <v>0</v>
      </c>
      <c r="O316" t="e">
        <f>IF(samples!#REF!=0,"",samples!#REF!)</f>
        <v>#REF!</v>
      </c>
      <c r="P316">
        <f>IFERROR(SEARCH(search!$B$6,samples!#REF!,1),0)</f>
        <v>0</v>
      </c>
      <c r="Q316" t="e">
        <f>IF(samples!#REF!=0,"",samples!#REF!)</f>
        <v>#REF!</v>
      </c>
      <c r="R316">
        <f>IFERROR(SEARCH(search!$B$6,samples!#REF!,1),0)</f>
        <v>0</v>
      </c>
      <c r="S316" t="e">
        <f>IF(samples!#REF!=0,"",samples!#REF!)</f>
        <v>#REF!</v>
      </c>
      <c r="T316">
        <f>IFERROR(SEARCH(search!$B$6,samples!#REF!,1),0)</f>
        <v>0</v>
      </c>
      <c r="U316" t="e">
        <f>IF(samples!#REF!=0,"",samples!#REF!)</f>
        <v>#REF!</v>
      </c>
      <c r="V316">
        <f>IFERROR(SEARCH(search!$B$6,samples!#REF!,1),0)</f>
        <v>0</v>
      </c>
      <c r="W316" t="e">
        <f>IF(samples!#REF!=0,"",samples!#REF!)</f>
        <v>#REF!</v>
      </c>
      <c r="X316">
        <f>IFERROR(SEARCH(search!$B$6,samples!#REF!,1),0)</f>
        <v>0</v>
      </c>
      <c r="Y316" t="e">
        <f>IF(samples!#REF!=0,"",samples!#REF!)</f>
        <v>#REF!</v>
      </c>
      <c r="Z316">
        <f>IFERROR(SEARCH(search!$B$6,samples!#REF!,1),0)</f>
        <v>0</v>
      </c>
      <c r="AA316" t="e">
        <f>IF(samples!#REF!=0,"",samples!#REF!)</f>
        <v>#REF!</v>
      </c>
      <c r="AB316">
        <f>IFERROR(SEARCH(search!$B$6,samples!#REF!,1),0)</f>
        <v>0</v>
      </c>
      <c r="AC316" t="e">
        <f>IF(samples!#REF!=0,"",samples!#REF!)</f>
        <v>#REF!</v>
      </c>
      <c r="AD316">
        <f>IFERROR(SEARCH(search!$B$6,samples!#REF!,1),0)</f>
        <v>0</v>
      </c>
    </row>
    <row r="317" spans="1:30">
      <c r="A317">
        <f t="shared" si="4"/>
        <v>0</v>
      </c>
      <c r="B317">
        <f>IF(SUM(D317,F317,H317,J317,L317,N317,P317,R317,T317,V317,X317,Z317,AB317,AD317)&gt;0,SUM($A$2:A317),0)</f>
        <v>0</v>
      </c>
      <c r="C317" t="e">
        <f>samples!#REF!</f>
        <v>#REF!</v>
      </c>
      <c r="D317">
        <f>IFERROR(SEARCH(search!$B$6,samples!#REF!,1),0)</f>
        <v>0</v>
      </c>
      <c r="E317" t="e">
        <f>IF(samples!#REF!=0,"",samples!#REF!)</f>
        <v>#REF!</v>
      </c>
      <c r="F317">
        <f>IFERROR(SEARCH(search!$B$6,samples!#REF!,1),0)</f>
        <v>0</v>
      </c>
      <c r="G317" t="e">
        <f>IF(samples!#REF!=0,"",samples!#REF!)</f>
        <v>#REF!</v>
      </c>
      <c r="H317">
        <f>IFERROR(SEARCH(search!$B$6,samples!#REF!,1),0)</f>
        <v>0</v>
      </c>
      <c r="I317" t="e">
        <f>IF(samples!#REF!=0,"",samples!#REF!)</f>
        <v>#REF!</v>
      </c>
      <c r="J317">
        <f>IFERROR(SEARCH(search!$B$6,samples!#REF!,1),0)</f>
        <v>0</v>
      </c>
      <c r="K317" t="e">
        <f>IF(samples!#REF!=0,"",samples!#REF!)</f>
        <v>#REF!</v>
      </c>
      <c r="L317">
        <f>IFERROR(SEARCH(search!$B$6,samples!#REF!,1),0)</f>
        <v>0</v>
      </c>
      <c r="M317" t="e">
        <f>IF(samples!#REF!=0,"",samples!#REF!)</f>
        <v>#REF!</v>
      </c>
      <c r="N317">
        <f>IFERROR(SEARCH(search!$B$6,samples!#REF!,1),0)</f>
        <v>0</v>
      </c>
      <c r="O317" t="e">
        <f>IF(samples!#REF!=0,"",samples!#REF!)</f>
        <v>#REF!</v>
      </c>
      <c r="P317">
        <f>IFERROR(SEARCH(search!$B$6,samples!#REF!,1),0)</f>
        <v>0</v>
      </c>
      <c r="Q317" t="e">
        <f>IF(samples!#REF!=0,"",samples!#REF!)</f>
        <v>#REF!</v>
      </c>
      <c r="R317">
        <f>IFERROR(SEARCH(search!$B$6,samples!#REF!,1),0)</f>
        <v>0</v>
      </c>
      <c r="S317" t="e">
        <f>IF(samples!#REF!=0,"",samples!#REF!)</f>
        <v>#REF!</v>
      </c>
      <c r="T317">
        <f>IFERROR(SEARCH(search!$B$6,samples!#REF!,1),0)</f>
        <v>0</v>
      </c>
      <c r="U317" t="e">
        <f>IF(samples!#REF!=0,"",samples!#REF!)</f>
        <v>#REF!</v>
      </c>
      <c r="V317">
        <f>IFERROR(SEARCH(search!$B$6,samples!#REF!,1),0)</f>
        <v>0</v>
      </c>
      <c r="W317" t="e">
        <f>IF(samples!#REF!=0,"",samples!#REF!)</f>
        <v>#REF!</v>
      </c>
      <c r="X317">
        <f>IFERROR(SEARCH(search!$B$6,samples!#REF!,1),0)</f>
        <v>0</v>
      </c>
      <c r="Y317" t="e">
        <f>IF(samples!#REF!=0,"",samples!#REF!)</f>
        <v>#REF!</v>
      </c>
      <c r="Z317">
        <f>IFERROR(SEARCH(search!$B$6,samples!#REF!,1),0)</f>
        <v>0</v>
      </c>
      <c r="AA317" t="e">
        <f>IF(samples!#REF!=0,"",samples!#REF!)</f>
        <v>#REF!</v>
      </c>
      <c r="AB317">
        <f>IFERROR(SEARCH(search!$B$6,samples!#REF!,1),0)</f>
        <v>0</v>
      </c>
      <c r="AC317" t="e">
        <f>IF(samples!#REF!=0,"",samples!#REF!)</f>
        <v>#REF!</v>
      </c>
      <c r="AD317">
        <f>IFERROR(SEARCH(search!$B$6,samples!#REF!,1),0)</f>
        <v>0</v>
      </c>
    </row>
    <row r="318" spans="1:30">
      <c r="A318">
        <f t="shared" si="4"/>
        <v>0</v>
      </c>
      <c r="B318">
        <f>IF(SUM(D318,F318,H318,J318,L318,N318,P318,R318,T318,V318,X318,Z318,AB318,AD318)&gt;0,SUM($A$2:A318),0)</f>
        <v>0</v>
      </c>
      <c r="C318" t="e">
        <f>samples!#REF!</f>
        <v>#REF!</v>
      </c>
      <c r="D318">
        <f>IFERROR(SEARCH(search!$B$6,samples!#REF!,1),0)</f>
        <v>0</v>
      </c>
      <c r="E318" t="e">
        <f>IF(samples!#REF!=0,"",samples!#REF!)</f>
        <v>#REF!</v>
      </c>
      <c r="F318">
        <f>IFERROR(SEARCH(search!$B$6,samples!#REF!,1),0)</f>
        <v>0</v>
      </c>
      <c r="G318" t="e">
        <f>IF(samples!#REF!=0,"",samples!#REF!)</f>
        <v>#REF!</v>
      </c>
      <c r="H318">
        <f>IFERROR(SEARCH(search!$B$6,samples!#REF!,1),0)</f>
        <v>0</v>
      </c>
      <c r="I318" t="e">
        <f>IF(samples!#REF!=0,"",samples!#REF!)</f>
        <v>#REF!</v>
      </c>
      <c r="J318">
        <f>IFERROR(SEARCH(search!$B$6,samples!#REF!,1),0)</f>
        <v>0</v>
      </c>
      <c r="K318" t="e">
        <f>IF(samples!#REF!=0,"",samples!#REF!)</f>
        <v>#REF!</v>
      </c>
      <c r="L318">
        <f>IFERROR(SEARCH(search!$B$6,samples!#REF!,1),0)</f>
        <v>0</v>
      </c>
      <c r="M318" t="e">
        <f>IF(samples!#REF!=0,"",samples!#REF!)</f>
        <v>#REF!</v>
      </c>
      <c r="N318">
        <f>IFERROR(SEARCH(search!$B$6,samples!#REF!,1),0)</f>
        <v>0</v>
      </c>
      <c r="O318" t="e">
        <f>IF(samples!#REF!=0,"",samples!#REF!)</f>
        <v>#REF!</v>
      </c>
      <c r="P318">
        <f>IFERROR(SEARCH(search!$B$6,samples!#REF!,1),0)</f>
        <v>0</v>
      </c>
      <c r="Q318" t="e">
        <f>IF(samples!#REF!=0,"",samples!#REF!)</f>
        <v>#REF!</v>
      </c>
      <c r="R318">
        <f>IFERROR(SEARCH(search!$B$6,samples!#REF!,1),0)</f>
        <v>0</v>
      </c>
      <c r="S318" t="e">
        <f>IF(samples!#REF!=0,"",samples!#REF!)</f>
        <v>#REF!</v>
      </c>
      <c r="T318">
        <f>IFERROR(SEARCH(search!$B$6,samples!#REF!,1),0)</f>
        <v>0</v>
      </c>
      <c r="U318" t="e">
        <f>IF(samples!#REF!=0,"",samples!#REF!)</f>
        <v>#REF!</v>
      </c>
      <c r="V318">
        <f>IFERROR(SEARCH(search!$B$6,samples!#REF!,1),0)</f>
        <v>0</v>
      </c>
      <c r="W318" t="e">
        <f>IF(samples!#REF!=0,"",samples!#REF!)</f>
        <v>#REF!</v>
      </c>
      <c r="X318">
        <f>IFERROR(SEARCH(search!$B$6,samples!#REF!,1),0)</f>
        <v>0</v>
      </c>
      <c r="Y318" t="e">
        <f>IF(samples!#REF!=0,"",samples!#REF!)</f>
        <v>#REF!</v>
      </c>
      <c r="Z318">
        <f>IFERROR(SEARCH(search!$B$6,samples!#REF!,1),0)</f>
        <v>0</v>
      </c>
      <c r="AA318" t="e">
        <f>IF(samples!#REF!=0,"",samples!#REF!)</f>
        <v>#REF!</v>
      </c>
      <c r="AB318">
        <f>IFERROR(SEARCH(search!$B$6,samples!#REF!,1),0)</f>
        <v>0</v>
      </c>
      <c r="AC318" t="e">
        <f>IF(samples!#REF!=0,"",samples!#REF!)</f>
        <v>#REF!</v>
      </c>
      <c r="AD318">
        <f>IFERROR(SEARCH(search!$B$6,samples!#REF!,1),0)</f>
        <v>0</v>
      </c>
    </row>
    <row r="319" spans="1:30">
      <c r="A319">
        <f t="shared" si="4"/>
        <v>0</v>
      </c>
      <c r="B319">
        <f>IF(SUM(D319,F319,H319,J319,L319,N319,P319,R319,T319,V319,X319,Z319,AB319,AD319)&gt;0,SUM($A$2:A319),0)</f>
        <v>0</v>
      </c>
      <c r="C319" t="e">
        <f>samples!#REF!</f>
        <v>#REF!</v>
      </c>
      <c r="D319">
        <f>IFERROR(SEARCH(search!$B$6,samples!#REF!,1),0)</f>
        <v>0</v>
      </c>
      <c r="E319" t="e">
        <f>IF(samples!#REF!=0,"",samples!#REF!)</f>
        <v>#REF!</v>
      </c>
      <c r="F319">
        <f>IFERROR(SEARCH(search!$B$6,samples!#REF!,1),0)</f>
        <v>0</v>
      </c>
      <c r="G319" t="e">
        <f>IF(samples!#REF!=0,"",samples!#REF!)</f>
        <v>#REF!</v>
      </c>
      <c r="H319">
        <f>IFERROR(SEARCH(search!$B$6,samples!#REF!,1),0)</f>
        <v>0</v>
      </c>
      <c r="I319" t="e">
        <f>IF(samples!#REF!=0,"",samples!#REF!)</f>
        <v>#REF!</v>
      </c>
      <c r="J319">
        <f>IFERROR(SEARCH(search!$B$6,samples!#REF!,1),0)</f>
        <v>0</v>
      </c>
      <c r="K319" t="e">
        <f>IF(samples!#REF!=0,"",samples!#REF!)</f>
        <v>#REF!</v>
      </c>
      <c r="L319">
        <f>IFERROR(SEARCH(search!$B$6,samples!#REF!,1),0)</f>
        <v>0</v>
      </c>
      <c r="M319" t="e">
        <f>IF(samples!#REF!=0,"",samples!#REF!)</f>
        <v>#REF!</v>
      </c>
      <c r="N319">
        <f>IFERROR(SEARCH(search!$B$6,samples!#REF!,1),0)</f>
        <v>0</v>
      </c>
      <c r="O319" t="e">
        <f>IF(samples!#REF!=0,"",samples!#REF!)</f>
        <v>#REF!</v>
      </c>
      <c r="P319">
        <f>IFERROR(SEARCH(search!$B$6,samples!#REF!,1),0)</f>
        <v>0</v>
      </c>
      <c r="Q319" t="e">
        <f>IF(samples!#REF!=0,"",samples!#REF!)</f>
        <v>#REF!</v>
      </c>
      <c r="R319">
        <f>IFERROR(SEARCH(search!$B$6,samples!#REF!,1),0)</f>
        <v>0</v>
      </c>
      <c r="S319" t="e">
        <f>IF(samples!#REF!=0,"",samples!#REF!)</f>
        <v>#REF!</v>
      </c>
      <c r="T319">
        <f>IFERROR(SEARCH(search!$B$6,samples!#REF!,1),0)</f>
        <v>0</v>
      </c>
      <c r="U319" t="e">
        <f>IF(samples!#REF!=0,"",samples!#REF!)</f>
        <v>#REF!</v>
      </c>
      <c r="V319">
        <f>IFERROR(SEARCH(search!$B$6,samples!#REF!,1),0)</f>
        <v>0</v>
      </c>
      <c r="W319" t="e">
        <f>IF(samples!#REF!=0,"",samples!#REF!)</f>
        <v>#REF!</v>
      </c>
      <c r="X319">
        <f>IFERROR(SEARCH(search!$B$6,samples!#REF!,1),0)</f>
        <v>0</v>
      </c>
      <c r="Y319" t="e">
        <f>IF(samples!#REF!=0,"",samples!#REF!)</f>
        <v>#REF!</v>
      </c>
      <c r="Z319">
        <f>IFERROR(SEARCH(search!$B$6,samples!#REF!,1),0)</f>
        <v>0</v>
      </c>
      <c r="AA319" t="e">
        <f>IF(samples!#REF!=0,"",samples!#REF!)</f>
        <v>#REF!</v>
      </c>
      <c r="AB319">
        <f>IFERROR(SEARCH(search!$B$6,samples!#REF!,1),0)</f>
        <v>0</v>
      </c>
      <c r="AC319" t="e">
        <f>IF(samples!#REF!=0,"",samples!#REF!)</f>
        <v>#REF!</v>
      </c>
      <c r="AD319">
        <f>IFERROR(SEARCH(search!$B$6,samples!#REF!,1),0)</f>
        <v>0</v>
      </c>
    </row>
    <row r="320" spans="1:30">
      <c r="A320">
        <f t="shared" si="4"/>
        <v>0</v>
      </c>
      <c r="B320">
        <f>IF(SUM(D320,F320,H320,J320,L320,N320,P320,R320,T320,V320,X320,Z320,AB320,AD320)&gt;0,SUM($A$2:A320),0)</f>
        <v>0</v>
      </c>
      <c r="C320" t="e">
        <f>samples!#REF!</f>
        <v>#REF!</v>
      </c>
      <c r="D320">
        <f>IFERROR(SEARCH(search!$B$6,samples!#REF!,1),0)</f>
        <v>0</v>
      </c>
      <c r="E320" t="e">
        <f>IF(samples!#REF!=0,"",samples!#REF!)</f>
        <v>#REF!</v>
      </c>
      <c r="F320">
        <f>IFERROR(SEARCH(search!$B$6,samples!#REF!,1),0)</f>
        <v>0</v>
      </c>
      <c r="G320" t="e">
        <f>IF(samples!#REF!=0,"",samples!#REF!)</f>
        <v>#REF!</v>
      </c>
      <c r="H320">
        <f>IFERROR(SEARCH(search!$B$6,samples!#REF!,1),0)</f>
        <v>0</v>
      </c>
      <c r="I320" t="e">
        <f>IF(samples!#REF!=0,"",samples!#REF!)</f>
        <v>#REF!</v>
      </c>
      <c r="J320">
        <f>IFERROR(SEARCH(search!$B$6,samples!#REF!,1),0)</f>
        <v>0</v>
      </c>
      <c r="K320" t="e">
        <f>IF(samples!#REF!=0,"",samples!#REF!)</f>
        <v>#REF!</v>
      </c>
      <c r="L320">
        <f>IFERROR(SEARCH(search!$B$6,samples!#REF!,1),0)</f>
        <v>0</v>
      </c>
      <c r="M320" t="e">
        <f>IF(samples!#REF!=0,"",samples!#REF!)</f>
        <v>#REF!</v>
      </c>
      <c r="N320">
        <f>IFERROR(SEARCH(search!$B$6,samples!#REF!,1),0)</f>
        <v>0</v>
      </c>
      <c r="O320" t="e">
        <f>IF(samples!#REF!=0,"",samples!#REF!)</f>
        <v>#REF!</v>
      </c>
      <c r="P320">
        <f>IFERROR(SEARCH(search!$B$6,samples!#REF!,1),0)</f>
        <v>0</v>
      </c>
      <c r="Q320" t="e">
        <f>IF(samples!#REF!=0,"",samples!#REF!)</f>
        <v>#REF!</v>
      </c>
      <c r="R320">
        <f>IFERROR(SEARCH(search!$B$6,samples!#REF!,1),0)</f>
        <v>0</v>
      </c>
      <c r="S320" t="e">
        <f>IF(samples!#REF!=0,"",samples!#REF!)</f>
        <v>#REF!</v>
      </c>
      <c r="T320">
        <f>IFERROR(SEARCH(search!$B$6,samples!#REF!,1),0)</f>
        <v>0</v>
      </c>
      <c r="U320" t="e">
        <f>IF(samples!#REF!=0,"",samples!#REF!)</f>
        <v>#REF!</v>
      </c>
      <c r="V320">
        <f>IFERROR(SEARCH(search!$B$6,samples!#REF!,1),0)</f>
        <v>0</v>
      </c>
      <c r="W320" t="e">
        <f>IF(samples!#REF!=0,"",samples!#REF!)</f>
        <v>#REF!</v>
      </c>
      <c r="X320">
        <f>IFERROR(SEARCH(search!$B$6,samples!#REF!,1),0)</f>
        <v>0</v>
      </c>
      <c r="Y320" t="e">
        <f>IF(samples!#REF!=0,"",samples!#REF!)</f>
        <v>#REF!</v>
      </c>
      <c r="Z320">
        <f>IFERROR(SEARCH(search!$B$6,samples!#REF!,1),0)</f>
        <v>0</v>
      </c>
      <c r="AA320" t="e">
        <f>IF(samples!#REF!=0,"",samples!#REF!)</f>
        <v>#REF!</v>
      </c>
      <c r="AB320">
        <f>IFERROR(SEARCH(search!$B$6,samples!#REF!,1),0)</f>
        <v>0</v>
      </c>
      <c r="AC320" t="e">
        <f>IF(samples!#REF!=0,"",samples!#REF!)</f>
        <v>#REF!</v>
      </c>
      <c r="AD320">
        <f>IFERROR(SEARCH(search!$B$6,samples!#REF!,1),0)</f>
        <v>0</v>
      </c>
    </row>
    <row r="321" spans="1:30">
      <c r="A321">
        <f t="shared" si="4"/>
        <v>0</v>
      </c>
      <c r="B321">
        <f>IF(SUM(D321,F321,H321,J321,L321,N321,P321,R321,T321,V321,X321,Z321,AB321,AD321)&gt;0,SUM($A$2:A321),0)</f>
        <v>0</v>
      </c>
      <c r="C321" t="e">
        <f>samples!#REF!</f>
        <v>#REF!</v>
      </c>
      <c r="D321">
        <f>IFERROR(SEARCH(search!$B$6,samples!#REF!,1),0)</f>
        <v>0</v>
      </c>
      <c r="E321" t="e">
        <f>IF(samples!#REF!=0,"",samples!#REF!)</f>
        <v>#REF!</v>
      </c>
      <c r="F321">
        <f>IFERROR(SEARCH(search!$B$6,samples!#REF!,1),0)</f>
        <v>0</v>
      </c>
      <c r="G321" t="e">
        <f>IF(samples!#REF!=0,"",samples!#REF!)</f>
        <v>#REF!</v>
      </c>
      <c r="H321">
        <f>IFERROR(SEARCH(search!$B$6,samples!#REF!,1),0)</f>
        <v>0</v>
      </c>
      <c r="I321" t="e">
        <f>IF(samples!#REF!=0,"",samples!#REF!)</f>
        <v>#REF!</v>
      </c>
      <c r="J321">
        <f>IFERROR(SEARCH(search!$B$6,samples!#REF!,1),0)</f>
        <v>0</v>
      </c>
      <c r="K321" t="e">
        <f>IF(samples!#REF!=0,"",samples!#REF!)</f>
        <v>#REF!</v>
      </c>
      <c r="L321">
        <f>IFERROR(SEARCH(search!$B$6,samples!#REF!,1),0)</f>
        <v>0</v>
      </c>
      <c r="M321" t="e">
        <f>IF(samples!#REF!=0,"",samples!#REF!)</f>
        <v>#REF!</v>
      </c>
      <c r="N321">
        <f>IFERROR(SEARCH(search!$B$6,samples!#REF!,1),0)</f>
        <v>0</v>
      </c>
      <c r="O321" t="e">
        <f>IF(samples!#REF!=0,"",samples!#REF!)</f>
        <v>#REF!</v>
      </c>
      <c r="P321">
        <f>IFERROR(SEARCH(search!$B$6,samples!#REF!,1),0)</f>
        <v>0</v>
      </c>
      <c r="Q321" t="e">
        <f>IF(samples!#REF!=0,"",samples!#REF!)</f>
        <v>#REF!</v>
      </c>
      <c r="R321">
        <f>IFERROR(SEARCH(search!$B$6,samples!#REF!,1),0)</f>
        <v>0</v>
      </c>
      <c r="S321" t="e">
        <f>IF(samples!#REF!=0,"",samples!#REF!)</f>
        <v>#REF!</v>
      </c>
      <c r="T321">
        <f>IFERROR(SEARCH(search!$B$6,samples!#REF!,1),0)</f>
        <v>0</v>
      </c>
      <c r="U321" t="e">
        <f>IF(samples!#REF!=0,"",samples!#REF!)</f>
        <v>#REF!</v>
      </c>
      <c r="V321">
        <f>IFERROR(SEARCH(search!$B$6,samples!#REF!,1),0)</f>
        <v>0</v>
      </c>
      <c r="W321" t="e">
        <f>IF(samples!#REF!=0,"",samples!#REF!)</f>
        <v>#REF!</v>
      </c>
      <c r="X321">
        <f>IFERROR(SEARCH(search!$B$6,samples!#REF!,1),0)</f>
        <v>0</v>
      </c>
      <c r="Y321" t="e">
        <f>IF(samples!#REF!=0,"",samples!#REF!)</f>
        <v>#REF!</v>
      </c>
      <c r="Z321">
        <f>IFERROR(SEARCH(search!$B$6,samples!#REF!,1),0)</f>
        <v>0</v>
      </c>
      <c r="AA321" t="e">
        <f>IF(samples!#REF!=0,"",samples!#REF!)</f>
        <v>#REF!</v>
      </c>
      <c r="AB321">
        <f>IFERROR(SEARCH(search!$B$6,samples!#REF!,1),0)</f>
        <v>0</v>
      </c>
      <c r="AC321" t="e">
        <f>IF(samples!#REF!=0,"",samples!#REF!)</f>
        <v>#REF!</v>
      </c>
      <c r="AD321">
        <f>IFERROR(SEARCH(search!$B$6,samples!#REF!,1),0)</f>
        <v>0</v>
      </c>
    </row>
    <row r="322" spans="1:30">
      <c r="A322">
        <f t="shared" si="4"/>
        <v>0</v>
      </c>
      <c r="B322">
        <f>IF(SUM(D322,F322,H322,J322,L322,N322,P322,R322,T322,V322,X322,Z322,AB322,AD322)&gt;0,SUM($A$2:A322),0)</f>
        <v>0</v>
      </c>
      <c r="C322" t="e">
        <f>samples!#REF!</f>
        <v>#REF!</v>
      </c>
      <c r="D322">
        <f>IFERROR(SEARCH(search!$B$6,samples!#REF!,1),0)</f>
        <v>0</v>
      </c>
      <c r="E322" t="e">
        <f>IF(samples!#REF!=0,"",samples!#REF!)</f>
        <v>#REF!</v>
      </c>
      <c r="F322">
        <f>IFERROR(SEARCH(search!$B$6,samples!#REF!,1),0)</f>
        <v>0</v>
      </c>
      <c r="G322" t="e">
        <f>IF(samples!#REF!=0,"",samples!#REF!)</f>
        <v>#REF!</v>
      </c>
      <c r="H322">
        <f>IFERROR(SEARCH(search!$B$6,samples!#REF!,1),0)</f>
        <v>0</v>
      </c>
      <c r="I322" t="e">
        <f>IF(samples!#REF!=0,"",samples!#REF!)</f>
        <v>#REF!</v>
      </c>
      <c r="J322">
        <f>IFERROR(SEARCH(search!$B$6,samples!#REF!,1),0)</f>
        <v>0</v>
      </c>
      <c r="K322" t="e">
        <f>IF(samples!#REF!=0,"",samples!#REF!)</f>
        <v>#REF!</v>
      </c>
      <c r="L322">
        <f>IFERROR(SEARCH(search!$B$6,samples!#REF!,1),0)</f>
        <v>0</v>
      </c>
      <c r="M322" t="e">
        <f>IF(samples!#REF!=0,"",samples!#REF!)</f>
        <v>#REF!</v>
      </c>
      <c r="N322">
        <f>IFERROR(SEARCH(search!$B$6,samples!#REF!,1),0)</f>
        <v>0</v>
      </c>
      <c r="O322" t="e">
        <f>IF(samples!#REF!=0,"",samples!#REF!)</f>
        <v>#REF!</v>
      </c>
      <c r="P322">
        <f>IFERROR(SEARCH(search!$B$6,samples!#REF!,1),0)</f>
        <v>0</v>
      </c>
      <c r="Q322" t="e">
        <f>IF(samples!#REF!=0,"",samples!#REF!)</f>
        <v>#REF!</v>
      </c>
      <c r="R322">
        <f>IFERROR(SEARCH(search!$B$6,samples!#REF!,1),0)</f>
        <v>0</v>
      </c>
      <c r="S322" t="e">
        <f>IF(samples!#REF!=0,"",samples!#REF!)</f>
        <v>#REF!</v>
      </c>
      <c r="T322">
        <f>IFERROR(SEARCH(search!$B$6,samples!#REF!,1),0)</f>
        <v>0</v>
      </c>
      <c r="U322" t="e">
        <f>IF(samples!#REF!=0,"",samples!#REF!)</f>
        <v>#REF!</v>
      </c>
      <c r="V322">
        <f>IFERROR(SEARCH(search!$B$6,samples!#REF!,1),0)</f>
        <v>0</v>
      </c>
      <c r="W322" t="e">
        <f>IF(samples!#REF!=0,"",samples!#REF!)</f>
        <v>#REF!</v>
      </c>
      <c r="X322">
        <f>IFERROR(SEARCH(search!$B$6,samples!#REF!,1),0)</f>
        <v>0</v>
      </c>
      <c r="Y322" t="e">
        <f>IF(samples!#REF!=0,"",samples!#REF!)</f>
        <v>#REF!</v>
      </c>
      <c r="Z322">
        <f>IFERROR(SEARCH(search!$B$6,samples!#REF!,1),0)</f>
        <v>0</v>
      </c>
      <c r="AA322" t="e">
        <f>IF(samples!#REF!=0,"",samples!#REF!)</f>
        <v>#REF!</v>
      </c>
      <c r="AB322">
        <f>IFERROR(SEARCH(search!$B$6,samples!#REF!,1),0)</f>
        <v>0</v>
      </c>
      <c r="AC322" t="e">
        <f>IF(samples!#REF!=0,"",samples!#REF!)</f>
        <v>#REF!</v>
      </c>
      <c r="AD322">
        <f>IFERROR(SEARCH(search!$B$6,samples!#REF!,1),0)</f>
        <v>0</v>
      </c>
    </row>
    <row r="323" spans="1:30">
      <c r="A323">
        <f t="shared" ref="A323:A386" si="5">IF(SUM(D323,F323,H323,J323,L323,N323,P323,R323,T323,V323,X323,Z323,AB323,AD323)&gt;0,1,0)</f>
        <v>0</v>
      </c>
      <c r="B323">
        <f>IF(SUM(D323,F323,H323,J323,L323,N323,P323,R323,T323,V323,X323,Z323,AB323,AD323)&gt;0,SUM($A$2:A323),0)</f>
        <v>0</v>
      </c>
      <c r="C323" t="e">
        <f>samples!#REF!</f>
        <v>#REF!</v>
      </c>
      <c r="D323">
        <f>IFERROR(SEARCH(search!$B$6,samples!#REF!,1),0)</f>
        <v>0</v>
      </c>
      <c r="E323" t="e">
        <f>IF(samples!#REF!=0,"",samples!#REF!)</f>
        <v>#REF!</v>
      </c>
      <c r="F323">
        <f>IFERROR(SEARCH(search!$B$6,samples!#REF!,1),0)</f>
        <v>0</v>
      </c>
      <c r="G323" t="e">
        <f>IF(samples!#REF!=0,"",samples!#REF!)</f>
        <v>#REF!</v>
      </c>
      <c r="H323">
        <f>IFERROR(SEARCH(search!$B$6,samples!#REF!,1),0)</f>
        <v>0</v>
      </c>
      <c r="I323" t="e">
        <f>IF(samples!#REF!=0,"",samples!#REF!)</f>
        <v>#REF!</v>
      </c>
      <c r="J323">
        <f>IFERROR(SEARCH(search!$B$6,samples!#REF!,1),0)</f>
        <v>0</v>
      </c>
      <c r="K323" t="e">
        <f>IF(samples!#REF!=0,"",samples!#REF!)</f>
        <v>#REF!</v>
      </c>
      <c r="L323">
        <f>IFERROR(SEARCH(search!$B$6,samples!#REF!,1),0)</f>
        <v>0</v>
      </c>
      <c r="M323" t="e">
        <f>IF(samples!#REF!=0,"",samples!#REF!)</f>
        <v>#REF!</v>
      </c>
      <c r="N323">
        <f>IFERROR(SEARCH(search!$B$6,samples!#REF!,1),0)</f>
        <v>0</v>
      </c>
      <c r="O323" t="e">
        <f>IF(samples!#REF!=0,"",samples!#REF!)</f>
        <v>#REF!</v>
      </c>
      <c r="P323">
        <f>IFERROR(SEARCH(search!$B$6,samples!#REF!,1),0)</f>
        <v>0</v>
      </c>
      <c r="Q323" t="e">
        <f>IF(samples!#REF!=0,"",samples!#REF!)</f>
        <v>#REF!</v>
      </c>
      <c r="R323">
        <f>IFERROR(SEARCH(search!$B$6,samples!#REF!,1),0)</f>
        <v>0</v>
      </c>
      <c r="S323" t="e">
        <f>IF(samples!#REF!=0,"",samples!#REF!)</f>
        <v>#REF!</v>
      </c>
      <c r="T323">
        <f>IFERROR(SEARCH(search!$B$6,samples!#REF!,1),0)</f>
        <v>0</v>
      </c>
      <c r="U323" t="e">
        <f>IF(samples!#REF!=0,"",samples!#REF!)</f>
        <v>#REF!</v>
      </c>
      <c r="V323">
        <f>IFERROR(SEARCH(search!$B$6,samples!#REF!,1),0)</f>
        <v>0</v>
      </c>
      <c r="W323" t="e">
        <f>IF(samples!#REF!=0,"",samples!#REF!)</f>
        <v>#REF!</v>
      </c>
      <c r="X323">
        <f>IFERROR(SEARCH(search!$B$6,samples!#REF!,1),0)</f>
        <v>0</v>
      </c>
      <c r="Y323" t="e">
        <f>IF(samples!#REF!=0,"",samples!#REF!)</f>
        <v>#REF!</v>
      </c>
      <c r="Z323">
        <f>IFERROR(SEARCH(search!$B$6,samples!#REF!,1),0)</f>
        <v>0</v>
      </c>
      <c r="AA323" t="e">
        <f>IF(samples!#REF!=0,"",samples!#REF!)</f>
        <v>#REF!</v>
      </c>
      <c r="AB323">
        <f>IFERROR(SEARCH(search!$B$6,samples!#REF!,1),0)</f>
        <v>0</v>
      </c>
      <c r="AC323" t="e">
        <f>IF(samples!#REF!=0,"",samples!#REF!)</f>
        <v>#REF!</v>
      </c>
      <c r="AD323">
        <f>IFERROR(SEARCH(search!$B$6,samples!#REF!,1),0)</f>
        <v>0</v>
      </c>
    </row>
    <row r="324" spans="1:30">
      <c r="A324">
        <f t="shared" si="5"/>
        <v>0</v>
      </c>
      <c r="B324">
        <f>IF(SUM(D324,F324,H324,J324,L324,N324,P324,R324,T324,V324,X324,Z324,AB324,AD324)&gt;0,SUM($A$2:A324),0)</f>
        <v>0</v>
      </c>
      <c r="C324" t="e">
        <f>samples!#REF!</f>
        <v>#REF!</v>
      </c>
      <c r="D324">
        <f>IFERROR(SEARCH(search!$B$6,samples!#REF!,1),0)</f>
        <v>0</v>
      </c>
      <c r="E324" t="e">
        <f>IF(samples!#REF!=0,"",samples!#REF!)</f>
        <v>#REF!</v>
      </c>
      <c r="F324">
        <f>IFERROR(SEARCH(search!$B$6,samples!#REF!,1),0)</f>
        <v>0</v>
      </c>
      <c r="G324" t="e">
        <f>IF(samples!#REF!=0,"",samples!#REF!)</f>
        <v>#REF!</v>
      </c>
      <c r="H324">
        <f>IFERROR(SEARCH(search!$B$6,samples!#REF!,1),0)</f>
        <v>0</v>
      </c>
      <c r="I324" t="e">
        <f>IF(samples!#REF!=0,"",samples!#REF!)</f>
        <v>#REF!</v>
      </c>
      <c r="J324">
        <f>IFERROR(SEARCH(search!$B$6,samples!#REF!,1),0)</f>
        <v>0</v>
      </c>
      <c r="K324" t="e">
        <f>IF(samples!#REF!=0,"",samples!#REF!)</f>
        <v>#REF!</v>
      </c>
      <c r="L324">
        <f>IFERROR(SEARCH(search!$B$6,samples!#REF!,1),0)</f>
        <v>0</v>
      </c>
      <c r="M324" t="e">
        <f>IF(samples!#REF!=0,"",samples!#REF!)</f>
        <v>#REF!</v>
      </c>
      <c r="N324">
        <f>IFERROR(SEARCH(search!$B$6,samples!#REF!,1),0)</f>
        <v>0</v>
      </c>
      <c r="O324" t="e">
        <f>IF(samples!#REF!=0,"",samples!#REF!)</f>
        <v>#REF!</v>
      </c>
      <c r="P324">
        <f>IFERROR(SEARCH(search!$B$6,samples!#REF!,1),0)</f>
        <v>0</v>
      </c>
      <c r="Q324" t="e">
        <f>IF(samples!#REF!=0,"",samples!#REF!)</f>
        <v>#REF!</v>
      </c>
      <c r="R324">
        <f>IFERROR(SEARCH(search!$B$6,samples!#REF!,1),0)</f>
        <v>0</v>
      </c>
      <c r="S324" t="e">
        <f>IF(samples!#REF!=0,"",samples!#REF!)</f>
        <v>#REF!</v>
      </c>
      <c r="T324">
        <f>IFERROR(SEARCH(search!$B$6,samples!#REF!,1),0)</f>
        <v>0</v>
      </c>
      <c r="U324" t="e">
        <f>IF(samples!#REF!=0,"",samples!#REF!)</f>
        <v>#REF!</v>
      </c>
      <c r="V324">
        <f>IFERROR(SEARCH(search!$B$6,samples!#REF!,1),0)</f>
        <v>0</v>
      </c>
      <c r="W324" t="e">
        <f>IF(samples!#REF!=0,"",samples!#REF!)</f>
        <v>#REF!</v>
      </c>
      <c r="X324">
        <f>IFERROR(SEARCH(search!$B$6,samples!#REF!,1),0)</f>
        <v>0</v>
      </c>
      <c r="Y324" t="e">
        <f>IF(samples!#REF!=0,"",samples!#REF!)</f>
        <v>#REF!</v>
      </c>
      <c r="Z324">
        <f>IFERROR(SEARCH(search!$B$6,samples!#REF!,1),0)</f>
        <v>0</v>
      </c>
      <c r="AA324" t="e">
        <f>IF(samples!#REF!=0,"",samples!#REF!)</f>
        <v>#REF!</v>
      </c>
      <c r="AB324">
        <f>IFERROR(SEARCH(search!$B$6,samples!#REF!,1),0)</f>
        <v>0</v>
      </c>
      <c r="AC324" t="e">
        <f>IF(samples!#REF!=0,"",samples!#REF!)</f>
        <v>#REF!</v>
      </c>
      <c r="AD324">
        <f>IFERROR(SEARCH(search!$B$6,samples!#REF!,1),0)</f>
        <v>0</v>
      </c>
    </row>
    <row r="325" spans="1:30">
      <c r="A325">
        <f t="shared" si="5"/>
        <v>0</v>
      </c>
      <c r="B325">
        <f>IF(SUM(D325,F325,H325,J325,L325,N325,P325,R325,T325,V325,X325,Z325,AB325,AD325)&gt;0,SUM($A$2:A325),0)</f>
        <v>0</v>
      </c>
      <c r="C325" t="e">
        <f>samples!#REF!</f>
        <v>#REF!</v>
      </c>
      <c r="D325">
        <f>IFERROR(SEARCH(search!$B$6,samples!#REF!,1),0)</f>
        <v>0</v>
      </c>
      <c r="E325" t="e">
        <f>IF(samples!#REF!=0,"",samples!#REF!)</f>
        <v>#REF!</v>
      </c>
      <c r="F325">
        <f>IFERROR(SEARCH(search!$B$6,samples!#REF!,1),0)</f>
        <v>0</v>
      </c>
      <c r="G325" t="e">
        <f>IF(samples!#REF!=0,"",samples!#REF!)</f>
        <v>#REF!</v>
      </c>
      <c r="H325">
        <f>IFERROR(SEARCH(search!$B$6,samples!#REF!,1),0)</f>
        <v>0</v>
      </c>
      <c r="I325" t="e">
        <f>IF(samples!#REF!=0,"",samples!#REF!)</f>
        <v>#REF!</v>
      </c>
      <c r="J325">
        <f>IFERROR(SEARCH(search!$B$6,samples!#REF!,1),0)</f>
        <v>0</v>
      </c>
      <c r="K325" t="e">
        <f>IF(samples!#REF!=0,"",samples!#REF!)</f>
        <v>#REF!</v>
      </c>
      <c r="L325">
        <f>IFERROR(SEARCH(search!$B$6,samples!#REF!,1),0)</f>
        <v>0</v>
      </c>
      <c r="M325" t="e">
        <f>IF(samples!#REF!=0,"",samples!#REF!)</f>
        <v>#REF!</v>
      </c>
      <c r="N325">
        <f>IFERROR(SEARCH(search!$B$6,samples!#REF!,1),0)</f>
        <v>0</v>
      </c>
      <c r="O325" t="e">
        <f>IF(samples!#REF!=0,"",samples!#REF!)</f>
        <v>#REF!</v>
      </c>
      <c r="P325">
        <f>IFERROR(SEARCH(search!$B$6,samples!#REF!,1),0)</f>
        <v>0</v>
      </c>
      <c r="Q325" t="e">
        <f>IF(samples!#REF!=0,"",samples!#REF!)</f>
        <v>#REF!</v>
      </c>
      <c r="R325">
        <f>IFERROR(SEARCH(search!$B$6,samples!#REF!,1),0)</f>
        <v>0</v>
      </c>
      <c r="S325" t="e">
        <f>IF(samples!#REF!=0,"",samples!#REF!)</f>
        <v>#REF!</v>
      </c>
      <c r="T325">
        <f>IFERROR(SEARCH(search!$B$6,samples!#REF!,1),0)</f>
        <v>0</v>
      </c>
      <c r="U325" t="e">
        <f>IF(samples!#REF!=0,"",samples!#REF!)</f>
        <v>#REF!</v>
      </c>
      <c r="V325">
        <f>IFERROR(SEARCH(search!$B$6,samples!#REF!,1),0)</f>
        <v>0</v>
      </c>
      <c r="W325" t="e">
        <f>IF(samples!#REF!=0,"",samples!#REF!)</f>
        <v>#REF!</v>
      </c>
      <c r="X325">
        <f>IFERROR(SEARCH(search!$B$6,samples!#REF!,1),0)</f>
        <v>0</v>
      </c>
      <c r="Y325" t="e">
        <f>IF(samples!#REF!=0,"",samples!#REF!)</f>
        <v>#REF!</v>
      </c>
      <c r="Z325">
        <f>IFERROR(SEARCH(search!$B$6,samples!#REF!,1),0)</f>
        <v>0</v>
      </c>
      <c r="AA325" t="e">
        <f>IF(samples!#REF!=0,"",samples!#REF!)</f>
        <v>#REF!</v>
      </c>
      <c r="AB325">
        <f>IFERROR(SEARCH(search!$B$6,samples!#REF!,1),0)</f>
        <v>0</v>
      </c>
      <c r="AC325" t="e">
        <f>IF(samples!#REF!=0,"",samples!#REF!)</f>
        <v>#REF!</v>
      </c>
      <c r="AD325">
        <f>IFERROR(SEARCH(search!$B$6,samples!#REF!,1),0)</f>
        <v>0</v>
      </c>
    </row>
    <row r="326" spans="1:30">
      <c r="A326">
        <f t="shared" si="5"/>
        <v>0</v>
      </c>
      <c r="B326">
        <f>IF(SUM(D326,F326,H326,J326,L326,N326,P326,R326,T326,V326,X326,Z326,AB326,AD326)&gt;0,SUM($A$2:A326),0)</f>
        <v>0</v>
      </c>
      <c r="C326" t="e">
        <f>samples!#REF!</f>
        <v>#REF!</v>
      </c>
      <c r="D326">
        <f>IFERROR(SEARCH(search!$B$6,samples!#REF!,1),0)</f>
        <v>0</v>
      </c>
      <c r="E326" t="e">
        <f>IF(samples!#REF!=0,"",samples!#REF!)</f>
        <v>#REF!</v>
      </c>
      <c r="F326">
        <f>IFERROR(SEARCH(search!$B$6,samples!#REF!,1),0)</f>
        <v>0</v>
      </c>
      <c r="G326" t="e">
        <f>IF(samples!#REF!=0,"",samples!#REF!)</f>
        <v>#REF!</v>
      </c>
      <c r="H326">
        <f>IFERROR(SEARCH(search!$B$6,samples!#REF!,1),0)</f>
        <v>0</v>
      </c>
      <c r="I326" t="e">
        <f>IF(samples!#REF!=0,"",samples!#REF!)</f>
        <v>#REF!</v>
      </c>
      <c r="J326">
        <f>IFERROR(SEARCH(search!$B$6,samples!#REF!,1),0)</f>
        <v>0</v>
      </c>
      <c r="K326" t="e">
        <f>IF(samples!#REF!=0,"",samples!#REF!)</f>
        <v>#REF!</v>
      </c>
      <c r="L326">
        <f>IFERROR(SEARCH(search!$B$6,samples!#REF!,1),0)</f>
        <v>0</v>
      </c>
      <c r="M326" t="e">
        <f>IF(samples!#REF!=0,"",samples!#REF!)</f>
        <v>#REF!</v>
      </c>
      <c r="N326">
        <f>IFERROR(SEARCH(search!$B$6,samples!#REF!,1),0)</f>
        <v>0</v>
      </c>
      <c r="O326" t="e">
        <f>IF(samples!#REF!=0,"",samples!#REF!)</f>
        <v>#REF!</v>
      </c>
      <c r="P326">
        <f>IFERROR(SEARCH(search!$B$6,samples!#REF!,1),0)</f>
        <v>0</v>
      </c>
      <c r="Q326" t="e">
        <f>IF(samples!#REF!=0,"",samples!#REF!)</f>
        <v>#REF!</v>
      </c>
      <c r="R326">
        <f>IFERROR(SEARCH(search!$B$6,samples!#REF!,1),0)</f>
        <v>0</v>
      </c>
      <c r="S326" t="e">
        <f>IF(samples!#REF!=0,"",samples!#REF!)</f>
        <v>#REF!</v>
      </c>
      <c r="T326">
        <f>IFERROR(SEARCH(search!$B$6,samples!#REF!,1),0)</f>
        <v>0</v>
      </c>
      <c r="U326" t="e">
        <f>IF(samples!#REF!=0,"",samples!#REF!)</f>
        <v>#REF!</v>
      </c>
      <c r="V326">
        <f>IFERROR(SEARCH(search!$B$6,samples!#REF!,1),0)</f>
        <v>0</v>
      </c>
      <c r="W326" t="e">
        <f>IF(samples!#REF!=0,"",samples!#REF!)</f>
        <v>#REF!</v>
      </c>
      <c r="X326">
        <f>IFERROR(SEARCH(search!$B$6,samples!#REF!,1),0)</f>
        <v>0</v>
      </c>
      <c r="Y326" t="e">
        <f>IF(samples!#REF!=0,"",samples!#REF!)</f>
        <v>#REF!</v>
      </c>
      <c r="Z326">
        <f>IFERROR(SEARCH(search!$B$6,samples!#REF!,1),0)</f>
        <v>0</v>
      </c>
      <c r="AA326" t="e">
        <f>IF(samples!#REF!=0,"",samples!#REF!)</f>
        <v>#REF!</v>
      </c>
      <c r="AB326">
        <f>IFERROR(SEARCH(search!$B$6,samples!#REF!,1),0)</f>
        <v>0</v>
      </c>
      <c r="AC326" t="e">
        <f>IF(samples!#REF!=0,"",samples!#REF!)</f>
        <v>#REF!</v>
      </c>
      <c r="AD326">
        <f>IFERROR(SEARCH(search!$B$6,samples!#REF!,1),0)</f>
        <v>0</v>
      </c>
    </row>
    <row r="327" spans="1:30">
      <c r="A327">
        <f t="shared" si="5"/>
        <v>0</v>
      </c>
      <c r="B327">
        <f>IF(SUM(D327,F327,H327,J327,L327,N327,P327,R327,T327,V327,X327,Z327,AB327,AD327)&gt;0,SUM($A$2:A327),0)</f>
        <v>0</v>
      </c>
      <c r="C327" t="e">
        <f>samples!#REF!</f>
        <v>#REF!</v>
      </c>
      <c r="D327">
        <f>IFERROR(SEARCH(search!$B$6,samples!#REF!,1),0)</f>
        <v>0</v>
      </c>
      <c r="E327" t="e">
        <f>IF(samples!#REF!=0,"",samples!#REF!)</f>
        <v>#REF!</v>
      </c>
      <c r="F327">
        <f>IFERROR(SEARCH(search!$B$6,samples!#REF!,1),0)</f>
        <v>0</v>
      </c>
      <c r="G327" t="e">
        <f>IF(samples!#REF!=0,"",samples!#REF!)</f>
        <v>#REF!</v>
      </c>
      <c r="H327">
        <f>IFERROR(SEARCH(search!$B$6,samples!#REF!,1),0)</f>
        <v>0</v>
      </c>
      <c r="I327" t="e">
        <f>IF(samples!#REF!=0,"",samples!#REF!)</f>
        <v>#REF!</v>
      </c>
      <c r="J327">
        <f>IFERROR(SEARCH(search!$B$6,samples!#REF!,1),0)</f>
        <v>0</v>
      </c>
      <c r="K327" t="e">
        <f>IF(samples!#REF!=0,"",samples!#REF!)</f>
        <v>#REF!</v>
      </c>
      <c r="L327">
        <f>IFERROR(SEARCH(search!$B$6,samples!#REF!,1),0)</f>
        <v>0</v>
      </c>
      <c r="M327" t="e">
        <f>IF(samples!#REF!=0,"",samples!#REF!)</f>
        <v>#REF!</v>
      </c>
      <c r="N327">
        <f>IFERROR(SEARCH(search!$B$6,samples!#REF!,1),0)</f>
        <v>0</v>
      </c>
      <c r="O327" t="e">
        <f>IF(samples!#REF!=0,"",samples!#REF!)</f>
        <v>#REF!</v>
      </c>
      <c r="P327">
        <f>IFERROR(SEARCH(search!$B$6,samples!#REF!,1),0)</f>
        <v>0</v>
      </c>
      <c r="Q327" t="e">
        <f>IF(samples!#REF!=0,"",samples!#REF!)</f>
        <v>#REF!</v>
      </c>
      <c r="R327">
        <f>IFERROR(SEARCH(search!$B$6,samples!#REF!,1),0)</f>
        <v>0</v>
      </c>
      <c r="S327" t="e">
        <f>IF(samples!#REF!=0,"",samples!#REF!)</f>
        <v>#REF!</v>
      </c>
      <c r="T327">
        <f>IFERROR(SEARCH(search!$B$6,samples!#REF!,1),0)</f>
        <v>0</v>
      </c>
      <c r="U327" t="e">
        <f>IF(samples!#REF!=0,"",samples!#REF!)</f>
        <v>#REF!</v>
      </c>
      <c r="V327">
        <f>IFERROR(SEARCH(search!$B$6,samples!#REF!,1),0)</f>
        <v>0</v>
      </c>
      <c r="W327" t="e">
        <f>IF(samples!#REF!=0,"",samples!#REF!)</f>
        <v>#REF!</v>
      </c>
      <c r="X327">
        <f>IFERROR(SEARCH(search!$B$6,samples!#REF!,1),0)</f>
        <v>0</v>
      </c>
      <c r="Y327" t="e">
        <f>IF(samples!#REF!=0,"",samples!#REF!)</f>
        <v>#REF!</v>
      </c>
      <c r="Z327">
        <f>IFERROR(SEARCH(search!$B$6,samples!#REF!,1),0)</f>
        <v>0</v>
      </c>
      <c r="AA327" t="e">
        <f>IF(samples!#REF!=0,"",samples!#REF!)</f>
        <v>#REF!</v>
      </c>
      <c r="AB327">
        <f>IFERROR(SEARCH(search!$B$6,samples!#REF!,1),0)</f>
        <v>0</v>
      </c>
      <c r="AC327" t="e">
        <f>IF(samples!#REF!=0,"",samples!#REF!)</f>
        <v>#REF!</v>
      </c>
      <c r="AD327">
        <f>IFERROR(SEARCH(search!$B$6,samples!#REF!,1),0)</f>
        <v>0</v>
      </c>
    </row>
    <row r="328" spans="1:30">
      <c r="A328">
        <f t="shared" si="5"/>
        <v>0</v>
      </c>
      <c r="B328">
        <f>IF(SUM(D328,F328,H328,J328,L328,N328,P328,R328,T328,V328,X328,Z328,AB328,AD328)&gt;0,SUM($A$2:A328),0)</f>
        <v>0</v>
      </c>
      <c r="C328" t="e">
        <f>samples!#REF!</f>
        <v>#REF!</v>
      </c>
      <c r="D328">
        <f>IFERROR(SEARCH(search!$B$6,samples!#REF!,1),0)</f>
        <v>0</v>
      </c>
      <c r="E328" t="e">
        <f>IF(samples!#REF!=0,"",samples!#REF!)</f>
        <v>#REF!</v>
      </c>
      <c r="F328">
        <f>IFERROR(SEARCH(search!$B$6,samples!#REF!,1),0)</f>
        <v>0</v>
      </c>
      <c r="G328" t="e">
        <f>IF(samples!#REF!=0,"",samples!#REF!)</f>
        <v>#REF!</v>
      </c>
      <c r="H328">
        <f>IFERROR(SEARCH(search!$B$6,samples!#REF!,1),0)</f>
        <v>0</v>
      </c>
      <c r="I328" t="e">
        <f>IF(samples!#REF!=0,"",samples!#REF!)</f>
        <v>#REF!</v>
      </c>
      <c r="J328">
        <f>IFERROR(SEARCH(search!$B$6,samples!#REF!,1),0)</f>
        <v>0</v>
      </c>
      <c r="K328" t="e">
        <f>IF(samples!#REF!=0,"",samples!#REF!)</f>
        <v>#REF!</v>
      </c>
      <c r="L328">
        <f>IFERROR(SEARCH(search!$B$6,samples!#REF!,1),0)</f>
        <v>0</v>
      </c>
      <c r="M328" t="e">
        <f>IF(samples!#REF!=0,"",samples!#REF!)</f>
        <v>#REF!</v>
      </c>
      <c r="N328">
        <f>IFERROR(SEARCH(search!$B$6,samples!#REF!,1),0)</f>
        <v>0</v>
      </c>
      <c r="O328" t="e">
        <f>IF(samples!#REF!=0,"",samples!#REF!)</f>
        <v>#REF!</v>
      </c>
      <c r="P328">
        <f>IFERROR(SEARCH(search!$B$6,samples!#REF!,1),0)</f>
        <v>0</v>
      </c>
      <c r="Q328" t="e">
        <f>IF(samples!#REF!=0,"",samples!#REF!)</f>
        <v>#REF!</v>
      </c>
      <c r="R328">
        <f>IFERROR(SEARCH(search!$B$6,samples!#REF!,1),0)</f>
        <v>0</v>
      </c>
      <c r="S328" t="e">
        <f>IF(samples!#REF!=0,"",samples!#REF!)</f>
        <v>#REF!</v>
      </c>
      <c r="T328">
        <f>IFERROR(SEARCH(search!$B$6,samples!#REF!,1),0)</f>
        <v>0</v>
      </c>
      <c r="U328" t="e">
        <f>IF(samples!#REF!=0,"",samples!#REF!)</f>
        <v>#REF!</v>
      </c>
      <c r="V328">
        <f>IFERROR(SEARCH(search!$B$6,samples!#REF!,1),0)</f>
        <v>0</v>
      </c>
      <c r="W328" t="e">
        <f>IF(samples!#REF!=0,"",samples!#REF!)</f>
        <v>#REF!</v>
      </c>
      <c r="X328">
        <f>IFERROR(SEARCH(search!$B$6,samples!#REF!,1),0)</f>
        <v>0</v>
      </c>
      <c r="Y328" t="e">
        <f>IF(samples!#REF!=0,"",samples!#REF!)</f>
        <v>#REF!</v>
      </c>
      <c r="Z328">
        <f>IFERROR(SEARCH(search!$B$6,samples!#REF!,1),0)</f>
        <v>0</v>
      </c>
      <c r="AA328" t="e">
        <f>IF(samples!#REF!=0,"",samples!#REF!)</f>
        <v>#REF!</v>
      </c>
      <c r="AB328">
        <f>IFERROR(SEARCH(search!$B$6,samples!#REF!,1),0)</f>
        <v>0</v>
      </c>
      <c r="AC328" t="e">
        <f>IF(samples!#REF!=0,"",samples!#REF!)</f>
        <v>#REF!</v>
      </c>
      <c r="AD328">
        <f>IFERROR(SEARCH(search!$B$6,samples!#REF!,1),0)</f>
        <v>0</v>
      </c>
    </row>
    <row r="329" spans="1:30">
      <c r="A329">
        <f t="shared" si="5"/>
        <v>0</v>
      </c>
      <c r="B329">
        <f>IF(SUM(D329,F329,H329,J329,L329,N329,P329,R329,T329,V329,X329,Z329,AB329,AD329)&gt;0,SUM($A$2:A329),0)</f>
        <v>0</v>
      </c>
      <c r="C329" t="e">
        <f>samples!#REF!</f>
        <v>#REF!</v>
      </c>
      <c r="D329">
        <f>IFERROR(SEARCH(search!$B$6,samples!#REF!,1),0)</f>
        <v>0</v>
      </c>
      <c r="E329" t="e">
        <f>IF(samples!#REF!=0,"",samples!#REF!)</f>
        <v>#REF!</v>
      </c>
      <c r="F329">
        <f>IFERROR(SEARCH(search!$B$6,samples!#REF!,1),0)</f>
        <v>0</v>
      </c>
      <c r="G329" t="e">
        <f>IF(samples!#REF!=0,"",samples!#REF!)</f>
        <v>#REF!</v>
      </c>
      <c r="H329">
        <f>IFERROR(SEARCH(search!$B$6,samples!#REF!,1),0)</f>
        <v>0</v>
      </c>
      <c r="I329" t="e">
        <f>IF(samples!#REF!=0,"",samples!#REF!)</f>
        <v>#REF!</v>
      </c>
      <c r="J329">
        <f>IFERROR(SEARCH(search!$B$6,samples!#REF!,1),0)</f>
        <v>0</v>
      </c>
      <c r="K329" t="e">
        <f>IF(samples!#REF!=0,"",samples!#REF!)</f>
        <v>#REF!</v>
      </c>
      <c r="L329">
        <f>IFERROR(SEARCH(search!$B$6,samples!#REF!,1),0)</f>
        <v>0</v>
      </c>
      <c r="M329" t="e">
        <f>IF(samples!#REF!=0,"",samples!#REF!)</f>
        <v>#REF!</v>
      </c>
      <c r="N329">
        <f>IFERROR(SEARCH(search!$B$6,samples!#REF!,1),0)</f>
        <v>0</v>
      </c>
      <c r="O329" t="e">
        <f>IF(samples!#REF!=0,"",samples!#REF!)</f>
        <v>#REF!</v>
      </c>
      <c r="P329">
        <f>IFERROR(SEARCH(search!$B$6,samples!#REF!,1),0)</f>
        <v>0</v>
      </c>
      <c r="Q329" t="e">
        <f>IF(samples!#REF!=0,"",samples!#REF!)</f>
        <v>#REF!</v>
      </c>
      <c r="R329">
        <f>IFERROR(SEARCH(search!$B$6,samples!#REF!,1),0)</f>
        <v>0</v>
      </c>
      <c r="S329" t="e">
        <f>IF(samples!#REF!=0,"",samples!#REF!)</f>
        <v>#REF!</v>
      </c>
      <c r="T329">
        <f>IFERROR(SEARCH(search!$B$6,samples!#REF!,1),0)</f>
        <v>0</v>
      </c>
      <c r="U329" t="e">
        <f>IF(samples!#REF!=0,"",samples!#REF!)</f>
        <v>#REF!</v>
      </c>
      <c r="V329">
        <f>IFERROR(SEARCH(search!$B$6,samples!#REF!,1),0)</f>
        <v>0</v>
      </c>
      <c r="W329" t="e">
        <f>IF(samples!#REF!=0,"",samples!#REF!)</f>
        <v>#REF!</v>
      </c>
      <c r="X329">
        <f>IFERROR(SEARCH(search!$B$6,samples!#REF!,1),0)</f>
        <v>0</v>
      </c>
      <c r="Y329" t="e">
        <f>IF(samples!#REF!=0,"",samples!#REF!)</f>
        <v>#REF!</v>
      </c>
      <c r="Z329">
        <f>IFERROR(SEARCH(search!$B$6,samples!#REF!,1),0)</f>
        <v>0</v>
      </c>
      <c r="AA329" t="e">
        <f>IF(samples!#REF!=0,"",samples!#REF!)</f>
        <v>#REF!</v>
      </c>
      <c r="AB329">
        <f>IFERROR(SEARCH(search!$B$6,samples!#REF!,1),0)</f>
        <v>0</v>
      </c>
      <c r="AC329" t="e">
        <f>IF(samples!#REF!=0,"",samples!#REF!)</f>
        <v>#REF!</v>
      </c>
      <c r="AD329">
        <f>IFERROR(SEARCH(search!$B$6,samples!#REF!,1),0)</f>
        <v>0</v>
      </c>
    </row>
    <row r="330" spans="1:30">
      <c r="A330">
        <f t="shared" si="5"/>
        <v>0</v>
      </c>
      <c r="B330">
        <f>IF(SUM(D330,F330,H330,J330,L330,N330,P330,R330,T330,V330,X330,Z330,AB330,AD330)&gt;0,SUM($A$2:A330),0)</f>
        <v>0</v>
      </c>
      <c r="C330" t="e">
        <f>samples!#REF!</f>
        <v>#REF!</v>
      </c>
      <c r="D330">
        <f>IFERROR(SEARCH(search!$B$6,samples!#REF!,1),0)</f>
        <v>0</v>
      </c>
      <c r="E330" t="e">
        <f>IF(samples!#REF!=0,"",samples!#REF!)</f>
        <v>#REF!</v>
      </c>
      <c r="F330">
        <f>IFERROR(SEARCH(search!$B$6,samples!#REF!,1),0)</f>
        <v>0</v>
      </c>
      <c r="G330" t="e">
        <f>IF(samples!#REF!=0,"",samples!#REF!)</f>
        <v>#REF!</v>
      </c>
      <c r="H330">
        <f>IFERROR(SEARCH(search!$B$6,samples!#REF!,1),0)</f>
        <v>0</v>
      </c>
      <c r="I330" t="e">
        <f>IF(samples!#REF!=0,"",samples!#REF!)</f>
        <v>#REF!</v>
      </c>
      <c r="J330">
        <f>IFERROR(SEARCH(search!$B$6,samples!#REF!,1),0)</f>
        <v>0</v>
      </c>
      <c r="K330" t="e">
        <f>IF(samples!#REF!=0,"",samples!#REF!)</f>
        <v>#REF!</v>
      </c>
      <c r="L330">
        <f>IFERROR(SEARCH(search!$B$6,samples!#REF!,1),0)</f>
        <v>0</v>
      </c>
      <c r="M330" t="e">
        <f>IF(samples!#REF!=0,"",samples!#REF!)</f>
        <v>#REF!</v>
      </c>
      <c r="N330">
        <f>IFERROR(SEARCH(search!$B$6,samples!#REF!,1),0)</f>
        <v>0</v>
      </c>
      <c r="O330" t="e">
        <f>IF(samples!#REF!=0,"",samples!#REF!)</f>
        <v>#REF!</v>
      </c>
      <c r="P330">
        <f>IFERROR(SEARCH(search!$B$6,samples!#REF!,1),0)</f>
        <v>0</v>
      </c>
      <c r="Q330" t="e">
        <f>IF(samples!#REF!=0,"",samples!#REF!)</f>
        <v>#REF!</v>
      </c>
      <c r="R330">
        <f>IFERROR(SEARCH(search!$B$6,samples!#REF!,1),0)</f>
        <v>0</v>
      </c>
      <c r="S330" t="e">
        <f>IF(samples!#REF!=0,"",samples!#REF!)</f>
        <v>#REF!</v>
      </c>
      <c r="T330">
        <f>IFERROR(SEARCH(search!$B$6,samples!#REF!,1),0)</f>
        <v>0</v>
      </c>
      <c r="U330" t="e">
        <f>IF(samples!#REF!=0,"",samples!#REF!)</f>
        <v>#REF!</v>
      </c>
      <c r="V330">
        <f>IFERROR(SEARCH(search!$B$6,samples!#REF!,1),0)</f>
        <v>0</v>
      </c>
      <c r="W330" t="e">
        <f>IF(samples!#REF!=0,"",samples!#REF!)</f>
        <v>#REF!</v>
      </c>
      <c r="X330">
        <f>IFERROR(SEARCH(search!$B$6,samples!#REF!,1),0)</f>
        <v>0</v>
      </c>
      <c r="Y330" t="e">
        <f>IF(samples!#REF!=0,"",samples!#REF!)</f>
        <v>#REF!</v>
      </c>
      <c r="Z330">
        <f>IFERROR(SEARCH(search!$B$6,samples!#REF!,1),0)</f>
        <v>0</v>
      </c>
      <c r="AA330" t="e">
        <f>IF(samples!#REF!=0,"",samples!#REF!)</f>
        <v>#REF!</v>
      </c>
      <c r="AB330">
        <f>IFERROR(SEARCH(search!$B$6,samples!#REF!,1),0)</f>
        <v>0</v>
      </c>
      <c r="AC330" t="e">
        <f>IF(samples!#REF!=0,"",samples!#REF!)</f>
        <v>#REF!</v>
      </c>
      <c r="AD330">
        <f>IFERROR(SEARCH(search!$B$6,samples!#REF!,1),0)</f>
        <v>0</v>
      </c>
    </row>
    <row r="331" spans="1:30">
      <c r="A331">
        <f t="shared" si="5"/>
        <v>0</v>
      </c>
      <c r="B331">
        <f>IF(SUM(D331,F331,H331,J331,L331,N331,P331,R331,T331,V331,X331,Z331,AB331,AD331)&gt;0,SUM($A$2:A331),0)</f>
        <v>0</v>
      </c>
      <c r="C331" t="e">
        <f>samples!#REF!</f>
        <v>#REF!</v>
      </c>
      <c r="D331">
        <f>IFERROR(SEARCH(search!$B$6,samples!#REF!,1),0)</f>
        <v>0</v>
      </c>
      <c r="E331" t="e">
        <f>IF(samples!#REF!=0,"",samples!#REF!)</f>
        <v>#REF!</v>
      </c>
      <c r="F331">
        <f>IFERROR(SEARCH(search!$B$6,samples!#REF!,1),0)</f>
        <v>0</v>
      </c>
      <c r="G331" t="e">
        <f>IF(samples!#REF!=0,"",samples!#REF!)</f>
        <v>#REF!</v>
      </c>
      <c r="H331">
        <f>IFERROR(SEARCH(search!$B$6,samples!#REF!,1),0)</f>
        <v>0</v>
      </c>
      <c r="I331" t="e">
        <f>IF(samples!#REF!=0,"",samples!#REF!)</f>
        <v>#REF!</v>
      </c>
      <c r="J331">
        <f>IFERROR(SEARCH(search!$B$6,samples!#REF!,1),0)</f>
        <v>0</v>
      </c>
      <c r="K331" t="e">
        <f>IF(samples!#REF!=0,"",samples!#REF!)</f>
        <v>#REF!</v>
      </c>
      <c r="L331">
        <f>IFERROR(SEARCH(search!$B$6,samples!#REF!,1),0)</f>
        <v>0</v>
      </c>
      <c r="M331" t="e">
        <f>IF(samples!#REF!=0,"",samples!#REF!)</f>
        <v>#REF!</v>
      </c>
      <c r="N331">
        <f>IFERROR(SEARCH(search!$B$6,samples!#REF!,1),0)</f>
        <v>0</v>
      </c>
      <c r="O331" t="e">
        <f>IF(samples!#REF!=0,"",samples!#REF!)</f>
        <v>#REF!</v>
      </c>
      <c r="P331">
        <f>IFERROR(SEARCH(search!$B$6,samples!#REF!,1),0)</f>
        <v>0</v>
      </c>
      <c r="Q331" t="e">
        <f>IF(samples!#REF!=0,"",samples!#REF!)</f>
        <v>#REF!</v>
      </c>
      <c r="R331">
        <f>IFERROR(SEARCH(search!$B$6,samples!#REF!,1),0)</f>
        <v>0</v>
      </c>
      <c r="S331" t="e">
        <f>IF(samples!#REF!=0,"",samples!#REF!)</f>
        <v>#REF!</v>
      </c>
      <c r="T331">
        <f>IFERROR(SEARCH(search!$B$6,samples!#REF!,1),0)</f>
        <v>0</v>
      </c>
      <c r="U331" t="e">
        <f>IF(samples!#REF!=0,"",samples!#REF!)</f>
        <v>#REF!</v>
      </c>
      <c r="V331">
        <f>IFERROR(SEARCH(search!$B$6,samples!#REF!,1),0)</f>
        <v>0</v>
      </c>
      <c r="W331" t="e">
        <f>IF(samples!#REF!=0,"",samples!#REF!)</f>
        <v>#REF!</v>
      </c>
      <c r="X331">
        <f>IFERROR(SEARCH(search!$B$6,samples!#REF!,1),0)</f>
        <v>0</v>
      </c>
      <c r="Y331" t="e">
        <f>IF(samples!#REF!=0,"",samples!#REF!)</f>
        <v>#REF!</v>
      </c>
      <c r="Z331">
        <f>IFERROR(SEARCH(search!$B$6,samples!#REF!,1),0)</f>
        <v>0</v>
      </c>
      <c r="AA331" t="e">
        <f>IF(samples!#REF!=0,"",samples!#REF!)</f>
        <v>#REF!</v>
      </c>
      <c r="AB331">
        <f>IFERROR(SEARCH(search!$B$6,samples!#REF!,1),0)</f>
        <v>0</v>
      </c>
      <c r="AC331" t="e">
        <f>IF(samples!#REF!=0,"",samples!#REF!)</f>
        <v>#REF!</v>
      </c>
      <c r="AD331">
        <f>IFERROR(SEARCH(search!$B$6,samples!#REF!,1),0)</f>
        <v>0</v>
      </c>
    </row>
    <row r="332" spans="1:30">
      <c r="A332">
        <f t="shared" si="5"/>
        <v>0</v>
      </c>
      <c r="B332">
        <f>IF(SUM(D332,F332,H332,J332,L332,N332,P332,R332,T332,V332,X332,Z332,AB332,AD332)&gt;0,SUM($A$2:A332),0)</f>
        <v>0</v>
      </c>
      <c r="C332" t="e">
        <f>samples!#REF!</f>
        <v>#REF!</v>
      </c>
      <c r="D332">
        <f>IFERROR(SEARCH(search!$B$6,samples!#REF!,1),0)</f>
        <v>0</v>
      </c>
      <c r="E332" t="e">
        <f>IF(samples!#REF!=0,"",samples!#REF!)</f>
        <v>#REF!</v>
      </c>
      <c r="F332">
        <f>IFERROR(SEARCH(search!$B$6,samples!#REF!,1),0)</f>
        <v>0</v>
      </c>
      <c r="G332" t="e">
        <f>IF(samples!#REF!=0,"",samples!#REF!)</f>
        <v>#REF!</v>
      </c>
      <c r="H332">
        <f>IFERROR(SEARCH(search!$B$6,samples!#REF!,1),0)</f>
        <v>0</v>
      </c>
      <c r="I332" t="e">
        <f>IF(samples!#REF!=0,"",samples!#REF!)</f>
        <v>#REF!</v>
      </c>
      <c r="J332">
        <f>IFERROR(SEARCH(search!$B$6,samples!#REF!,1),0)</f>
        <v>0</v>
      </c>
      <c r="K332" t="e">
        <f>IF(samples!#REF!=0,"",samples!#REF!)</f>
        <v>#REF!</v>
      </c>
      <c r="L332">
        <f>IFERROR(SEARCH(search!$B$6,samples!#REF!,1),0)</f>
        <v>0</v>
      </c>
      <c r="M332" t="e">
        <f>IF(samples!#REF!=0,"",samples!#REF!)</f>
        <v>#REF!</v>
      </c>
      <c r="N332">
        <f>IFERROR(SEARCH(search!$B$6,samples!#REF!,1),0)</f>
        <v>0</v>
      </c>
      <c r="O332" t="e">
        <f>IF(samples!#REF!=0,"",samples!#REF!)</f>
        <v>#REF!</v>
      </c>
      <c r="P332">
        <f>IFERROR(SEARCH(search!$B$6,samples!#REF!,1),0)</f>
        <v>0</v>
      </c>
      <c r="Q332" t="e">
        <f>IF(samples!#REF!=0,"",samples!#REF!)</f>
        <v>#REF!</v>
      </c>
      <c r="R332">
        <f>IFERROR(SEARCH(search!$B$6,samples!#REF!,1),0)</f>
        <v>0</v>
      </c>
      <c r="S332" t="e">
        <f>IF(samples!#REF!=0,"",samples!#REF!)</f>
        <v>#REF!</v>
      </c>
      <c r="T332">
        <f>IFERROR(SEARCH(search!$B$6,samples!#REF!,1),0)</f>
        <v>0</v>
      </c>
      <c r="U332" t="e">
        <f>IF(samples!#REF!=0,"",samples!#REF!)</f>
        <v>#REF!</v>
      </c>
      <c r="V332">
        <f>IFERROR(SEARCH(search!$B$6,samples!#REF!,1),0)</f>
        <v>0</v>
      </c>
      <c r="W332" t="e">
        <f>IF(samples!#REF!=0,"",samples!#REF!)</f>
        <v>#REF!</v>
      </c>
      <c r="X332">
        <f>IFERROR(SEARCH(search!$B$6,samples!#REF!,1),0)</f>
        <v>0</v>
      </c>
      <c r="Y332" t="e">
        <f>IF(samples!#REF!=0,"",samples!#REF!)</f>
        <v>#REF!</v>
      </c>
      <c r="Z332">
        <f>IFERROR(SEARCH(search!$B$6,samples!#REF!,1),0)</f>
        <v>0</v>
      </c>
      <c r="AA332" t="e">
        <f>IF(samples!#REF!=0,"",samples!#REF!)</f>
        <v>#REF!</v>
      </c>
      <c r="AB332">
        <f>IFERROR(SEARCH(search!$B$6,samples!#REF!,1),0)</f>
        <v>0</v>
      </c>
      <c r="AC332" t="e">
        <f>IF(samples!#REF!=0,"",samples!#REF!)</f>
        <v>#REF!</v>
      </c>
      <c r="AD332">
        <f>IFERROR(SEARCH(search!$B$6,samples!#REF!,1),0)</f>
        <v>0</v>
      </c>
    </row>
    <row r="333" spans="1:30">
      <c r="A333">
        <f t="shared" si="5"/>
        <v>0</v>
      </c>
      <c r="B333">
        <f>IF(SUM(D333,F333,H333,J333,L333,N333,P333,R333,T333,V333,X333,Z333,AB333,AD333)&gt;0,SUM($A$2:A333),0)</f>
        <v>0</v>
      </c>
      <c r="C333" t="e">
        <f>samples!#REF!</f>
        <v>#REF!</v>
      </c>
      <c r="D333">
        <f>IFERROR(SEARCH(search!$B$6,samples!#REF!,1),0)</f>
        <v>0</v>
      </c>
      <c r="E333" t="e">
        <f>IF(samples!#REF!=0,"",samples!#REF!)</f>
        <v>#REF!</v>
      </c>
      <c r="F333">
        <f>IFERROR(SEARCH(search!$B$6,samples!#REF!,1),0)</f>
        <v>0</v>
      </c>
      <c r="G333" t="e">
        <f>IF(samples!#REF!=0,"",samples!#REF!)</f>
        <v>#REF!</v>
      </c>
      <c r="H333">
        <f>IFERROR(SEARCH(search!$B$6,samples!#REF!,1),0)</f>
        <v>0</v>
      </c>
      <c r="I333" t="e">
        <f>IF(samples!#REF!=0,"",samples!#REF!)</f>
        <v>#REF!</v>
      </c>
      <c r="J333">
        <f>IFERROR(SEARCH(search!$B$6,samples!#REF!,1),0)</f>
        <v>0</v>
      </c>
      <c r="K333" t="e">
        <f>IF(samples!#REF!=0,"",samples!#REF!)</f>
        <v>#REF!</v>
      </c>
      <c r="L333">
        <f>IFERROR(SEARCH(search!$B$6,samples!#REF!,1),0)</f>
        <v>0</v>
      </c>
      <c r="M333" t="e">
        <f>IF(samples!#REF!=0,"",samples!#REF!)</f>
        <v>#REF!</v>
      </c>
      <c r="N333">
        <f>IFERROR(SEARCH(search!$B$6,samples!#REF!,1),0)</f>
        <v>0</v>
      </c>
      <c r="O333" t="e">
        <f>IF(samples!#REF!=0,"",samples!#REF!)</f>
        <v>#REF!</v>
      </c>
      <c r="P333">
        <f>IFERROR(SEARCH(search!$B$6,samples!#REF!,1),0)</f>
        <v>0</v>
      </c>
      <c r="Q333" t="e">
        <f>IF(samples!#REF!=0,"",samples!#REF!)</f>
        <v>#REF!</v>
      </c>
      <c r="R333">
        <f>IFERROR(SEARCH(search!$B$6,samples!#REF!,1),0)</f>
        <v>0</v>
      </c>
      <c r="S333" t="e">
        <f>IF(samples!#REF!=0,"",samples!#REF!)</f>
        <v>#REF!</v>
      </c>
      <c r="T333">
        <f>IFERROR(SEARCH(search!$B$6,samples!#REF!,1),0)</f>
        <v>0</v>
      </c>
      <c r="U333" t="e">
        <f>IF(samples!#REF!=0,"",samples!#REF!)</f>
        <v>#REF!</v>
      </c>
      <c r="V333">
        <f>IFERROR(SEARCH(search!$B$6,samples!#REF!,1),0)</f>
        <v>0</v>
      </c>
      <c r="W333" t="e">
        <f>IF(samples!#REF!=0,"",samples!#REF!)</f>
        <v>#REF!</v>
      </c>
      <c r="X333">
        <f>IFERROR(SEARCH(search!$B$6,samples!#REF!,1),0)</f>
        <v>0</v>
      </c>
      <c r="Y333" t="e">
        <f>IF(samples!#REF!=0,"",samples!#REF!)</f>
        <v>#REF!</v>
      </c>
      <c r="Z333">
        <f>IFERROR(SEARCH(search!$B$6,samples!#REF!,1),0)</f>
        <v>0</v>
      </c>
      <c r="AA333" t="e">
        <f>IF(samples!#REF!=0,"",samples!#REF!)</f>
        <v>#REF!</v>
      </c>
      <c r="AB333">
        <f>IFERROR(SEARCH(search!$B$6,samples!#REF!,1),0)</f>
        <v>0</v>
      </c>
      <c r="AC333" t="e">
        <f>IF(samples!#REF!=0,"",samples!#REF!)</f>
        <v>#REF!</v>
      </c>
      <c r="AD333">
        <f>IFERROR(SEARCH(search!$B$6,samples!#REF!,1),0)</f>
        <v>0</v>
      </c>
    </row>
    <row r="334" spans="1:30">
      <c r="A334">
        <f t="shared" si="5"/>
        <v>0</v>
      </c>
      <c r="B334">
        <f>IF(SUM(D334,F334,H334,J334,L334,N334,P334,R334,T334,V334,X334,Z334,AB334,AD334)&gt;0,SUM($A$2:A334),0)</f>
        <v>0</v>
      </c>
      <c r="C334" t="e">
        <f>samples!#REF!</f>
        <v>#REF!</v>
      </c>
      <c r="D334">
        <f>IFERROR(SEARCH(search!$B$6,samples!#REF!,1),0)</f>
        <v>0</v>
      </c>
      <c r="E334" t="e">
        <f>IF(samples!#REF!=0,"",samples!#REF!)</f>
        <v>#REF!</v>
      </c>
      <c r="F334">
        <f>IFERROR(SEARCH(search!$B$6,samples!#REF!,1),0)</f>
        <v>0</v>
      </c>
      <c r="G334" t="e">
        <f>IF(samples!#REF!=0,"",samples!#REF!)</f>
        <v>#REF!</v>
      </c>
      <c r="H334">
        <f>IFERROR(SEARCH(search!$B$6,samples!#REF!,1),0)</f>
        <v>0</v>
      </c>
      <c r="I334" t="e">
        <f>IF(samples!#REF!=0,"",samples!#REF!)</f>
        <v>#REF!</v>
      </c>
      <c r="J334">
        <f>IFERROR(SEARCH(search!$B$6,samples!#REF!,1),0)</f>
        <v>0</v>
      </c>
      <c r="K334" t="e">
        <f>IF(samples!#REF!=0,"",samples!#REF!)</f>
        <v>#REF!</v>
      </c>
      <c r="L334">
        <f>IFERROR(SEARCH(search!$B$6,samples!#REF!,1),0)</f>
        <v>0</v>
      </c>
      <c r="M334" t="e">
        <f>IF(samples!#REF!=0,"",samples!#REF!)</f>
        <v>#REF!</v>
      </c>
      <c r="N334">
        <f>IFERROR(SEARCH(search!$B$6,samples!#REF!,1),0)</f>
        <v>0</v>
      </c>
      <c r="O334" t="e">
        <f>IF(samples!#REF!=0,"",samples!#REF!)</f>
        <v>#REF!</v>
      </c>
      <c r="P334">
        <f>IFERROR(SEARCH(search!$B$6,samples!#REF!,1),0)</f>
        <v>0</v>
      </c>
      <c r="Q334" t="e">
        <f>IF(samples!#REF!=0,"",samples!#REF!)</f>
        <v>#REF!</v>
      </c>
      <c r="R334">
        <f>IFERROR(SEARCH(search!$B$6,samples!#REF!,1),0)</f>
        <v>0</v>
      </c>
      <c r="S334" t="e">
        <f>IF(samples!#REF!=0,"",samples!#REF!)</f>
        <v>#REF!</v>
      </c>
      <c r="T334">
        <f>IFERROR(SEARCH(search!$B$6,samples!#REF!,1),0)</f>
        <v>0</v>
      </c>
      <c r="U334" t="e">
        <f>IF(samples!#REF!=0,"",samples!#REF!)</f>
        <v>#REF!</v>
      </c>
      <c r="V334">
        <f>IFERROR(SEARCH(search!$B$6,samples!#REF!,1),0)</f>
        <v>0</v>
      </c>
      <c r="W334" t="e">
        <f>IF(samples!#REF!=0,"",samples!#REF!)</f>
        <v>#REF!</v>
      </c>
      <c r="X334">
        <f>IFERROR(SEARCH(search!$B$6,samples!#REF!,1),0)</f>
        <v>0</v>
      </c>
      <c r="Y334" t="e">
        <f>IF(samples!#REF!=0,"",samples!#REF!)</f>
        <v>#REF!</v>
      </c>
      <c r="Z334">
        <f>IFERROR(SEARCH(search!$B$6,samples!#REF!,1),0)</f>
        <v>0</v>
      </c>
      <c r="AA334" t="e">
        <f>IF(samples!#REF!=0,"",samples!#REF!)</f>
        <v>#REF!</v>
      </c>
      <c r="AB334">
        <f>IFERROR(SEARCH(search!$B$6,samples!#REF!,1),0)</f>
        <v>0</v>
      </c>
      <c r="AC334" t="e">
        <f>IF(samples!#REF!=0,"",samples!#REF!)</f>
        <v>#REF!</v>
      </c>
      <c r="AD334">
        <f>IFERROR(SEARCH(search!$B$6,samples!#REF!,1),0)</f>
        <v>0</v>
      </c>
    </row>
    <row r="335" spans="1:30">
      <c r="A335">
        <f t="shared" si="5"/>
        <v>0</v>
      </c>
      <c r="B335">
        <f>IF(SUM(D335,F335,H335,J335,L335,N335,P335,R335,T335,V335,X335,Z335,AB335,AD335)&gt;0,SUM($A$2:A335),0)</f>
        <v>0</v>
      </c>
      <c r="C335" t="e">
        <f>samples!#REF!</f>
        <v>#REF!</v>
      </c>
      <c r="D335">
        <f>IFERROR(SEARCH(search!$B$6,samples!#REF!,1),0)</f>
        <v>0</v>
      </c>
      <c r="E335" t="e">
        <f>IF(samples!#REF!=0,"",samples!#REF!)</f>
        <v>#REF!</v>
      </c>
      <c r="F335">
        <f>IFERROR(SEARCH(search!$B$6,samples!#REF!,1),0)</f>
        <v>0</v>
      </c>
      <c r="G335" t="e">
        <f>IF(samples!#REF!=0,"",samples!#REF!)</f>
        <v>#REF!</v>
      </c>
      <c r="H335">
        <f>IFERROR(SEARCH(search!$B$6,samples!#REF!,1),0)</f>
        <v>0</v>
      </c>
      <c r="I335" t="e">
        <f>IF(samples!#REF!=0,"",samples!#REF!)</f>
        <v>#REF!</v>
      </c>
      <c r="J335">
        <f>IFERROR(SEARCH(search!$B$6,samples!#REF!,1),0)</f>
        <v>0</v>
      </c>
      <c r="K335" t="e">
        <f>IF(samples!#REF!=0,"",samples!#REF!)</f>
        <v>#REF!</v>
      </c>
      <c r="L335">
        <f>IFERROR(SEARCH(search!$B$6,samples!#REF!,1),0)</f>
        <v>0</v>
      </c>
      <c r="M335" t="e">
        <f>IF(samples!#REF!=0,"",samples!#REF!)</f>
        <v>#REF!</v>
      </c>
      <c r="N335">
        <f>IFERROR(SEARCH(search!$B$6,samples!#REF!,1),0)</f>
        <v>0</v>
      </c>
      <c r="O335" t="e">
        <f>IF(samples!#REF!=0,"",samples!#REF!)</f>
        <v>#REF!</v>
      </c>
      <c r="P335">
        <f>IFERROR(SEARCH(search!$B$6,samples!#REF!,1),0)</f>
        <v>0</v>
      </c>
      <c r="Q335" t="e">
        <f>IF(samples!#REF!=0,"",samples!#REF!)</f>
        <v>#REF!</v>
      </c>
      <c r="R335">
        <f>IFERROR(SEARCH(search!$B$6,samples!#REF!,1),0)</f>
        <v>0</v>
      </c>
      <c r="S335" t="e">
        <f>IF(samples!#REF!=0,"",samples!#REF!)</f>
        <v>#REF!</v>
      </c>
      <c r="T335">
        <f>IFERROR(SEARCH(search!$B$6,samples!#REF!,1),0)</f>
        <v>0</v>
      </c>
      <c r="U335" t="e">
        <f>IF(samples!#REF!=0,"",samples!#REF!)</f>
        <v>#REF!</v>
      </c>
      <c r="V335">
        <f>IFERROR(SEARCH(search!$B$6,samples!#REF!,1),0)</f>
        <v>0</v>
      </c>
      <c r="W335" t="e">
        <f>IF(samples!#REF!=0,"",samples!#REF!)</f>
        <v>#REF!</v>
      </c>
      <c r="X335">
        <f>IFERROR(SEARCH(search!$B$6,samples!#REF!,1),0)</f>
        <v>0</v>
      </c>
      <c r="Y335" t="e">
        <f>IF(samples!#REF!=0,"",samples!#REF!)</f>
        <v>#REF!</v>
      </c>
      <c r="Z335">
        <f>IFERROR(SEARCH(search!$B$6,samples!#REF!,1),0)</f>
        <v>0</v>
      </c>
      <c r="AA335" t="e">
        <f>IF(samples!#REF!=0,"",samples!#REF!)</f>
        <v>#REF!</v>
      </c>
      <c r="AB335">
        <f>IFERROR(SEARCH(search!$B$6,samples!#REF!,1),0)</f>
        <v>0</v>
      </c>
      <c r="AC335" t="e">
        <f>IF(samples!#REF!=0,"",samples!#REF!)</f>
        <v>#REF!</v>
      </c>
      <c r="AD335">
        <f>IFERROR(SEARCH(search!$B$6,samples!#REF!,1),0)</f>
        <v>0</v>
      </c>
    </row>
    <row r="336" spans="1:30">
      <c r="A336">
        <f t="shared" si="5"/>
        <v>0</v>
      </c>
      <c r="B336">
        <f>IF(SUM(D336,F336,H336,J336,L336,N336,P336,R336,T336,V336,X336,Z336,AB336,AD336)&gt;0,SUM($A$2:A336),0)</f>
        <v>0</v>
      </c>
      <c r="C336" t="e">
        <f>samples!#REF!</f>
        <v>#REF!</v>
      </c>
      <c r="D336">
        <f>IFERROR(SEARCH(search!$B$6,samples!#REF!,1),0)</f>
        <v>0</v>
      </c>
      <c r="E336" t="e">
        <f>IF(samples!#REF!=0,"",samples!#REF!)</f>
        <v>#REF!</v>
      </c>
      <c r="F336">
        <f>IFERROR(SEARCH(search!$B$6,samples!#REF!,1),0)</f>
        <v>0</v>
      </c>
      <c r="G336" t="e">
        <f>IF(samples!#REF!=0,"",samples!#REF!)</f>
        <v>#REF!</v>
      </c>
      <c r="H336">
        <f>IFERROR(SEARCH(search!$B$6,samples!#REF!,1),0)</f>
        <v>0</v>
      </c>
      <c r="I336" t="e">
        <f>IF(samples!#REF!=0,"",samples!#REF!)</f>
        <v>#REF!</v>
      </c>
      <c r="J336">
        <f>IFERROR(SEARCH(search!$B$6,samples!#REF!,1),0)</f>
        <v>0</v>
      </c>
      <c r="K336" t="e">
        <f>IF(samples!#REF!=0,"",samples!#REF!)</f>
        <v>#REF!</v>
      </c>
      <c r="L336">
        <f>IFERROR(SEARCH(search!$B$6,samples!#REF!,1),0)</f>
        <v>0</v>
      </c>
      <c r="M336" t="e">
        <f>IF(samples!#REF!=0,"",samples!#REF!)</f>
        <v>#REF!</v>
      </c>
      <c r="N336">
        <f>IFERROR(SEARCH(search!$B$6,samples!#REF!,1),0)</f>
        <v>0</v>
      </c>
      <c r="O336" t="e">
        <f>IF(samples!#REF!=0,"",samples!#REF!)</f>
        <v>#REF!</v>
      </c>
      <c r="P336">
        <f>IFERROR(SEARCH(search!$B$6,samples!#REF!,1),0)</f>
        <v>0</v>
      </c>
      <c r="Q336" t="e">
        <f>IF(samples!#REF!=0,"",samples!#REF!)</f>
        <v>#REF!</v>
      </c>
      <c r="R336">
        <f>IFERROR(SEARCH(search!$B$6,samples!#REF!,1),0)</f>
        <v>0</v>
      </c>
      <c r="S336" t="e">
        <f>IF(samples!#REF!=0,"",samples!#REF!)</f>
        <v>#REF!</v>
      </c>
      <c r="T336">
        <f>IFERROR(SEARCH(search!$B$6,samples!#REF!,1),0)</f>
        <v>0</v>
      </c>
      <c r="U336" t="e">
        <f>IF(samples!#REF!=0,"",samples!#REF!)</f>
        <v>#REF!</v>
      </c>
      <c r="V336">
        <f>IFERROR(SEARCH(search!$B$6,samples!#REF!,1),0)</f>
        <v>0</v>
      </c>
      <c r="W336" t="e">
        <f>IF(samples!#REF!=0,"",samples!#REF!)</f>
        <v>#REF!</v>
      </c>
      <c r="X336">
        <f>IFERROR(SEARCH(search!$B$6,samples!#REF!,1),0)</f>
        <v>0</v>
      </c>
      <c r="Y336" t="e">
        <f>IF(samples!#REF!=0,"",samples!#REF!)</f>
        <v>#REF!</v>
      </c>
      <c r="Z336">
        <f>IFERROR(SEARCH(search!$B$6,samples!#REF!,1),0)</f>
        <v>0</v>
      </c>
      <c r="AA336" t="e">
        <f>IF(samples!#REF!=0,"",samples!#REF!)</f>
        <v>#REF!</v>
      </c>
      <c r="AB336">
        <f>IFERROR(SEARCH(search!$B$6,samples!#REF!,1),0)</f>
        <v>0</v>
      </c>
      <c r="AC336" t="e">
        <f>IF(samples!#REF!=0,"",samples!#REF!)</f>
        <v>#REF!</v>
      </c>
      <c r="AD336">
        <f>IFERROR(SEARCH(search!$B$6,samples!#REF!,1),0)</f>
        <v>0</v>
      </c>
    </row>
    <row r="337" spans="1:30">
      <c r="A337">
        <f t="shared" si="5"/>
        <v>0</v>
      </c>
      <c r="B337">
        <f>IF(SUM(D337,F337,H337,J337,L337,N337,P337,R337,T337,V337,X337,Z337,AB337,AD337)&gt;0,SUM($A$2:A337),0)</f>
        <v>0</v>
      </c>
      <c r="C337" t="e">
        <f>samples!#REF!</f>
        <v>#REF!</v>
      </c>
      <c r="D337">
        <f>IFERROR(SEARCH(search!$B$6,samples!#REF!,1),0)</f>
        <v>0</v>
      </c>
      <c r="E337" t="e">
        <f>IF(samples!#REF!=0,"",samples!#REF!)</f>
        <v>#REF!</v>
      </c>
      <c r="F337">
        <f>IFERROR(SEARCH(search!$B$6,samples!#REF!,1),0)</f>
        <v>0</v>
      </c>
      <c r="G337" t="e">
        <f>IF(samples!#REF!=0,"",samples!#REF!)</f>
        <v>#REF!</v>
      </c>
      <c r="H337">
        <f>IFERROR(SEARCH(search!$B$6,samples!#REF!,1),0)</f>
        <v>0</v>
      </c>
      <c r="I337" t="e">
        <f>IF(samples!#REF!=0,"",samples!#REF!)</f>
        <v>#REF!</v>
      </c>
      <c r="J337">
        <f>IFERROR(SEARCH(search!$B$6,samples!#REF!,1),0)</f>
        <v>0</v>
      </c>
      <c r="K337" t="e">
        <f>IF(samples!#REF!=0,"",samples!#REF!)</f>
        <v>#REF!</v>
      </c>
      <c r="L337">
        <f>IFERROR(SEARCH(search!$B$6,samples!#REF!,1),0)</f>
        <v>0</v>
      </c>
      <c r="M337" t="e">
        <f>IF(samples!#REF!=0,"",samples!#REF!)</f>
        <v>#REF!</v>
      </c>
      <c r="N337">
        <f>IFERROR(SEARCH(search!$B$6,samples!#REF!,1),0)</f>
        <v>0</v>
      </c>
      <c r="O337" t="e">
        <f>IF(samples!#REF!=0,"",samples!#REF!)</f>
        <v>#REF!</v>
      </c>
      <c r="P337">
        <f>IFERROR(SEARCH(search!$B$6,samples!#REF!,1),0)</f>
        <v>0</v>
      </c>
      <c r="Q337" t="e">
        <f>IF(samples!#REF!=0,"",samples!#REF!)</f>
        <v>#REF!</v>
      </c>
      <c r="R337">
        <f>IFERROR(SEARCH(search!$B$6,samples!#REF!,1),0)</f>
        <v>0</v>
      </c>
      <c r="S337" t="e">
        <f>IF(samples!#REF!=0,"",samples!#REF!)</f>
        <v>#REF!</v>
      </c>
      <c r="T337">
        <f>IFERROR(SEARCH(search!$B$6,samples!#REF!,1),0)</f>
        <v>0</v>
      </c>
      <c r="U337" t="e">
        <f>IF(samples!#REF!=0,"",samples!#REF!)</f>
        <v>#REF!</v>
      </c>
      <c r="V337">
        <f>IFERROR(SEARCH(search!$B$6,samples!#REF!,1),0)</f>
        <v>0</v>
      </c>
      <c r="W337" t="e">
        <f>IF(samples!#REF!=0,"",samples!#REF!)</f>
        <v>#REF!</v>
      </c>
      <c r="X337">
        <f>IFERROR(SEARCH(search!$B$6,samples!#REF!,1),0)</f>
        <v>0</v>
      </c>
      <c r="Y337" t="e">
        <f>IF(samples!#REF!=0,"",samples!#REF!)</f>
        <v>#REF!</v>
      </c>
      <c r="Z337">
        <f>IFERROR(SEARCH(search!$B$6,samples!#REF!,1),0)</f>
        <v>0</v>
      </c>
      <c r="AA337" t="e">
        <f>IF(samples!#REF!=0,"",samples!#REF!)</f>
        <v>#REF!</v>
      </c>
      <c r="AB337">
        <f>IFERROR(SEARCH(search!$B$6,samples!#REF!,1),0)</f>
        <v>0</v>
      </c>
      <c r="AC337" t="e">
        <f>IF(samples!#REF!=0,"",samples!#REF!)</f>
        <v>#REF!</v>
      </c>
      <c r="AD337">
        <f>IFERROR(SEARCH(search!$B$6,samples!#REF!,1),0)</f>
        <v>0</v>
      </c>
    </row>
    <row r="338" spans="1:30">
      <c r="A338">
        <f t="shared" si="5"/>
        <v>0</v>
      </c>
      <c r="B338">
        <f>IF(SUM(D338,F338,H338,J338,L338,N338,P338,R338,T338,V338,X338,Z338,AB338,AD338)&gt;0,SUM($A$2:A338),0)</f>
        <v>0</v>
      </c>
      <c r="C338" t="e">
        <f>samples!#REF!</f>
        <v>#REF!</v>
      </c>
      <c r="D338">
        <f>IFERROR(SEARCH(search!$B$6,samples!#REF!,1),0)</f>
        <v>0</v>
      </c>
      <c r="E338" t="e">
        <f>IF(samples!#REF!=0,"",samples!#REF!)</f>
        <v>#REF!</v>
      </c>
      <c r="F338">
        <f>IFERROR(SEARCH(search!$B$6,samples!#REF!,1),0)</f>
        <v>0</v>
      </c>
      <c r="G338" t="e">
        <f>IF(samples!#REF!=0,"",samples!#REF!)</f>
        <v>#REF!</v>
      </c>
      <c r="H338">
        <f>IFERROR(SEARCH(search!$B$6,samples!#REF!,1),0)</f>
        <v>0</v>
      </c>
      <c r="I338" t="e">
        <f>IF(samples!#REF!=0,"",samples!#REF!)</f>
        <v>#REF!</v>
      </c>
      <c r="J338">
        <f>IFERROR(SEARCH(search!$B$6,samples!#REF!,1),0)</f>
        <v>0</v>
      </c>
      <c r="K338" t="e">
        <f>IF(samples!#REF!=0,"",samples!#REF!)</f>
        <v>#REF!</v>
      </c>
      <c r="L338">
        <f>IFERROR(SEARCH(search!$B$6,samples!#REF!,1),0)</f>
        <v>0</v>
      </c>
      <c r="M338" t="e">
        <f>IF(samples!#REF!=0,"",samples!#REF!)</f>
        <v>#REF!</v>
      </c>
      <c r="N338">
        <f>IFERROR(SEARCH(search!$B$6,samples!#REF!,1),0)</f>
        <v>0</v>
      </c>
      <c r="O338" t="e">
        <f>IF(samples!#REF!=0,"",samples!#REF!)</f>
        <v>#REF!</v>
      </c>
      <c r="P338">
        <f>IFERROR(SEARCH(search!$B$6,samples!#REF!,1),0)</f>
        <v>0</v>
      </c>
      <c r="Q338" t="e">
        <f>IF(samples!#REF!=0,"",samples!#REF!)</f>
        <v>#REF!</v>
      </c>
      <c r="R338">
        <f>IFERROR(SEARCH(search!$B$6,samples!#REF!,1),0)</f>
        <v>0</v>
      </c>
      <c r="S338" t="e">
        <f>IF(samples!#REF!=0,"",samples!#REF!)</f>
        <v>#REF!</v>
      </c>
      <c r="T338">
        <f>IFERROR(SEARCH(search!$B$6,samples!#REF!,1),0)</f>
        <v>0</v>
      </c>
      <c r="U338" t="e">
        <f>IF(samples!#REF!=0,"",samples!#REF!)</f>
        <v>#REF!</v>
      </c>
      <c r="V338">
        <f>IFERROR(SEARCH(search!$B$6,samples!#REF!,1),0)</f>
        <v>0</v>
      </c>
      <c r="W338" t="e">
        <f>IF(samples!#REF!=0,"",samples!#REF!)</f>
        <v>#REF!</v>
      </c>
      <c r="X338">
        <f>IFERROR(SEARCH(search!$B$6,samples!#REF!,1),0)</f>
        <v>0</v>
      </c>
      <c r="Y338" t="e">
        <f>IF(samples!#REF!=0,"",samples!#REF!)</f>
        <v>#REF!</v>
      </c>
      <c r="Z338">
        <f>IFERROR(SEARCH(search!$B$6,samples!#REF!,1),0)</f>
        <v>0</v>
      </c>
      <c r="AA338" t="e">
        <f>IF(samples!#REF!=0,"",samples!#REF!)</f>
        <v>#REF!</v>
      </c>
      <c r="AB338">
        <f>IFERROR(SEARCH(search!$B$6,samples!#REF!,1),0)</f>
        <v>0</v>
      </c>
      <c r="AC338" t="e">
        <f>IF(samples!#REF!=0,"",samples!#REF!)</f>
        <v>#REF!</v>
      </c>
      <c r="AD338">
        <f>IFERROR(SEARCH(search!$B$6,samples!#REF!,1),0)</f>
        <v>0</v>
      </c>
    </row>
    <row r="339" spans="1:30">
      <c r="A339">
        <f t="shared" si="5"/>
        <v>0</v>
      </c>
      <c r="B339">
        <f>IF(SUM(D339,F339,H339,J339,L339,N339,P339,R339,T339,V339,X339,Z339,AB339,AD339)&gt;0,SUM($A$2:A339),0)</f>
        <v>0</v>
      </c>
      <c r="C339" t="e">
        <f>samples!#REF!</f>
        <v>#REF!</v>
      </c>
      <c r="D339">
        <f>IFERROR(SEARCH(search!$B$6,samples!#REF!,1),0)</f>
        <v>0</v>
      </c>
      <c r="E339" t="e">
        <f>IF(samples!#REF!=0,"",samples!#REF!)</f>
        <v>#REF!</v>
      </c>
      <c r="F339">
        <f>IFERROR(SEARCH(search!$B$6,samples!#REF!,1),0)</f>
        <v>0</v>
      </c>
      <c r="G339" t="e">
        <f>IF(samples!#REF!=0,"",samples!#REF!)</f>
        <v>#REF!</v>
      </c>
      <c r="H339">
        <f>IFERROR(SEARCH(search!$B$6,samples!#REF!,1),0)</f>
        <v>0</v>
      </c>
      <c r="I339" t="e">
        <f>IF(samples!#REF!=0,"",samples!#REF!)</f>
        <v>#REF!</v>
      </c>
      <c r="J339">
        <f>IFERROR(SEARCH(search!$B$6,samples!#REF!,1),0)</f>
        <v>0</v>
      </c>
      <c r="K339" t="e">
        <f>IF(samples!#REF!=0,"",samples!#REF!)</f>
        <v>#REF!</v>
      </c>
      <c r="L339">
        <f>IFERROR(SEARCH(search!$B$6,samples!#REF!,1),0)</f>
        <v>0</v>
      </c>
      <c r="M339" t="e">
        <f>IF(samples!#REF!=0,"",samples!#REF!)</f>
        <v>#REF!</v>
      </c>
      <c r="N339">
        <f>IFERROR(SEARCH(search!$B$6,samples!#REF!,1),0)</f>
        <v>0</v>
      </c>
      <c r="O339" t="e">
        <f>IF(samples!#REF!=0,"",samples!#REF!)</f>
        <v>#REF!</v>
      </c>
      <c r="P339">
        <f>IFERROR(SEARCH(search!$B$6,samples!#REF!,1),0)</f>
        <v>0</v>
      </c>
      <c r="Q339" t="e">
        <f>IF(samples!#REF!=0,"",samples!#REF!)</f>
        <v>#REF!</v>
      </c>
      <c r="R339">
        <f>IFERROR(SEARCH(search!$B$6,samples!#REF!,1),0)</f>
        <v>0</v>
      </c>
      <c r="S339" t="e">
        <f>IF(samples!#REF!=0,"",samples!#REF!)</f>
        <v>#REF!</v>
      </c>
      <c r="T339">
        <f>IFERROR(SEARCH(search!$B$6,samples!#REF!,1),0)</f>
        <v>0</v>
      </c>
      <c r="U339" t="e">
        <f>IF(samples!#REF!=0,"",samples!#REF!)</f>
        <v>#REF!</v>
      </c>
      <c r="V339">
        <f>IFERROR(SEARCH(search!$B$6,samples!#REF!,1),0)</f>
        <v>0</v>
      </c>
      <c r="W339" t="e">
        <f>IF(samples!#REF!=0,"",samples!#REF!)</f>
        <v>#REF!</v>
      </c>
      <c r="X339">
        <f>IFERROR(SEARCH(search!$B$6,samples!#REF!,1),0)</f>
        <v>0</v>
      </c>
      <c r="Y339" t="e">
        <f>IF(samples!#REF!=0,"",samples!#REF!)</f>
        <v>#REF!</v>
      </c>
      <c r="Z339">
        <f>IFERROR(SEARCH(search!$B$6,samples!#REF!,1),0)</f>
        <v>0</v>
      </c>
      <c r="AA339" t="e">
        <f>IF(samples!#REF!=0,"",samples!#REF!)</f>
        <v>#REF!</v>
      </c>
      <c r="AB339">
        <f>IFERROR(SEARCH(search!$B$6,samples!#REF!,1),0)</f>
        <v>0</v>
      </c>
      <c r="AC339" t="e">
        <f>IF(samples!#REF!=0,"",samples!#REF!)</f>
        <v>#REF!</v>
      </c>
      <c r="AD339">
        <f>IFERROR(SEARCH(search!$B$6,samples!#REF!,1),0)</f>
        <v>0</v>
      </c>
    </row>
    <row r="340" spans="1:30">
      <c r="A340">
        <f t="shared" si="5"/>
        <v>0</v>
      </c>
      <c r="B340">
        <f>IF(SUM(D340,F340,H340,J340,L340,N340,P340,R340,T340,V340,X340,Z340,AB340,AD340)&gt;0,SUM($A$2:A340),0)</f>
        <v>0</v>
      </c>
      <c r="C340" t="e">
        <f>samples!#REF!</f>
        <v>#REF!</v>
      </c>
      <c r="D340">
        <f>IFERROR(SEARCH(search!$B$6,samples!#REF!,1),0)</f>
        <v>0</v>
      </c>
      <c r="E340" t="e">
        <f>IF(samples!#REF!=0,"",samples!#REF!)</f>
        <v>#REF!</v>
      </c>
      <c r="F340">
        <f>IFERROR(SEARCH(search!$B$6,samples!#REF!,1),0)</f>
        <v>0</v>
      </c>
      <c r="G340" t="e">
        <f>IF(samples!#REF!=0,"",samples!#REF!)</f>
        <v>#REF!</v>
      </c>
      <c r="H340">
        <f>IFERROR(SEARCH(search!$B$6,samples!#REF!,1),0)</f>
        <v>0</v>
      </c>
      <c r="I340" t="e">
        <f>IF(samples!#REF!=0,"",samples!#REF!)</f>
        <v>#REF!</v>
      </c>
      <c r="J340">
        <f>IFERROR(SEARCH(search!$B$6,samples!#REF!,1),0)</f>
        <v>0</v>
      </c>
      <c r="K340" t="e">
        <f>IF(samples!#REF!=0,"",samples!#REF!)</f>
        <v>#REF!</v>
      </c>
      <c r="L340">
        <f>IFERROR(SEARCH(search!$B$6,samples!#REF!,1),0)</f>
        <v>0</v>
      </c>
      <c r="M340" t="e">
        <f>IF(samples!#REF!=0,"",samples!#REF!)</f>
        <v>#REF!</v>
      </c>
      <c r="N340">
        <f>IFERROR(SEARCH(search!$B$6,samples!#REF!,1),0)</f>
        <v>0</v>
      </c>
      <c r="O340" t="e">
        <f>IF(samples!#REF!=0,"",samples!#REF!)</f>
        <v>#REF!</v>
      </c>
      <c r="P340">
        <f>IFERROR(SEARCH(search!$B$6,samples!#REF!,1),0)</f>
        <v>0</v>
      </c>
      <c r="Q340" t="e">
        <f>IF(samples!#REF!=0,"",samples!#REF!)</f>
        <v>#REF!</v>
      </c>
      <c r="R340">
        <f>IFERROR(SEARCH(search!$B$6,samples!#REF!,1),0)</f>
        <v>0</v>
      </c>
      <c r="S340" t="e">
        <f>IF(samples!#REF!=0,"",samples!#REF!)</f>
        <v>#REF!</v>
      </c>
      <c r="T340">
        <f>IFERROR(SEARCH(search!$B$6,samples!#REF!,1),0)</f>
        <v>0</v>
      </c>
      <c r="U340" t="e">
        <f>IF(samples!#REF!=0,"",samples!#REF!)</f>
        <v>#REF!</v>
      </c>
      <c r="V340">
        <f>IFERROR(SEARCH(search!$B$6,samples!#REF!,1),0)</f>
        <v>0</v>
      </c>
      <c r="W340" t="e">
        <f>IF(samples!#REF!=0,"",samples!#REF!)</f>
        <v>#REF!</v>
      </c>
      <c r="X340">
        <f>IFERROR(SEARCH(search!$B$6,samples!#REF!,1),0)</f>
        <v>0</v>
      </c>
      <c r="Y340" t="e">
        <f>IF(samples!#REF!=0,"",samples!#REF!)</f>
        <v>#REF!</v>
      </c>
      <c r="Z340">
        <f>IFERROR(SEARCH(search!$B$6,samples!#REF!,1),0)</f>
        <v>0</v>
      </c>
      <c r="AA340" t="e">
        <f>IF(samples!#REF!=0,"",samples!#REF!)</f>
        <v>#REF!</v>
      </c>
      <c r="AB340">
        <f>IFERROR(SEARCH(search!$B$6,samples!#REF!,1),0)</f>
        <v>0</v>
      </c>
      <c r="AC340" t="e">
        <f>IF(samples!#REF!=0,"",samples!#REF!)</f>
        <v>#REF!</v>
      </c>
      <c r="AD340">
        <f>IFERROR(SEARCH(search!$B$6,samples!#REF!,1),0)</f>
        <v>0</v>
      </c>
    </row>
    <row r="341" spans="1:30">
      <c r="A341">
        <f t="shared" si="5"/>
        <v>0</v>
      </c>
      <c r="B341">
        <f>IF(SUM(D341,F341,H341,J341,L341,N341,P341,R341,T341,V341,X341,Z341,AB341,AD341)&gt;0,SUM($A$2:A341),0)</f>
        <v>0</v>
      </c>
      <c r="C341" t="e">
        <f>samples!#REF!</f>
        <v>#REF!</v>
      </c>
      <c r="D341">
        <f>IFERROR(SEARCH(search!$B$6,samples!#REF!,1),0)</f>
        <v>0</v>
      </c>
      <c r="E341" t="e">
        <f>IF(samples!#REF!=0,"",samples!#REF!)</f>
        <v>#REF!</v>
      </c>
      <c r="F341">
        <f>IFERROR(SEARCH(search!$B$6,samples!#REF!,1),0)</f>
        <v>0</v>
      </c>
      <c r="G341" t="e">
        <f>IF(samples!#REF!=0,"",samples!#REF!)</f>
        <v>#REF!</v>
      </c>
      <c r="H341">
        <f>IFERROR(SEARCH(search!$B$6,samples!#REF!,1),0)</f>
        <v>0</v>
      </c>
      <c r="I341" t="e">
        <f>IF(samples!#REF!=0,"",samples!#REF!)</f>
        <v>#REF!</v>
      </c>
      <c r="J341">
        <f>IFERROR(SEARCH(search!$B$6,samples!#REF!,1),0)</f>
        <v>0</v>
      </c>
      <c r="K341" t="e">
        <f>IF(samples!#REF!=0,"",samples!#REF!)</f>
        <v>#REF!</v>
      </c>
      <c r="L341">
        <f>IFERROR(SEARCH(search!$B$6,samples!#REF!,1),0)</f>
        <v>0</v>
      </c>
      <c r="M341" t="e">
        <f>IF(samples!#REF!=0,"",samples!#REF!)</f>
        <v>#REF!</v>
      </c>
      <c r="N341">
        <f>IFERROR(SEARCH(search!$B$6,samples!#REF!,1),0)</f>
        <v>0</v>
      </c>
      <c r="O341" t="e">
        <f>IF(samples!#REF!=0,"",samples!#REF!)</f>
        <v>#REF!</v>
      </c>
      <c r="P341">
        <f>IFERROR(SEARCH(search!$B$6,samples!#REF!,1),0)</f>
        <v>0</v>
      </c>
      <c r="Q341" t="e">
        <f>IF(samples!#REF!=0,"",samples!#REF!)</f>
        <v>#REF!</v>
      </c>
      <c r="R341">
        <f>IFERROR(SEARCH(search!$B$6,samples!#REF!,1),0)</f>
        <v>0</v>
      </c>
      <c r="S341" t="e">
        <f>IF(samples!#REF!=0,"",samples!#REF!)</f>
        <v>#REF!</v>
      </c>
      <c r="T341">
        <f>IFERROR(SEARCH(search!$B$6,samples!#REF!,1),0)</f>
        <v>0</v>
      </c>
      <c r="U341" t="e">
        <f>IF(samples!#REF!=0,"",samples!#REF!)</f>
        <v>#REF!</v>
      </c>
      <c r="V341">
        <f>IFERROR(SEARCH(search!$B$6,samples!#REF!,1),0)</f>
        <v>0</v>
      </c>
      <c r="W341" t="e">
        <f>IF(samples!#REF!=0,"",samples!#REF!)</f>
        <v>#REF!</v>
      </c>
      <c r="X341">
        <f>IFERROR(SEARCH(search!$B$6,samples!#REF!,1),0)</f>
        <v>0</v>
      </c>
      <c r="Y341" t="e">
        <f>IF(samples!#REF!=0,"",samples!#REF!)</f>
        <v>#REF!</v>
      </c>
      <c r="Z341">
        <f>IFERROR(SEARCH(search!$B$6,samples!#REF!,1),0)</f>
        <v>0</v>
      </c>
      <c r="AA341" t="e">
        <f>IF(samples!#REF!=0,"",samples!#REF!)</f>
        <v>#REF!</v>
      </c>
      <c r="AB341">
        <f>IFERROR(SEARCH(search!$B$6,samples!#REF!,1),0)</f>
        <v>0</v>
      </c>
      <c r="AC341" t="e">
        <f>IF(samples!#REF!=0,"",samples!#REF!)</f>
        <v>#REF!</v>
      </c>
      <c r="AD341">
        <f>IFERROR(SEARCH(search!$B$6,samples!#REF!,1),0)</f>
        <v>0</v>
      </c>
    </row>
    <row r="342" spans="1:30">
      <c r="A342">
        <f t="shared" si="5"/>
        <v>0</v>
      </c>
      <c r="B342">
        <f>IF(SUM(D342,F342,H342,J342,L342,N342,P342,R342,T342,V342,X342,Z342,AB342,AD342)&gt;0,SUM($A$2:A342),0)</f>
        <v>0</v>
      </c>
      <c r="C342" t="e">
        <f>samples!#REF!</f>
        <v>#REF!</v>
      </c>
      <c r="D342">
        <f>IFERROR(SEARCH(search!$B$6,samples!#REF!,1),0)</f>
        <v>0</v>
      </c>
      <c r="E342" t="e">
        <f>IF(samples!#REF!=0,"",samples!#REF!)</f>
        <v>#REF!</v>
      </c>
      <c r="F342">
        <f>IFERROR(SEARCH(search!$B$6,samples!#REF!,1),0)</f>
        <v>0</v>
      </c>
      <c r="G342" t="e">
        <f>IF(samples!#REF!=0,"",samples!#REF!)</f>
        <v>#REF!</v>
      </c>
      <c r="H342">
        <f>IFERROR(SEARCH(search!$B$6,samples!#REF!,1),0)</f>
        <v>0</v>
      </c>
      <c r="I342" t="e">
        <f>IF(samples!#REF!=0,"",samples!#REF!)</f>
        <v>#REF!</v>
      </c>
      <c r="J342">
        <f>IFERROR(SEARCH(search!$B$6,samples!#REF!,1),0)</f>
        <v>0</v>
      </c>
      <c r="K342" t="e">
        <f>IF(samples!#REF!=0,"",samples!#REF!)</f>
        <v>#REF!</v>
      </c>
      <c r="L342">
        <f>IFERROR(SEARCH(search!$B$6,samples!#REF!,1),0)</f>
        <v>0</v>
      </c>
      <c r="M342" t="e">
        <f>IF(samples!#REF!=0,"",samples!#REF!)</f>
        <v>#REF!</v>
      </c>
      <c r="N342">
        <f>IFERROR(SEARCH(search!$B$6,samples!#REF!,1),0)</f>
        <v>0</v>
      </c>
      <c r="O342" t="e">
        <f>IF(samples!#REF!=0,"",samples!#REF!)</f>
        <v>#REF!</v>
      </c>
      <c r="P342">
        <f>IFERROR(SEARCH(search!$B$6,samples!#REF!,1),0)</f>
        <v>0</v>
      </c>
      <c r="Q342" t="e">
        <f>IF(samples!#REF!=0,"",samples!#REF!)</f>
        <v>#REF!</v>
      </c>
      <c r="R342">
        <f>IFERROR(SEARCH(search!$B$6,samples!#REF!,1),0)</f>
        <v>0</v>
      </c>
      <c r="S342" t="e">
        <f>IF(samples!#REF!=0,"",samples!#REF!)</f>
        <v>#REF!</v>
      </c>
      <c r="T342">
        <f>IFERROR(SEARCH(search!$B$6,samples!#REF!,1),0)</f>
        <v>0</v>
      </c>
      <c r="U342" t="e">
        <f>IF(samples!#REF!=0,"",samples!#REF!)</f>
        <v>#REF!</v>
      </c>
      <c r="V342">
        <f>IFERROR(SEARCH(search!$B$6,samples!#REF!,1),0)</f>
        <v>0</v>
      </c>
      <c r="W342" t="e">
        <f>IF(samples!#REF!=0,"",samples!#REF!)</f>
        <v>#REF!</v>
      </c>
      <c r="X342">
        <f>IFERROR(SEARCH(search!$B$6,samples!#REF!,1),0)</f>
        <v>0</v>
      </c>
      <c r="Y342" t="e">
        <f>IF(samples!#REF!=0,"",samples!#REF!)</f>
        <v>#REF!</v>
      </c>
      <c r="Z342">
        <f>IFERROR(SEARCH(search!$B$6,samples!#REF!,1),0)</f>
        <v>0</v>
      </c>
      <c r="AA342" t="e">
        <f>IF(samples!#REF!=0,"",samples!#REF!)</f>
        <v>#REF!</v>
      </c>
      <c r="AB342">
        <f>IFERROR(SEARCH(search!$B$6,samples!#REF!,1),0)</f>
        <v>0</v>
      </c>
      <c r="AC342" t="e">
        <f>IF(samples!#REF!=0,"",samples!#REF!)</f>
        <v>#REF!</v>
      </c>
      <c r="AD342">
        <f>IFERROR(SEARCH(search!$B$6,samples!#REF!,1),0)</f>
        <v>0</v>
      </c>
    </row>
    <row r="343" spans="1:30">
      <c r="A343">
        <f t="shared" si="5"/>
        <v>0</v>
      </c>
      <c r="B343">
        <f>IF(SUM(D343,F343,H343,J343,L343,N343,P343,R343,T343,V343,X343,Z343,AB343,AD343)&gt;0,SUM($A$2:A343),0)</f>
        <v>0</v>
      </c>
      <c r="C343" t="e">
        <f>samples!#REF!</f>
        <v>#REF!</v>
      </c>
      <c r="D343">
        <f>IFERROR(SEARCH(search!$B$6,samples!#REF!,1),0)</f>
        <v>0</v>
      </c>
      <c r="E343" t="e">
        <f>IF(samples!#REF!=0,"",samples!#REF!)</f>
        <v>#REF!</v>
      </c>
      <c r="F343">
        <f>IFERROR(SEARCH(search!$B$6,samples!#REF!,1),0)</f>
        <v>0</v>
      </c>
      <c r="G343" t="e">
        <f>IF(samples!#REF!=0,"",samples!#REF!)</f>
        <v>#REF!</v>
      </c>
      <c r="H343">
        <f>IFERROR(SEARCH(search!$B$6,samples!#REF!,1),0)</f>
        <v>0</v>
      </c>
      <c r="I343" t="e">
        <f>IF(samples!#REF!=0,"",samples!#REF!)</f>
        <v>#REF!</v>
      </c>
      <c r="J343">
        <f>IFERROR(SEARCH(search!$B$6,samples!#REF!,1),0)</f>
        <v>0</v>
      </c>
      <c r="K343" t="e">
        <f>IF(samples!#REF!=0,"",samples!#REF!)</f>
        <v>#REF!</v>
      </c>
      <c r="L343">
        <f>IFERROR(SEARCH(search!$B$6,samples!#REF!,1),0)</f>
        <v>0</v>
      </c>
      <c r="M343" t="e">
        <f>IF(samples!#REF!=0,"",samples!#REF!)</f>
        <v>#REF!</v>
      </c>
      <c r="N343">
        <f>IFERROR(SEARCH(search!$B$6,samples!#REF!,1),0)</f>
        <v>0</v>
      </c>
      <c r="O343" t="e">
        <f>IF(samples!#REF!=0,"",samples!#REF!)</f>
        <v>#REF!</v>
      </c>
      <c r="P343">
        <f>IFERROR(SEARCH(search!$B$6,samples!#REF!,1),0)</f>
        <v>0</v>
      </c>
      <c r="Q343" t="e">
        <f>IF(samples!#REF!=0,"",samples!#REF!)</f>
        <v>#REF!</v>
      </c>
      <c r="R343">
        <f>IFERROR(SEARCH(search!$B$6,samples!#REF!,1),0)</f>
        <v>0</v>
      </c>
      <c r="S343" t="e">
        <f>IF(samples!#REF!=0,"",samples!#REF!)</f>
        <v>#REF!</v>
      </c>
      <c r="T343">
        <f>IFERROR(SEARCH(search!$B$6,samples!#REF!,1),0)</f>
        <v>0</v>
      </c>
      <c r="U343" t="e">
        <f>IF(samples!#REF!=0,"",samples!#REF!)</f>
        <v>#REF!</v>
      </c>
      <c r="V343">
        <f>IFERROR(SEARCH(search!$B$6,samples!#REF!,1),0)</f>
        <v>0</v>
      </c>
      <c r="W343" t="e">
        <f>IF(samples!#REF!=0,"",samples!#REF!)</f>
        <v>#REF!</v>
      </c>
      <c r="X343">
        <f>IFERROR(SEARCH(search!$B$6,samples!#REF!,1),0)</f>
        <v>0</v>
      </c>
      <c r="Y343" t="e">
        <f>IF(samples!#REF!=0,"",samples!#REF!)</f>
        <v>#REF!</v>
      </c>
      <c r="Z343">
        <f>IFERROR(SEARCH(search!$B$6,samples!#REF!,1),0)</f>
        <v>0</v>
      </c>
      <c r="AA343" t="e">
        <f>IF(samples!#REF!=0,"",samples!#REF!)</f>
        <v>#REF!</v>
      </c>
      <c r="AB343">
        <f>IFERROR(SEARCH(search!$B$6,samples!#REF!,1),0)</f>
        <v>0</v>
      </c>
      <c r="AC343" t="e">
        <f>IF(samples!#REF!=0,"",samples!#REF!)</f>
        <v>#REF!</v>
      </c>
      <c r="AD343">
        <f>IFERROR(SEARCH(search!$B$6,samples!#REF!,1),0)</f>
        <v>0</v>
      </c>
    </row>
    <row r="344" spans="1:30">
      <c r="A344">
        <f t="shared" si="5"/>
        <v>0</v>
      </c>
      <c r="B344">
        <f>IF(SUM(D344,F344,H344,J344,L344,N344,P344,R344,T344,V344,X344,Z344,AB344,AD344)&gt;0,SUM($A$2:A344),0)</f>
        <v>0</v>
      </c>
      <c r="C344" t="e">
        <f>samples!#REF!</f>
        <v>#REF!</v>
      </c>
      <c r="D344">
        <f>IFERROR(SEARCH(search!$B$6,samples!#REF!,1),0)</f>
        <v>0</v>
      </c>
      <c r="E344" t="e">
        <f>IF(samples!#REF!=0,"",samples!#REF!)</f>
        <v>#REF!</v>
      </c>
      <c r="F344">
        <f>IFERROR(SEARCH(search!$B$6,samples!#REF!,1),0)</f>
        <v>0</v>
      </c>
      <c r="G344" t="e">
        <f>IF(samples!#REF!=0,"",samples!#REF!)</f>
        <v>#REF!</v>
      </c>
      <c r="H344">
        <f>IFERROR(SEARCH(search!$B$6,samples!#REF!,1),0)</f>
        <v>0</v>
      </c>
      <c r="I344" t="e">
        <f>IF(samples!#REF!=0,"",samples!#REF!)</f>
        <v>#REF!</v>
      </c>
      <c r="J344">
        <f>IFERROR(SEARCH(search!$B$6,samples!#REF!,1),0)</f>
        <v>0</v>
      </c>
      <c r="K344" t="e">
        <f>IF(samples!#REF!=0,"",samples!#REF!)</f>
        <v>#REF!</v>
      </c>
      <c r="L344">
        <f>IFERROR(SEARCH(search!$B$6,samples!#REF!,1),0)</f>
        <v>0</v>
      </c>
      <c r="M344" t="e">
        <f>IF(samples!#REF!=0,"",samples!#REF!)</f>
        <v>#REF!</v>
      </c>
      <c r="N344">
        <f>IFERROR(SEARCH(search!$B$6,samples!#REF!,1),0)</f>
        <v>0</v>
      </c>
      <c r="O344" t="e">
        <f>IF(samples!#REF!=0,"",samples!#REF!)</f>
        <v>#REF!</v>
      </c>
      <c r="P344">
        <f>IFERROR(SEARCH(search!$B$6,samples!#REF!,1),0)</f>
        <v>0</v>
      </c>
      <c r="Q344" t="e">
        <f>IF(samples!#REF!=0,"",samples!#REF!)</f>
        <v>#REF!</v>
      </c>
      <c r="R344">
        <f>IFERROR(SEARCH(search!$B$6,samples!#REF!,1),0)</f>
        <v>0</v>
      </c>
      <c r="S344" t="e">
        <f>IF(samples!#REF!=0,"",samples!#REF!)</f>
        <v>#REF!</v>
      </c>
      <c r="T344">
        <f>IFERROR(SEARCH(search!$B$6,samples!#REF!,1),0)</f>
        <v>0</v>
      </c>
      <c r="U344" t="e">
        <f>IF(samples!#REF!=0,"",samples!#REF!)</f>
        <v>#REF!</v>
      </c>
      <c r="V344">
        <f>IFERROR(SEARCH(search!$B$6,samples!#REF!,1),0)</f>
        <v>0</v>
      </c>
      <c r="W344" t="e">
        <f>IF(samples!#REF!=0,"",samples!#REF!)</f>
        <v>#REF!</v>
      </c>
      <c r="X344">
        <f>IFERROR(SEARCH(search!$B$6,samples!#REF!,1),0)</f>
        <v>0</v>
      </c>
      <c r="Y344" t="e">
        <f>IF(samples!#REF!=0,"",samples!#REF!)</f>
        <v>#REF!</v>
      </c>
      <c r="Z344">
        <f>IFERROR(SEARCH(search!$B$6,samples!#REF!,1),0)</f>
        <v>0</v>
      </c>
      <c r="AA344" t="e">
        <f>IF(samples!#REF!=0,"",samples!#REF!)</f>
        <v>#REF!</v>
      </c>
      <c r="AB344">
        <f>IFERROR(SEARCH(search!$B$6,samples!#REF!,1),0)</f>
        <v>0</v>
      </c>
      <c r="AC344" t="e">
        <f>IF(samples!#REF!=0,"",samples!#REF!)</f>
        <v>#REF!</v>
      </c>
      <c r="AD344">
        <f>IFERROR(SEARCH(search!$B$6,samples!#REF!,1),0)</f>
        <v>0</v>
      </c>
    </row>
    <row r="345" spans="1:30">
      <c r="A345">
        <f t="shared" si="5"/>
        <v>0</v>
      </c>
      <c r="B345">
        <f>IF(SUM(D345,F345,H345,J345,L345,N345,P345,R345,T345,V345,X345,Z345,AB345,AD345)&gt;0,SUM($A$2:A345),0)</f>
        <v>0</v>
      </c>
      <c r="C345" t="e">
        <f>samples!#REF!</f>
        <v>#REF!</v>
      </c>
      <c r="D345">
        <f>IFERROR(SEARCH(search!$B$6,samples!#REF!,1),0)</f>
        <v>0</v>
      </c>
      <c r="E345" t="e">
        <f>IF(samples!#REF!=0,"",samples!#REF!)</f>
        <v>#REF!</v>
      </c>
      <c r="F345">
        <f>IFERROR(SEARCH(search!$B$6,samples!#REF!,1),0)</f>
        <v>0</v>
      </c>
      <c r="G345" t="e">
        <f>IF(samples!#REF!=0,"",samples!#REF!)</f>
        <v>#REF!</v>
      </c>
      <c r="H345">
        <f>IFERROR(SEARCH(search!$B$6,samples!#REF!,1),0)</f>
        <v>0</v>
      </c>
      <c r="I345" t="e">
        <f>IF(samples!#REF!=0,"",samples!#REF!)</f>
        <v>#REF!</v>
      </c>
      <c r="J345">
        <f>IFERROR(SEARCH(search!$B$6,samples!#REF!,1),0)</f>
        <v>0</v>
      </c>
      <c r="K345" t="e">
        <f>IF(samples!#REF!=0,"",samples!#REF!)</f>
        <v>#REF!</v>
      </c>
      <c r="L345">
        <f>IFERROR(SEARCH(search!$B$6,samples!#REF!,1),0)</f>
        <v>0</v>
      </c>
      <c r="M345" t="e">
        <f>IF(samples!#REF!=0,"",samples!#REF!)</f>
        <v>#REF!</v>
      </c>
      <c r="N345">
        <f>IFERROR(SEARCH(search!$B$6,samples!#REF!,1),0)</f>
        <v>0</v>
      </c>
      <c r="O345" t="e">
        <f>IF(samples!#REF!=0,"",samples!#REF!)</f>
        <v>#REF!</v>
      </c>
      <c r="P345">
        <f>IFERROR(SEARCH(search!$B$6,samples!#REF!,1),0)</f>
        <v>0</v>
      </c>
      <c r="Q345" t="e">
        <f>IF(samples!#REF!=0,"",samples!#REF!)</f>
        <v>#REF!</v>
      </c>
      <c r="R345">
        <f>IFERROR(SEARCH(search!$B$6,samples!#REF!,1),0)</f>
        <v>0</v>
      </c>
      <c r="S345" t="e">
        <f>IF(samples!#REF!=0,"",samples!#REF!)</f>
        <v>#REF!</v>
      </c>
      <c r="T345">
        <f>IFERROR(SEARCH(search!$B$6,samples!#REF!,1),0)</f>
        <v>0</v>
      </c>
      <c r="U345" t="e">
        <f>IF(samples!#REF!=0,"",samples!#REF!)</f>
        <v>#REF!</v>
      </c>
      <c r="V345">
        <f>IFERROR(SEARCH(search!$B$6,samples!#REF!,1),0)</f>
        <v>0</v>
      </c>
      <c r="W345" t="e">
        <f>IF(samples!#REF!=0,"",samples!#REF!)</f>
        <v>#REF!</v>
      </c>
      <c r="X345">
        <f>IFERROR(SEARCH(search!$B$6,samples!#REF!,1),0)</f>
        <v>0</v>
      </c>
      <c r="Y345" t="e">
        <f>IF(samples!#REF!=0,"",samples!#REF!)</f>
        <v>#REF!</v>
      </c>
      <c r="Z345">
        <f>IFERROR(SEARCH(search!$B$6,samples!#REF!,1),0)</f>
        <v>0</v>
      </c>
      <c r="AA345" t="e">
        <f>IF(samples!#REF!=0,"",samples!#REF!)</f>
        <v>#REF!</v>
      </c>
      <c r="AB345">
        <f>IFERROR(SEARCH(search!$B$6,samples!#REF!,1),0)</f>
        <v>0</v>
      </c>
      <c r="AC345" t="e">
        <f>IF(samples!#REF!=0,"",samples!#REF!)</f>
        <v>#REF!</v>
      </c>
      <c r="AD345">
        <f>IFERROR(SEARCH(search!$B$6,samples!#REF!,1),0)</f>
        <v>0</v>
      </c>
    </row>
    <row r="346" spans="1:30">
      <c r="A346">
        <f t="shared" si="5"/>
        <v>0</v>
      </c>
      <c r="B346">
        <f>IF(SUM(D346,F346,H346,J346,L346,N346,P346,R346,T346,V346,X346,Z346,AB346,AD346)&gt;0,SUM($A$2:A346),0)</f>
        <v>0</v>
      </c>
      <c r="C346" t="e">
        <f>samples!#REF!</f>
        <v>#REF!</v>
      </c>
      <c r="D346">
        <f>IFERROR(SEARCH(search!$B$6,samples!#REF!,1),0)</f>
        <v>0</v>
      </c>
      <c r="E346" t="e">
        <f>IF(samples!#REF!=0,"",samples!#REF!)</f>
        <v>#REF!</v>
      </c>
      <c r="F346">
        <f>IFERROR(SEARCH(search!$B$6,samples!#REF!,1),0)</f>
        <v>0</v>
      </c>
      <c r="G346" t="e">
        <f>IF(samples!#REF!=0,"",samples!#REF!)</f>
        <v>#REF!</v>
      </c>
      <c r="H346">
        <f>IFERROR(SEARCH(search!$B$6,samples!#REF!,1),0)</f>
        <v>0</v>
      </c>
      <c r="I346" t="e">
        <f>IF(samples!#REF!=0,"",samples!#REF!)</f>
        <v>#REF!</v>
      </c>
      <c r="J346">
        <f>IFERROR(SEARCH(search!$B$6,samples!#REF!,1),0)</f>
        <v>0</v>
      </c>
      <c r="K346" t="e">
        <f>IF(samples!#REF!=0,"",samples!#REF!)</f>
        <v>#REF!</v>
      </c>
      <c r="L346">
        <f>IFERROR(SEARCH(search!$B$6,samples!#REF!,1),0)</f>
        <v>0</v>
      </c>
      <c r="M346" t="e">
        <f>IF(samples!#REF!=0,"",samples!#REF!)</f>
        <v>#REF!</v>
      </c>
      <c r="N346">
        <f>IFERROR(SEARCH(search!$B$6,samples!#REF!,1),0)</f>
        <v>0</v>
      </c>
      <c r="O346" t="e">
        <f>IF(samples!#REF!=0,"",samples!#REF!)</f>
        <v>#REF!</v>
      </c>
      <c r="P346">
        <f>IFERROR(SEARCH(search!$B$6,samples!#REF!,1),0)</f>
        <v>0</v>
      </c>
      <c r="Q346" t="e">
        <f>IF(samples!#REF!=0,"",samples!#REF!)</f>
        <v>#REF!</v>
      </c>
      <c r="R346">
        <f>IFERROR(SEARCH(search!$B$6,samples!#REF!,1),0)</f>
        <v>0</v>
      </c>
      <c r="S346" t="e">
        <f>IF(samples!#REF!=0,"",samples!#REF!)</f>
        <v>#REF!</v>
      </c>
      <c r="T346">
        <f>IFERROR(SEARCH(search!$B$6,samples!#REF!,1),0)</f>
        <v>0</v>
      </c>
      <c r="U346" t="e">
        <f>IF(samples!#REF!=0,"",samples!#REF!)</f>
        <v>#REF!</v>
      </c>
      <c r="V346">
        <f>IFERROR(SEARCH(search!$B$6,samples!#REF!,1),0)</f>
        <v>0</v>
      </c>
      <c r="W346" t="e">
        <f>IF(samples!#REF!=0,"",samples!#REF!)</f>
        <v>#REF!</v>
      </c>
      <c r="X346">
        <f>IFERROR(SEARCH(search!$B$6,samples!#REF!,1),0)</f>
        <v>0</v>
      </c>
      <c r="Y346" t="e">
        <f>IF(samples!#REF!=0,"",samples!#REF!)</f>
        <v>#REF!</v>
      </c>
      <c r="Z346">
        <f>IFERROR(SEARCH(search!$B$6,samples!#REF!,1),0)</f>
        <v>0</v>
      </c>
      <c r="AA346" t="e">
        <f>IF(samples!#REF!=0,"",samples!#REF!)</f>
        <v>#REF!</v>
      </c>
      <c r="AB346">
        <f>IFERROR(SEARCH(search!$B$6,samples!#REF!,1),0)</f>
        <v>0</v>
      </c>
      <c r="AC346" t="e">
        <f>IF(samples!#REF!=0,"",samples!#REF!)</f>
        <v>#REF!</v>
      </c>
      <c r="AD346">
        <f>IFERROR(SEARCH(search!$B$6,samples!#REF!,1),0)</f>
        <v>0</v>
      </c>
    </row>
    <row r="347" spans="1:30">
      <c r="A347">
        <f t="shared" si="5"/>
        <v>0</v>
      </c>
      <c r="B347">
        <f>IF(SUM(D347,F347,H347,J347,L347,N347,P347,R347,T347,V347,X347,Z347,AB347,AD347)&gt;0,SUM($A$2:A347),0)</f>
        <v>0</v>
      </c>
      <c r="C347" t="e">
        <f>samples!#REF!</f>
        <v>#REF!</v>
      </c>
      <c r="D347">
        <f>IFERROR(SEARCH(search!$B$6,samples!#REF!,1),0)</f>
        <v>0</v>
      </c>
      <c r="E347" t="e">
        <f>IF(samples!#REF!=0,"",samples!#REF!)</f>
        <v>#REF!</v>
      </c>
      <c r="F347">
        <f>IFERROR(SEARCH(search!$B$6,samples!#REF!,1),0)</f>
        <v>0</v>
      </c>
      <c r="G347" t="e">
        <f>IF(samples!#REF!=0,"",samples!#REF!)</f>
        <v>#REF!</v>
      </c>
      <c r="H347">
        <f>IFERROR(SEARCH(search!$B$6,samples!#REF!,1),0)</f>
        <v>0</v>
      </c>
      <c r="I347" t="e">
        <f>IF(samples!#REF!=0,"",samples!#REF!)</f>
        <v>#REF!</v>
      </c>
      <c r="J347">
        <f>IFERROR(SEARCH(search!$B$6,samples!#REF!,1),0)</f>
        <v>0</v>
      </c>
      <c r="K347" t="e">
        <f>IF(samples!#REF!=0,"",samples!#REF!)</f>
        <v>#REF!</v>
      </c>
      <c r="L347">
        <f>IFERROR(SEARCH(search!$B$6,samples!#REF!,1),0)</f>
        <v>0</v>
      </c>
      <c r="M347" t="e">
        <f>IF(samples!#REF!=0,"",samples!#REF!)</f>
        <v>#REF!</v>
      </c>
      <c r="N347">
        <f>IFERROR(SEARCH(search!$B$6,samples!#REF!,1),0)</f>
        <v>0</v>
      </c>
      <c r="O347" t="e">
        <f>IF(samples!#REF!=0,"",samples!#REF!)</f>
        <v>#REF!</v>
      </c>
      <c r="P347">
        <f>IFERROR(SEARCH(search!$B$6,samples!#REF!,1),0)</f>
        <v>0</v>
      </c>
      <c r="Q347" t="e">
        <f>IF(samples!#REF!=0,"",samples!#REF!)</f>
        <v>#REF!</v>
      </c>
      <c r="R347">
        <f>IFERROR(SEARCH(search!$B$6,samples!#REF!,1),0)</f>
        <v>0</v>
      </c>
      <c r="S347" t="e">
        <f>IF(samples!#REF!=0,"",samples!#REF!)</f>
        <v>#REF!</v>
      </c>
      <c r="T347">
        <f>IFERROR(SEARCH(search!$B$6,samples!#REF!,1),0)</f>
        <v>0</v>
      </c>
      <c r="U347" t="e">
        <f>IF(samples!#REF!=0,"",samples!#REF!)</f>
        <v>#REF!</v>
      </c>
      <c r="V347">
        <f>IFERROR(SEARCH(search!$B$6,samples!#REF!,1),0)</f>
        <v>0</v>
      </c>
      <c r="W347" t="e">
        <f>IF(samples!#REF!=0,"",samples!#REF!)</f>
        <v>#REF!</v>
      </c>
      <c r="X347">
        <f>IFERROR(SEARCH(search!$B$6,samples!#REF!,1),0)</f>
        <v>0</v>
      </c>
      <c r="Y347" t="e">
        <f>IF(samples!#REF!=0,"",samples!#REF!)</f>
        <v>#REF!</v>
      </c>
      <c r="Z347">
        <f>IFERROR(SEARCH(search!$B$6,samples!#REF!,1),0)</f>
        <v>0</v>
      </c>
      <c r="AA347" t="e">
        <f>IF(samples!#REF!=0,"",samples!#REF!)</f>
        <v>#REF!</v>
      </c>
      <c r="AB347">
        <f>IFERROR(SEARCH(search!$B$6,samples!#REF!,1),0)</f>
        <v>0</v>
      </c>
      <c r="AC347" t="e">
        <f>IF(samples!#REF!=0,"",samples!#REF!)</f>
        <v>#REF!</v>
      </c>
      <c r="AD347">
        <f>IFERROR(SEARCH(search!$B$6,samples!#REF!,1),0)</f>
        <v>0</v>
      </c>
    </row>
    <row r="348" spans="1:30">
      <c r="A348">
        <f t="shared" si="5"/>
        <v>0</v>
      </c>
      <c r="B348">
        <f>IF(SUM(D348,F348,H348,J348,L348,N348,P348,R348,T348,V348,X348,Z348,AB348,AD348)&gt;0,SUM($A$2:A348),0)</f>
        <v>0</v>
      </c>
      <c r="C348" t="e">
        <f>samples!#REF!</f>
        <v>#REF!</v>
      </c>
      <c r="D348">
        <f>IFERROR(SEARCH(search!$B$6,samples!#REF!,1),0)</f>
        <v>0</v>
      </c>
      <c r="E348" t="e">
        <f>IF(samples!#REF!=0,"",samples!#REF!)</f>
        <v>#REF!</v>
      </c>
      <c r="F348">
        <f>IFERROR(SEARCH(search!$B$6,samples!#REF!,1),0)</f>
        <v>0</v>
      </c>
      <c r="G348" t="e">
        <f>IF(samples!#REF!=0,"",samples!#REF!)</f>
        <v>#REF!</v>
      </c>
      <c r="H348">
        <f>IFERROR(SEARCH(search!$B$6,samples!#REF!,1),0)</f>
        <v>0</v>
      </c>
      <c r="I348" t="e">
        <f>IF(samples!#REF!=0,"",samples!#REF!)</f>
        <v>#REF!</v>
      </c>
      <c r="J348">
        <f>IFERROR(SEARCH(search!$B$6,samples!#REF!,1),0)</f>
        <v>0</v>
      </c>
      <c r="K348" t="e">
        <f>IF(samples!#REF!=0,"",samples!#REF!)</f>
        <v>#REF!</v>
      </c>
      <c r="L348">
        <f>IFERROR(SEARCH(search!$B$6,samples!#REF!,1),0)</f>
        <v>0</v>
      </c>
      <c r="M348" t="e">
        <f>IF(samples!#REF!=0,"",samples!#REF!)</f>
        <v>#REF!</v>
      </c>
      <c r="N348">
        <f>IFERROR(SEARCH(search!$B$6,samples!#REF!,1),0)</f>
        <v>0</v>
      </c>
      <c r="O348" t="e">
        <f>IF(samples!#REF!=0,"",samples!#REF!)</f>
        <v>#REF!</v>
      </c>
      <c r="P348">
        <f>IFERROR(SEARCH(search!$B$6,samples!#REF!,1),0)</f>
        <v>0</v>
      </c>
      <c r="Q348" t="e">
        <f>IF(samples!#REF!=0,"",samples!#REF!)</f>
        <v>#REF!</v>
      </c>
      <c r="R348">
        <f>IFERROR(SEARCH(search!$B$6,samples!#REF!,1),0)</f>
        <v>0</v>
      </c>
      <c r="S348" t="e">
        <f>IF(samples!#REF!=0,"",samples!#REF!)</f>
        <v>#REF!</v>
      </c>
      <c r="T348">
        <f>IFERROR(SEARCH(search!$B$6,samples!#REF!,1),0)</f>
        <v>0</v>
      </c>
      <c r="U348" t="e">
        <f>IF(samples!#REF!=0,"",samples!#REF!)</f>
        <v>#REF!</v>
      </c>
      <c r="V348">
        <f>IFERROR(SEARCH(search!$B$6,samples!#REF!,1),0)</f>
        <v>0</v>
      </c>
      <c r="W348" t="e">
        <f>IF(samples!#REF!=0,"",samples!#REF!)</f>
        <v>#REF!</v>
      </c>
      <c r="X348">
        <f>IFERROR(SEARCH(search!$B$6,samples!#REF!,1),0)</f>
        <v>0</v>
      </c>
      <c r="Y348" t="e">
        <f>IF(samples!#REF!=0,"",samples!#REF!)</f>
        <v>#REF!</v>
      </c>
      <c r="Z348">
        <f>IFERROR(SEARCH(search!$B$6,samples!#REF!,1),0)</f>
        <v>0</v>
      </c>
      <c r="AA348" t="e">
        <f>IF(samples!#REF!=0,"",samples!#REF!)</f>
        <v>#REF!</v>
      </c>
      <c r="AB348">
        <f>IFERROR(SEARCH(search!$B$6,samples!#REF!,1),0)</f>
        <v>0</v>
      </c>
      <c r="AC348" t="e">
        <f>IF(samples!#REF!=0,"",samples!#REF!)</f>
        <v>#REF!</v>
      </c>
      <c r="AD348">
        <f>IFERROR(SEARCH(search!$B$6,samples!#REF!,1),0)</f>
        <v>0</v>
      </c>
    </row>
    <row r="349" spans="1:30">
      <c r="A349">
        <f t="shared" si="5"/>
        <v>0</v>
      </c>
      <c r="B349">
        <f>IF(SUM(D349,F349,H349,J349,L349,N349,P349,R349,T349,V349,X349,Z349,AB349,AD349)&gt;0,SUM($A$2:A349),0)</f>
        <v>0</v>
      </c>
      <c r="C349" t="e">
        <f>samples!#REF!</f>
        <v>#REF!</v>
      </c>
      <c r="D349">
        <f>IFERROR(SEARCH(search!$B$6,samples!#REF!,1),0)</f>
        <v>0</v>
      </c>
      <c r="E349" t="e">
        <f>IF(samples!#REF!=0,"",samples!#REF!)</f>
        <v>#REF!</v>
      </c>
      <c r="F349">
        <f>IFERROR(SEARCH(search!$B$6,samples!#REF!,1),0)</f>
        <v>0</v>
      </c>
      <c r="G349" t="e">
        <f>IF(samples!#REF!=0,"",samples!#REF!)</f>
        <v>#REF!</v>
      </c>
      <c r="H349">
        <f>IFERROR(SEARCH(search!$B$6,samples!#REF!,1),0)</f>
        <v>0</v>
      </c>
      <c r="I349" t="e">
        <f>IF(samples!#REF!=0,"",samples!#REF!)</f>
        <v>#REF!</v>
      </c>
      <c r="J349">
        <f>IFERROR(SEARCH(search!$B$6,samples!#REF!,1),0)</f>
        <v>0</v>
      </c>
      <c r="K349" t="e">
        <f>IF(samples!#REF!=0,"",samples!#REF!)</f>
        <v>#REF!</v>
      </c>
      <c r="L349">
        <f>IFERROR(SEARCH(search!$B$6,samples!#REF!,1),0)</f>
        <v>0</v>
      </c>
      <c r="M349" t="e">
        <f>IF(samples!#REF!=0,"",samples!#REF!)</f>
        <v>#REF!</v>
      </c>
      <c r="N349">
        <f>IFERROR(SEARCH(search!$B$6,samples!#REF!,1),0)</f>
        <v>0</v>
      </c>
      <c r="O349" t="e">
        <f>IF(samples!#REF!=0,"",samples!#REF!)</f>
        <v>#REF!</v>
      </c>
      <c r="P349">
        <f>IFERROR(SEARCH(search!$B$6,samples!#REF!,1),0)</f>
        <v>0</v>
      </c>
      <c r="Q349" t="e">
        <f>IF(samples!#REF!=0,"",samples!#REF!)</f>
        <v>#REF!</v>
      </c>
      <c r="R349">
        <f>IFERROR(SEARCH(search!$B$6,samples!#REF!,1),0)</f>
        <v>0</v>
      </c>
      <c r="S349" t="e">
        <f>IF(samples!#REF!=0,"",samples!#REF!)</f>
        <v>#REF!</v>
      </c>
      <c r="T349">
        <f>IFERROR(SEARCH(search!$B$6,samples!#REF!,1),0)</f>
        <v>0</v>
      </c>
      <c r="U349" t="e">
        <f>IF(samples!#REF!=0,"",samples!#REF!)</f>
        <v>#REF!</v>
      </c>
      <c r="V349">
        <f>IFERROR(SEARCH(search!$B$6,samples!#REF!,1),0)</f>
        <v>0</v>
      </c>
      <c r="W349" t="e">
        <f>IF(samples!#REF!=0,"",samples!#REF!)</f>
        <v>#REF!</v>
      </c>
      <c r="X349">
        <f>IFERROR(SEARCH(search!$B$6,samples!#REF!,1),0)</f>
        <v>0</v>
      </c>
      <c r="Y349" t="e">
        <f>IF(samples!#REF!=0,"",samples!#REF!)</f>
        <v>#REF!</v>
      </c>
      <c r="Z349">
        <f>IFERROR(SEARCH(search!$B$6,samples!#REF!,1),0)</f>
        <v>0</v>
      </c>
      <c r="AA349" t="e">
        <f>IF(samples!#REF!=0,"",samples!#REF!)</f>
        <v>#REF!</v>
      </c>
      <c r="AB349">
        <f>IFERROR(SEARCH(search!$B$6,samples!#REF!,1),0)</f>
        <v>0</v>
      </c>
      <c r="AC349" t="e">
        <f>IF(samples!#REF!=0,"",samples!#REF!)</f>
        <v>#REF!</v>
      </c>
      <c r="AD349">
        <f>IFERROR(SEARCH(search!$B$6,samples!#REF!,1),0)</f>
        <v>0</v>
      </c>
    </row>
    <row r="350" spans="1:30">
      <c r="A350">
        <f t="shared" si="5"/>
        <v>0</v>
      </c>
      <c r="B350">
        <f>IF(SUM(D350,F350,H350,J350,L350,N350,P350,R350,T350,V350,X350,Z350,AB350,AD350)&gt;0,SUM($A$2:A350),0)</f>
        <v>0</v>
      </c>
      <c r="C350" t="e">
        <f>samples!#REF!</f>
        <v>#REF!</v>
      </c>
      <c r="D350">
        <f>IFERROR(SEARCH(search!$B$6,samples!#REF!,1),0)</f>
        <v>0</v>
      </c>
      <c r="E350" t="e">
        <f>IF(samples!#REF!=0,"",samples!#REF!)</f>
        <v>#REF!</v>
      </c>
      <c r="F350">
        <f>IFERROR(SEARCH(search!$B$6,samples!#REF!,1),0)</f>
        <v>0</v>
      </c>
      <c r="G350" t="e">
        <f>IF(samples!#REF!=0,"",samples!#REF!)</f>
        <v>#REF!</v>
      </c>
      <c r="H350">
        <f>IFERROR(SEARCH(search!$B$6,samples!#REF!,1),0)</f>
        <v>0</v>
      </c>
      <c r="I350" t="e">
        <f>IF(samples!#REF!=0,"",samples!#REF!)</f>
        <v>#REF!</v>
      </c>
      <c r="J350">
        <f>IFERROR(SEARCH(search!$B$6,samples!#REF!,1),0)</f>
        <v>0</v>
      </c>
      <c r="K350" t="e">
        <f>IF(samples!#REF!=0,"",samples!#REF!)</f>
        <v>#REF!</v>
      </c>
      <c r="L350">
        <f>IFERROR(SEARCH(search!$B$6,samples!#REF!,1),0)</f>
        <v>0</v>
      </c>
      <c r="M350" t="e">
        <f>IF(samples!#REF!=0,"",samples!#REF!)</f>
        <v>#REF!</v>
      </c>
      <c r="N350">
        <f>IFERROR(SEARCH(search!$B$6,samples!#REF!,1),0)</f>
        <v>0</v>
      </c>
      <c r="O350" t="e">
        <f>IF(samples!#REF!=0,"",samples!#REF!)</f>
        <v>#REF!</v>
      </c>
      <c r="P350">
        <f>IFERROR(SEARCH(search!$B$6,samples!#REF!,1),0)</f>
        <v>0</v>
      </c>
      <c r="Q350" t="e">
        <f>IF(samples!#REF!=0,"",samples!#REF!)</f>
        <v>#REF!</v>
      </c>
      <c r="R350">
        <f>IFERROR(SEARCH(search!$B$6,samples!#REF!,1),0)</f>
        <v>0</v>
      </c>
      <c r="S350" t="e">
        <f>IF(samples!#REF!=0,"",samples!#REF!)</f>
        <v>#REF!</v>
      </c>
      <c r="T350">
        <f>IFERROR(SEARCH(search!$B$6,samples!#REF!,1),0)</f>
        <v>0</v>
      </c>
      <c r="U350" t="e">
        <f>IF(samples!#REF!=0,"",samples!#REF!)</f>
        <v>#REF!</v>
      </c>
      <c r="V350">
        <f>IFERROR(SEARCH(search!$B$6,samples!#REF!,1),0)</f>
        <v>0</v>
      </c>
      <c r="W350" t="e">
        <f>IF(samples!#REF!=0,"",samples!#REF!)</f>
        <v>#REF!</v>
      </c>
      <c r="X350">
        <f>IFERROR(SEARCH(search!$B$6,samples!#REF!,1),0)</f>
        <v>0</v>
      </c>
      <c r="Y350" t="e">
        <f>IF(samples!#REF!=0,"",samples!#REF!)</f>
        <v>#REF!</v>
      </c>
      <c r="Z350">
        <f>IFERROR(SEARCH(search!$B$6,samples!#REF!,1),0)</f>
        <v>0</v>
      </c>
      <c r="AA350" t="e">
        <f>IF(samples!#REF!=0,"",samples!#REF!)</f>
        <v>#REF!</v>
      </c>
      <c r="AB350">
        <f>IFERROR(SEARCH(search!$B$6,samples!#REF!,1),0)</f>
        <v>0</v>
      </c>
      <c r="AC350" t="e">
        <f>IF(samples!#REF!=0,"",samples!#REF!)</f>
        <v>#REF!</v>
      </c>
      <c r="AD350">
        <f>IFERROR(SEARCH(search!$B$6,samples!#REF!,1),0)</f>
        <v>0</v>
      </c>
    </row>
    <row r="351" spans="1:30">
      <c r="A351">
        <f t="shared" si="5"/>
        <v>0</v>
      </c>
      <c r="B351">
        <f>IF(SUM(D351,F351,H351,J351,L351,N351,P351,R351,T351,V351,X351,Z351,AB351,AD351)&gt;0,SUM($A$2:A351),0)</f>
        <v>0</v>
      </c>
      <c r="C351" t="e">
        <f>samples!#REF!</f>
        <v>#REF!</v>
      </c>
      <c r="D351">
        <f>IFERROR(SEARCH(search!$B$6,samples!#REF!,1),0)</f>
        <v>0</v>
      </c>
      <c r="E351" t="e">
        <f>IF(samples!#REF!=0,"",samples!#REF!)</f>
        <v>#REF!</v>
      </c>
      <c r="F351">
        <f>IFERROR(SEARCH(search!$B$6,samples!#REF!,1),0)</f>
        <v>0</v>
      </c>
      <c r="G351" t="e">
        <f>IF(samples!#REF!=0,"",samples!#REF!)</f>
        <v>#REF!</v>
      </c>
      <c r="H351">
        <f>IFERROR(SEARCH(search!$B$6,samples!#REF!,1),0)</f>
        <v>0</v>
      </c>
      <c r="I351" t="e">
        <f>IF(samples!#REF!=0,"",samples!#REF!)</f>
        <v>#REF!</v>
      </c>
      <c r="J351">
        <f>IFERROR(SEARCH(search!$B$6,samples!#REF!,1),0)</f>
        <v>0</v>
      </c>
      <c r="K351" t="e">
        <f>IF(samples!#REF!=0,"",samples!#REF!)</f>
        <v>#REF!</v>
      </c>
      <c r="L351">
        <f>IFERROR(SEARCH(search!$B$6,samples!#REF!,1),0)</f>
        <v>0</v>
      </c>
      <c r="M351" t="e">
        <f>IF(samples!#REF!=0,"",samples!#REF!)</f>
        <v>#REF!</v>
      </c>
      <c r="N351">
        <f>IFERROR(SEARCH(search!$B$6,samples!#REF!,1),0)</f>
        <v>0</v>
      </c>
      <c r="O351" t="e">
        <f>IF(samples!#REF!=0,"",samples!#REF!)</f>
        <v>#REF!</v>
      </c>
      <c r="P351">
        <f>IFERROR(SEARCH(search!$B$6,samples!#REF!,1),0)</f>
        <v>0</v>
      </c>
      <c r="Q351" t="e">
        <f>IF(samples!#REF!=0,"",samples!#REF!)</f>
        <v>#REF!</v>
      </c>
      <c r="R351">
        <f>IFERROR(SEARCH(search!$B$6,samples!#REF!,1),0)</f>
        <v>0</v>
      </c>
      <c r="S351" t="e">
        <f>IF(samples!#REF!=0,"",samples!#REF!)</f>
        <v>#REF!</v>
      </c>
      <c r="T351">
        <f>IFERROR(SEARCH(search!$B$6,samples!#REF!,1),0)</f>
        <v>0</v>
      </c>
      <c r="U351" t="e">
        <f>IF(samples!#REF!=0,"",samples!#REF!)</f>
        <v>#REF!</v>
      </c>
      <c r="V351">
        <f>IFERROR(SEARCH(search!$B$6,samples!#REF!,1),0)</f>
        <v>0</v>
      </c>
      <c r="W351" t="e">
        <f>IF(samples!#REF!=0,"",samples!#REF!)</f>
        <v>#REF!</v>
      </c>
      <c r="X351">
        <f>IFERROR(SEARCH(search!$B$6,samples!#REF!,1),0)</f>
        <v>0</v>
      </c>
      <c r="Y351" t="e">
        <f>IF(samples!#REF!=0,"",samples!#REF!)</f>
        <v>#REF!</v>
      </c>
      <c r="Z351">
        <f>IFERROR(SEARCH(search!$B$6,samples!#REF!,1),0)</f>
        <v>0</v>
      </c>
      <c r="AA351" t="e">
        <f>IF(samples!#REF!=0,"",samples!#REF!)</f>
        <v>#REF!</v>
      </c>
      <c r="AB351">
        <f>IFERROR(SEARCH(search!$B$6,samples!#REF!,1),0)</f>
        <v>0</v>
      </c>
      <c r="AC351" t="e">
        <f>IF(samples!#REF!=0,"",samples!#REF!)</f>
        <v>#REF!</v>
      </c>
      <c r="AD351">
        <f>IFERROR(SEARCH(search!$B$6,samples!#REF!,1),0)</f>
        <v>0</v>
      </c>
    </row>
    <row r="352" spans="1:30">
      <c r="A352">
        <f t="shared" si="5"/>
        <v>0</v>
      </c>
      <c r="B352">
        <f>IF(SUM(D352,F352,H352,J352,L352,N352,P352,R352,T352,V352,X352,Z352,AB352,AD352)&gt;0,SUM($A$2:A352),0)</f>
        <v>0</v>
      </c>
      <c r="C352" t="e">
        <f>samples!#REF!</f>
        <v>#REF!</v>
      </c>
      <c r="D352">
        <f>IFERROR(SEARCH(search!$B$6,samples!#REF!,1),0)</f>
        <v>0</v>
      </c>
      <c r="E352" t="e">
        <f>IF(samples!#REF!=0,"",samples!#REF!)</f>
        <v>#REF!</v>
      </c>
      <c r="F352">
        <f>IFERROR(SEARCH(search!$B$6,samples!#REF!,1),0)</f>
        <v>0</v>
      </c>
      <c r="G352" t="e">
        <f>IF(samples!#REF!=0,"",samples!#REF!)</f>
        <v>#REF!</v>
      </c>
      <c r="H352">
        <f>IFERROR(SEARCH(search!$B$6,samples!#REF!,1),0)</f>
        <v>0</v>
      </c>
      <c r="I352" t="e">
        <f>IF(samples!#REF!=0,"",samples!#REF!)</f>
        <v>#REF!</v>
      </c>
      <c r="J352">
        <f>IFERROR(SEARCH(search!$B$6,samples!#REF!,1),0)</f>
        <v>0</v>
      </c>
      <c r="K352" t="e">
        <f>IF(samples!#REF!=0,"",samples!#REF!)</f>
        <v>#REF!</v>
      </c>
      <c r="L352">
        <f>IFERROR(SEARCH(search!$B$6,samples!#REF!,1),0)</f>
        <v>0</v>
      </c>
      <c r="M352" t="e">
        <f>IF(samples!#REF!=0,"",samples!#REF!)</f>
        <v>#REF!</v>
      </c>
      <c r="N352">
        <f>IFERROR(SEARCH(search!$B$6,samples!#REF!,1),0)</f>
        <v>0</v>
      </c>
      <c r="O352" t="e">
        <f>IF(samples!#REF!=0,"",samples!#REF!)</f>
        <v>#REF!</v>
      </c>
      <c r="P352">
        <f>IFERROR(SEARCH(search!$B$6,samples!#REF!,1),0)</f>
        <v>0</v>
      </c>
      <c r="Q352" t="e">
        <f>IF(samples!#REF!=0,"",samples!#REF!)</f>
        <v>#REF!</v>
      </c>
      <c r="R352">
        <f>IFERROR(SEARCH(search!$B$6,samples!#REF!,1),0)</f>
        <v>0</v>
      </c>
      <c r="S352" t="e">
        <f>IF(samples!#REF!=0,"",samples!#REF!)</f>
        <v>#REF!</v>
      </c>
      <c r="T352">
        <f>IFERROR(SEARCH(search!$B$6,samples!#REF!,1),0)</f>
        <v>0</v>
      </c>
      <c r="U352" t="e">
        <f>IF(samples!#REF!=0,"",samples!#REF!)</f>
        <v>#REF!</v>
      </c>
      <c r="V352">
        <f>IFERROR(SEARCH(search!$B$6,samples!#REF!,1),0)</f>
        <v>0</v>
      </c>
      <c r="W352" t="e">
        <f>IF(samples!#REF!=0,"",samples!#REF!)</f>
        <v>#REF!</v>
      </c>
      <c r="X352">
        <f>IFERROR(SEARCH(search!$B$6,samples!#REF!,1),0)</f>
        <v>0</v>
      </c>
      <c r="Y352" t="e">
        <f>IF(samples!#REF!=0,"",samples!#REF!)</f>
        <v>#REF!</v>
      </c>
      <c r="Z352">
        <f>IFERROR(SEARCH(search!$B$6,samples!#REF!,1),0)</f>
        <v>0</v>
      </c>
      <c r="AA352" t="e">
        <f>IF(samples!#REF!=0,"",samples!#REF!)</f>
        <v>#REF!</v>
      </c>
      <c r="AB352">
        <f>IFERROR(SEARCH(search!$B$6,samples!#REF!,1),0)</f>
        <v>0</v>
      </c>
      <c r="AC352" t="e">
        <f>IF(samples!#REF!=0,"",samples!#REF!)</f>
        <v>#REF!</v>
      </c>
      <c r="AD352">
        <f>IFERROR(SEARCH(search!$B$6,samples!#REF!,1),0)</f>
        <v>0</v>
      </c>
    </row>
    <row r="353" spans="1:30">
      <c r="A353">
        <f t="shared" si="5"/>
        <v>0</v>
      </c>
      <c r="B353">
        <f>IF(SUM(D353,F353,H353,J353,L353,N353,P353,R353,T353,V353,X353,Z353,AB353,AD353)&gt;0,SUM($A$2:A353),0)</f>
        <v>0</v>
      </c>
      <c r="C353" t="e">
        <f>samples!#REF!</f>
        <v>#REF!</v>
      </c>
      <c r="D353">
        <f>IFERROR(SEARCH(search!$B$6,samples!#REF!,1),0)</f>
        <v>0</v>
      </c>
      <c r="E353" t="e">
        <f>IF(samples!#REF!=0,"",samples!#REF!)</f>
        <v>#REF!</v>
      </c>
      <c r="F353">
        <f>IFERROR(SEARCH(search!$B$6,samples!#REF!,1),0)</f>
        <v>0</v>
      </c>
      <c r="G353" t="e">
        <f>IF(samples!#REF!=0,"",samples!#REF!)</f>
        <v>#REF!</v>
      </c>
      <c r="H353">
        <f>IFERROR(SEARCH(search!$B$6,samples!#REF!,1),0)</f>
        <v>0</v>
      </c>
      <c r="I353" t="e">
        <f>IF(samples!#REF!=0,"",samples!#REF!)</f>
        <v>#REF!</v>
      </c>
      <c r="J353">
        <f>IFERROR(SEARCH(search!$B$6,samples!#REF!,1),0)</f>
        <v>0</v>
      </c>
      <c r="K353" t="e">
        <f>IF(samples!#REF!=0,"",samples!#REF!)</f>
        <v>#REF!</v>
      </c>
      <c r="L353">
        <f>IFERROR(SEARCH(search!$B$6,samples!#REF!,1),0)</f>
        <v>0</v>
      </c>
      <c r="M353" t="e">
        <f>IF(samples!#REF!=0,"",samples!#REF!)</f>
        <v>#REF!</v>
      </c>
      <c r="N353">
        <f>IFERROR(SEARCH(search!$B$6,samples!#REF!,1),0)</f>
        <v>0</v>
      </c>
      <c r="O353" t="e">
        <f>IF(samples!#REF!=0,"",samples!#REF!)</f>
        <v>#REF!</v>
      </c>
      <c r="P353">
        <f>IFERROR(SEARCH(search!$B$6,samples!#REF!,1),0)</f>
        <v>0</v>
      </c>
      <c r="Q353" t="e">
        <f>IF(samples!#REF!=0,"",samples!#REF!)</f>
        <v>#REF!</v>
      </c>
      <c r="R353">
        <f>IFERROR(SEARCH(search!$B$6,samples!#REF!,1),0)</f>
        <v>0</v>
      </c>
      <c r="S353" t="e">
        <f>IF(samples!#REF!=0,"",samples!#REF!)</f>
        <v>#REF!</v>
      </c>
      <c r="T353">
        <f>IFERROR(SEARCH(search!$B$6,samples!#REF!,1),0)</f>
        <v>0</v>
      </c>
      <c r="U353" t="e">
        <f>IF(samples!#REF!=0,"",samples!#REF!)</f>
        <v>#REF!</v>
      </c>
      <c r="V353">
        <f>IFERROR(SEARCH(search!$B$6,samples!#REF!,1),0)</f>
        <v>0</v>
      </c>
      <c r="W353" t="e">
        <f>IF(samples!#REF!=0,"",samples!#REF!)</f>
        <v>#REF!</v>
      </c>
      <c r="X353">
        <f>IFERROR(SEARCH(search!$B$6,samples!#REF!,1),0)</f>
        <v>0</v>
      </c>
      <c r="Y353" t="e">
        <f>IF(samples!#REF!=0,"",samples!#REF!)</f>
        <v>#REF!</v>
      </c>
      <c r="Z353">
        <f>IFERROR(SEARCH(search!$B$6,samples!#REF!,1),0)</f>
        <v>0</v>
      </c>
      <c r="AA353" t="e">
        <f>IF(samples!#REF!=0,"",samples!#REF!)</f>
        <v>#REF!</v>
      </c>
      <c r="AB353">
        <f>IFERROR(SEARCH(search!$B$6,samples!#REF!,1),0)</f>
        <v>0</v>
      </c>
      <c r="AC353" t="e">
        <f>IF(samples!#REF!=0,"",samples!#REF!)</f>
        <v>#REF!</v>
      </c>
      <c r="AD353">
        <f>IFERROR(SEARCH(search!$B$6,samples!#REF!,1),0)</f>
        <v>0</v>
      </c>
    </row>
    <row r="354" spans="1:30">
      <c r="A354">
        <f t="shared" si="5"/>
        <v>0</v>
      </c>
      <c r="B354">
        <f>IF(SUM(D354,F354,H354,J354,L354,N354,P354,R354,T354,V354,X354,Z354,AB354,AD354)&gt;0,SUM($A$2:A354),0)</f>
        <v>0</v>
      </c>
      <c r="C354" t="e">
        <f>samples!#REF!</f>
        <v>#REF!</v>
      </c>
      <c r="D354">
        <f>IFERROR(SEARCH(search!$B$6,samples!#REF!,1),0)</f>
        <v>0</v>
      </c>
      <c r="E354" t="e">
        <f>IF(samples!#REF!=0,"",samples!#REF!)</f>
        <v>#REF!</v>
      </c>
      <c r="F354">
        <f>IFERROR(SEARCH(search!$B$6,samples!#REF!,1),0)</f>
        <v>0</v>
      </c>
      <c r="G354" t="e">
        <f>IF(samples!#REF!=0,"",samples!#REF!)</f>
        <v>#REF!</v>
      </c>
      <c r="H354">
        <f>IFERROR(SEARCH(search!$B$6,samples!#REF!,1),0)</f>
        <v>0</v>
      </c>
      <c r="I354" t="e">
        <f>IF(samples!#REF!=0,"",samples!#REF!)</f>
        <v>#REF!</v>
      </c>
      <c r="J354">
        <f>IFERROR(SEARCH(search!$B$6,samples!#REF!,1),0)</f>
        <v>0</v>
      </c>
      <c r="K354" t="e">
        <f>IF(samples!#REF!=0,"",samples!#REF!)</f>
        <v>#REF!</v>
      </c>
      <c r="L354">
        <f>IFERROR(SEARCH(search!$B$6,samples!#REF!,1),0)</f>
        <v>0</v>
      </c>
      <c r="M354" t="e">
        <f>IF(samples!#REF!=0,"",samples!#REF!)</f>
        <v>#REF!</v>
      </c>
      <c r="N354">
        <f>IFERROR(SEARCH(search!$B$6,samples!#REF!,1),0)</f>
        <v>0</v>
      </c>
      <c r="O354" t="e">
        <f>IF(samples!#REF!=0,"",samples!#REF!)</f>
        <v>#REF!</v>
      </c>
      <c r="P354">
        <f>IFERROR(SEARCH(search!$B$6,samples!#REF!,1),0)</f>
        <v>0</v>
      </c>
      <c r="Q354" t="e">
        <f>IF(samples!#REF!=0,"",samples!#REF!)</f>
        <v>#REF!</v>
      </c>
      <c r="R354">
        <f>IFERROR(SEARCH(search!$B$6,samples!#REF!,1),0)</f>
        <v>0</v>
      </c>
      <c r="S354" t="e">
        <f>IF(samples!#REF!=0,"",samples!#REF!)</f>
        <v>#REF!</v>
      </c>
      <c r="T354">
        <f>IFERROR(SEARCH(search!$B$6,samples!#REF!,1),0)</f>
        <v>0</v>
      </c>
      <c r="U354" t="e">
        <f>IF(samples!#REF!=0,"",samples!#REF!)</f>
        <v>#REF!</v>
      </c>
      <c r="V354">
        <f>IFERROR(SEARCH(search!$B$6,samples!#REF!,1),0)</f>
        <v>0</v>
      </c>
      <c r="W354" t="e">
        <f>IF(samples!#REF!=0,"",samples!#REF!)</f>
        <v>#REF!</v>
      </c>
      <c r="X354">
        <f>IFERROR(SEARCH(search!$B$6,samples!#REF!,1),0)</f>
        <v>0</v>
      </c>
      <c r="Y354" t="e">
        <f>IF(samples!#REF!=0,"",samples!#REF!)</f>
        <v>#REF!</v>
      </c>
      <c r="Z354">
        <f>IFERROR(SEARCH(search!$B$6,samples!#REF!,1),0)</f>
        <v>0</v>
      </c>
      <c r="AA354" t="e">
        <f>IF(samples!#REF!=0,"",samples!#REF!)</f>
        <v>#REF!</v>
      </c>
      <c r="AB354">
        <f>IFERROR(SEARCH(search!$B$6,samples!#REF!,1),0)</f>
        <v>0</v>
      </c>
      <c r="AC354" t="e">
        <f>IF(samples!#REF!=0,"",samples!#REF!)</f>
        <v>#REF!</v>
      </c>
      <c r="AD354">
        <f>IFERROR(SEARCH(search!$B$6,samples!#REF!,1),0)</f>
        <v>0</v>
      </c>
    </row>
    <row r="355" spans="1:30">
      <c r="A355">
        <f t="shared" si="5"/>
        <v>0</v>
      </c>
      <c r="B355">
        <f>IF(SUM(D355,F355,H355,J355,L355,N355,P355,R355,T355,V355,X355,Z355,AB355,AD355)&gt;0,SUM($A$2:A355),0)</f>
        <v>0</v>
      </c>
      <c r="C355" t="e">
        <f>samples!#REF!</f>
        <v>#REF!</v>
      </c>
      <c r="D355">
        <f>IFERROR(SEARCH(search!$B$6,samples!#REF!,1),0)</f>
        <v>0</v>
      </c>
      <c r="E355" t="e">
        <f>IF(samples!#REF!=0,"",samples!#REF!)</f>
        <v>#REF!</v>
      </c>
      <c r="F355">
        <f>IFERROR(SEARCH(search!$B$6,samples!#REF!,1),0)</f>
        <v>0</v>
      </c>
      <c r="G355" t="e">
        <f>IF(samples!#REF!=0,"",samples!#REF!)</f>
        <v>#REF!</v>
      </c>
      <c r="H355">
        <f>IFERROR(SEARCH(search!$B$6,samples!#REF!,1),0)</f>
        <v>0</v>
      </c>
      <c r="I355" t="e">
        <f>IF(samples!#REF!=0,"",samples!#REF!)</f>
        <v>#REF!</v>
      </c>
      <c r="J355">
        <f>IFERROR(SEARCH(search!$B$6,samples!#REF!,1),0)</f>
        <v>0</v>
      </c>
      <c r="K355" t="e">
        <f>IF(samples!#REF!=0,"",samples!#REF!)</f>
        <v>#REF!</v>
      </c>
      <c r="L355">
        <f>IFERROR(SEARCH(search!$B$6,samples!#REF!,1),0)</f>
        <v>0</v>
      </c>
      <c r="M355" t="e">
        <f>IF(samples!#REF!=0,"",samples!#REF!)</f>
        <v>#REF!</v>
      </c>
      <c r="N355">
        <f>IFERROR(SEARCH(search!$B$6,samples!#REF!,1),0)</f>
        <v>0</v>
      </c>
      <c r="O355" t="e">
        <f>IF(samples!#REF!=0,"",samples!#REF!)</f>
        <v>#REF!</v>
      </c>
      <c r="P355">
        <f>IFERROR(SEARCH(search!$B$6,samples!#REF!,1),0)</f>
        <v>0</v>
      </c>
      <c r="Q355" t="e">
        <f>IF(samples!#REF!=0,"",samples!#REF!)</f>
        <v>#REF!</v>
      </c>
      <c r="R355">
        <f>IFERROR(SEARCH(search!$B$6,samples!#REF!,1),0)</f>
        <v>0</v>
      </c>
      <c r="S355" t="e">
        <f>IF(samples!#REF!=0,"",samples!#REF!)</f>
        <v>#REF!</v>
      </c>
      <c r="T355">
        <f>IFERROR(SEARCH(search!$B$6,samples!#REF!,1),0)</f>
        <v>0</v>
      </c>
      <c r="U355" t="e">
        <f>IF(samples!#REF!=0,"",samples!#REF!)</f>
        <v>#REF!</v>
      </c>
      <c r="V355">
        <f>IFERROR(SEARCH(search!$B$6,samples!#REF!,1),0)</f>
        <v>0</v>
      </c>
      <c r="W355" t="e">
        <f>IF(samples!#REF!=0,"",samples!#REF!)</f>
        <v>#REF!</v>
      </c>
      <c r="X355">
        <f>IFERROR(SEARCH(search!$B$6,samples!#REF!,1),0)</f>
        <v>0</v>
      </c>
      <c r="Y355" t="e">
        <f>IF(samples!#REF!=0,"",samples!#REF!)</f>
        <v>#REF!</v>
      </c>
      <c r="Z355">
        <f>IFERROR(SEARCH(search!$B$6,samples!#REF!,1),0)</f>
        <v>0</v>
      </c>
      <c r="AA355" t="e">
        <f>IF(samples!#REF!=0,"",samples!#REF!)</f>
        <v>#REF!</v>
      </c>
      <c r="AB355">
        <f>IFERROR(SEARCH(search!$B$6,samples!#REF!,1),0)</f>
        <v>0</v>
      </c>
      <c r="AC355" t="e">
        <f>IF(samples!#REF!=0,"",samples!#REF!)</f>
        <v>#REF!</v>
      </c>
      <c r="AD355">
        <f>IFERROR(SEARCH(search!$B$6,samples!#REF!,1),0)</f>
        <v>0</v>
      </c>
    </row>
    <row r="356" spans="1:30">
      <c r="A356">
        <f t="shared" si="5"/>
        <v>0</v>
      </c>
      <c r="B356">
        <f>IF(SUM(D356,F356,H356,J356,L356,N356,P356,R356,T356,V356,X356,Z356,AB356,AD356)&gt;0,SUM($A$2:A356),0)</f>
        <v>0</v>
      </c>
      <c r="C356" t="e">
        <f>samples!#REF!</f>
        <v>#REF!</v>
      </c>
      <c r="D356">
        <f>IFERROR(SEARCH(search!$B$6,samples!#REF!,1),0)</f>
        <v>0</v>
      </c>
      <c r="E356" t="e">
        <f>IF(samples!#REF!=0,"",samples!#REF!)</f>
        <v>#REF!</v>
      </c>
      <c r="F356">
        <f>IFERROR(SEARCH(search!$B$6,samples!#REF!,1),0)</f>
        <v>0</v>
      </c>
      <c r="G356" t="e">
        <f>IF(samples!#REF!=0,"",samples!#REF!)</f>
        <v>#REF!</v>
      </c>
      <c r="H356">
        <f>IFERROR(SEARCH(search!$B$6,samples!#REF!,1),0)</f>
        <v>0</v>
      </c>
      <c r="I356" t="e">
        <f>IF(samples!#REF!=0,"",samples!#REF!)</f>
        <v>#REF!</v>
      </c>
      <c r="J356">
        <f>IFERROR(SEARCH(search!$B$6,samples!#REF!,1),0)</f>
        <v>0</v>
      </c>
      <c r="K356" t="e">
        <f>IF(samples!#REF!=0,"",samples!#REF!)</f>
        <v>#REF!</v>
      </c>
      <c r="L356">
        <f>IFERROR(SEARCH(search!$B$6,samples!#REF!,1),0)</f>
        <v>0</v>
      </c>
      <c r="M356" t="e">
        <f>IF(samples!#REF!=0,"",samples!#REF!)</f>
        <v>#REF!</v>
      </c>
      <c r="N356">
        <f>IFERROR(SEARCH(search!$B$6,samples!#REF!,1),0)</f>
        <v>0</v>
      </c>
      <c r="O356" t="e">
        <f>IF(samples!#REF!=0,"",samples!#REF!)</f>
        <v>#REF!</v>
      </c>
      <c r="P356">
        <f>IFERROR(SEARCH(search!$B$6,samples!#REF!,1),0)</f>
        <v>0</v>
      </c>
      <c r="Q356" t="e">
        <f>IF(samples!#REF!=0,"",samples!#REF!)</f>
        <v>#REF!</v>
      </c>
      <c r="R356">
        <f>IFERROR(SEARCH(search!$B$6,samples!#REF!,1),0)</f>
        <v>0</v>
      </c>
      <c r="S356" t="e">
        <f>IF(samples!#REF!=0,"",samples!#REF!)</f>
        <v>#REF!</v>
      </c>
      <c r="T356">
        <f>IFERROR(SEARCH(search!$B$6,samples!#REF!,1),0)</f>
        <v>0</v>
      </c>
      <c r="U356" t="e">
        <f>IF(samples!#REF!=0,"",samples!#REF!)</f>
        <v>#REF!</v>
      </c>
      <c r="V356">
        <f>IFERROR(SEARCH(search!$B$6,samples!#REF!,1),0)</f>
        <v>0</v>
      </c>
      <c r="W356" t="e">
        <f>IF(samples!#REF!=0,"",samples!#REF!)</f>
        <v>#REF!</v>
      </c>
      <c r="X356">
        <f>IFERROR(SEARCH(search!$B$6,samples!#REF!,1),0)</f>
        <v>0</v>
      </c>
      <c r="Y356" t="e">
        <f>IF(samples!#REF!=0,"",samples!#REF!)</f>
        <v>#REF!</v>
      </c>
      <c r="Z356">
        <f>IFERROR(SEARCH(search!$B$6,samples!#REF!,1),0)</f>
        <v>0</v>
      </c>
      <c r="AA356" t="e">
        <f>IF(samples!#REF!=0,"",samples!#REF!)</f>
        <v>#REF!</v>
      </c>
      <c r="AB356">
        <f>IFERROR(SEARCH(search!$B$6,samples!#REF!,1),0)</f>
        <v>0</v>
      </c>
      <c r="AC356" t="e">
        <f>IF(samples!#REF!=0,"",samples!#REF!)</f>
        <v>#REF!</v>
      </c>
      <c r="AD356">
        <f>IFERROR(SEARCH(search!$B$6,samples!#REF!,1),0)</f>
        <v>0</v>
      </c>
    </row>
    <row r="357" spans="1:30">
      <c r="A357">
        <f t="shared" si="5"/>
        <v>0</v>
      </c>
      <c r="B357">
        <f>IF(SUM(D357,F357,H357,J357,L357,N357,P357,R357,T357,V357,X357,Z357,AB357,AD357)&gt;0,SUM($A$2:A357),0)</f>
        <v>0</v>
      </c>
      <c r="C357" t="e">
        <f>samples!#REF!</f>
        <v>#REF!</v>
      </c>
      <c r="D357">
        <f>IFERROR(SEARCH(search!$B$6,samples!#REF!,1),0)</f>
        <v>0</v>
      </c>
      <c r="E357" t="e">
        <f>IF(samples!#REF!=0,"",samples!#REF!)</f>
        <v>#REF!</v>
      </c>
      <c r="F357">
        <f>IFERROR(SEARCH(search!$B$6,samples!#REF!,1),0)</f>
        <v>0</v>
      </c>
      <c r="G357" t="e">
        <f>IF(samples!#REF!=0,"",samples!#REF!)</f>
        <v>#REF!</v>
      </c>
      <c r="H357">
        <f>IFERROR(SEARCH(search!$B$6,samples!#REF!,1),0)</f>
        <v>0</v>
      </c>
      <c r="I357" t="e">
        <f>IF(samples!#REF!=0,"",samples!#REF!)</f>
        <v>#REF!</v>
      </c>
      <c r="J357">
        <f>IFERROR(SEARCH(search!$B$6,samples!#REF!,1),0)</f>
        <v>0</v>
      </c>
      <c r="K357" t="e">
        <f>IF(samples!#REF!=0,"",samples!#REF!)</f>
        <v>#REF!</v>
      </c>
      <c r="L357">
        <f>IFERROR(SEARCH(search!$B$6,samples!#REF!,1),0)</f>
        <v>0</v>
      </c>
      <c r="M357" t="e">
        <f>IF(samples!#REF!=0,"",samples!#REF!)</f>
        <v>#REF!</v>
      </c>
      <c r="N357">
        <f>IFERROR(SEARCH(search!$B$6,samples!#REF!,1),0)</f>
        <v>0</v>
      </c>
      <c r="O357" t="e">
        <f>IF(samples!#REF!=0,"",samples!#REF!)</f>
        <v>#REF!</v>
      </c>
      <c r="P357">
        <f>IFERROR(SEARCH(search!$B$6,samples!#REF!,1),0)</f>
        <v>0</v>
      </c>
      <c r="Q357" t="e">
        <f>IF(samples!#REF!=0,"",samples!#REF!)</f>
        <v>#REF!</v>
      </c>
      <c r="R357">
        <f>IFERROR(SEARCH(search!$B$6,samples!#REF!,1),0)</f>
        <v>0</v>
      </c>
      <c r="S357" t="e">
        <f>IF(samples!#REF!=0,"",samples!#REF!)</f>
        <v>#REF!</v>
      </c>
      <c r="T357">
        <f>IFERROR(SEARCH(search!$B$6,samples!#REF!,1),0)</f>
        <v>0</v>
      </c>
      <c r="U357" t="e">
        <f>IF(samples!#REF!=0,"",samples!#REF!)</f>
        <v>#REF!</v>
      </c>
      <c r="V357">
        <f>IFERROR(SEARCH(search!$B$6,samples!#REF!,1),0)</f>
        <v>0</v>
      </c>
      <c r="W357" t="e">
        <f>IF(samples!#REF!=0,"",samples!#REF!)</f>
        <v>#REF!</v>
      </c>
      <c r="X357">
        <f>IFERROR(SEARCH(search!$B$6,samples!#REF!,1),0)</f>
        <v>0</v>
      </c>
      <c r="Y357" t="e">
        <f>IF(samples!#REF!=0,"",samples!#REF!)</f>
        <v>#REF!</v>
      </c>
      <c r="Z357">
        <f>IFERROR(SEARCH(search!$B$6,samples!#REF!,1),0)</f>
        <v>0</v>
      </c>
      <c r="AA357" t="e">
        <f>IF(samples!#REF!=0,"",samples!#REF!)</f>
        <v>#REF!</v>
      </c>
      <c r="AB357">
        <f>IFERROR(SEARCH(search!$B$6,samples!#REF!,1),0)</f>
        <v>0</v>
      </c>
      <c r="AC357" t="e">
        <f>IF(samples!#REF!=0,"",samples!#REF!)</f>
        <v>#REF!</v>
      </c>
      <c r="AD357">
        <f>IFERROR(SEARCH(search!$B$6,samples!#REF!,1),0)</f>
        <v>0</v>
      </c>
    </row>
    <row r="358" spans="1:30">
      <c r="A358">
        <f t="shared" si="5"/>
        <v>0</v>
      </c>
      <c r="B358">
        <f>IF(SUM(D358,F358,H358,J358,L358,N358,P358,R358,T358,V358,X358,Z358,AB358,AD358)&gt;0,SUM($A$2:A358),0)</f>
        <v>0</v>
      </c>
      <c r="C358" t="e">
        <f>samples!#REF!</f>
        <v>#REF!</v>
      </c>
      <c r="D358">
        <f>IFERROR(SEARCH(search!$B$6,samples!#REF!,1),0)</f>
        <v>0</v>
      </c>
      <c r="E358" t="e">
        <f>IF(samples!#REF!=0,"",samples!#REF!)</f>
        <v>#REF!</v>
      </c>
      <c r="F358">
        <f>IFERROR(SEARCH(search!$B$6,samples!#REF!,1),0)</f>
        <v>0</v>
      </c>
      <c r="G358" t="e">
        <f>IF(samples!#REF!=0,"",samples!#REF!)</f>
        <v>#REF!</v>
      </c>
      <c r="H358">
        <f>IFERROR(SEARCH(search!$B$6,samples!#REF!,1),0)</f>
        <v>0</v>
      </c>
      <c r="I358" t="e">
        <f>IF(samples!#REF!=0,"",samples!#REF!)</f>
        <v>#REF!</v>
      </c>
      <c r="J358">
        <f>IFERROR(SEARCH(search!$B$6,samples!#REF!,1),0)</f>
        <v>0</v>
      </c>
      <c r="K358" t="e">
        <f>IF(samples!#REF!=0,"",samples!#REF!)</f>
        <v>#REF!</v>
      </c>
      <c r="L358">
        <f>IFERROR(SEARCH(search!$B$6,samples!#REF!,1),0)</f>
        <v>0</v>
      </c>
      <c r="M358" t="e">
        <f>IF(samples!#REF!=0,"",samples!#REF!)</f>
        <v>#REF!</v>
      </c>
      <c r="N358">
        <f>IFERROR(SEARCH(search!$B$6,samples!#REF!,1),0)</f>
        <v>0</v>
      </c>
      <c r="O358" t="e">
        <f>IF(samples!#REF!=0,"",samples!#REF!)</f>
        <v>#REF!</v>
      </c>
      <c r="P358">
        <f>IFERROR(SEARCH(search!$B$6,samples!#REF!,1),0)</f>
        <v>0</v>
      </c>
      <c r="Q358" t="e">
        <f>IF(samples!#REF!=0,"",samples!#REF!)</f>
        <v>#REF!</v>
      </c>
      <c r="R358">
        <f>IFERROR(SEARCH(search!$B$6,samples!#REF!,1),0)</f>
        <v>0</v>
      </c>
      <c r="S358" t="e">
        <f>IF(samples!#REF!=0,"",samples!#REF!)</f>
        <v>#REF!</v>
      </c>
      <c r="T358">
        <f>IFERROR(SEARCH(search!$B$6,samples!#REF!,1),0)</f>
        <v>0</v>
      </c>
      <c r="U358" t="e">
        <f>IF(samples!#REF!=0,"",samples!#REF!)</f>
        <v>#REF!</v>
      </c>
      <c r="V358">
        <f>IFERROR(SEARCH(search!$B$6,samples!#REF!,1),0)</f>
        <v>0</v>
      </c>
      <c r="W358" t="e">
        <f>IF(samples!#REF!=0,"",samples!#REF!)</f>
        <v>#REF!</v>
      </c>
      <c r="X358">
        <f>IFERROR(SEARCH(search!$B$6,samples!#REF!,1),0)</f>
        <v>0</v>
      </c>
      <c r="Y358" t="e">
        <f>IF(samples!#REF!=0,"",samples!#REF!)</f>
        <v>#REF!</v>
      </c>
      <c r="Z358">
        <f>IFERROR(SEARCH(search!$B$6,samples!#REF!,1),0)</f>
        <v>0</v>
      </c>
      <c r="AA358" t="e">
        <f>IF(samples!#REF!=0,"",samples!#REF!)</f>
        <v>#REF!</v>
      </c>
      <c r="AB358">
        <f>IFERROR(SEARCH(search!$B$6,samples!#REF!,1),0)</f>
        <v>0</v>
      </c>
      <c r="AC358" t="e">
        <f>IF(samples!#REF!=0,"",samples!#REF!)</f>
        <v>#REF!</v>
      </c>
      <c r="AD358">
        <f>IFERROR(SEARCH(search!$B$6,samples!#REF!,1),0)</f>
        <v>0</v>
      </c>
    </row>
    <row r="359" spans="1:30">
      <c r="A359">
        <f t="shared" si="5"/>
        <v>0</v>
      </c>
      <c r="B359">
        <f>IF(SUM(D359,F359,H359,J359,L359,N359,P359,R359,T359,V359,X359,Z359,AB359,AD359)&gt;0,SUM($A$2:A359),0)</f>
        <v>0</v>
      </c>
      <c r="C359" t="e">
        <f>samples!#REF!</f>
        <v>#REF!</v>
      </c>
      <c r="D359">
        <f>IFERROR(SEARCH(search!$B$6,samples!#REF!,1),0)</f>
        <v>0</v>
      </c>
      <c r="E359" t="e">
        <f>IF(samples!#REF!=0,"",samples!#REF!)</f>
        <v>#REF!</v>
      </c>
      <c r="F359">
        <f>IFERROR(SEARCH(search!$B$6,samples!#REF!,1),0)</f>
        <v>0</v>
      </c>
      <c r="G359" t="e">
        <f>IF(samples!#REF!=0,"",samples!#REF!)</f>
        <v>#REF!</v>
      </c>
      <c r="H359">
        <f>IFERROR(SEARCH(search!$B$6,samples!#REF!,1),0)</f>
        <v>0</v>
      </c>
      <c r="I359" t="e">
        <f>IF(samples!#REF!=0,"",samples!#REF!)</f>
        <v>#REF!</v>
      </c>
      <c r="J359">
        <f>IFERROR(SEARCH(search!$B$6,samples!#REF!,1),0)</f>
        <v>0</v>
      </c>
      <c r="K359" t="e">
        <f>IF(samples!#REF!=0,"",samples!#REF!)</f>
        <v>#REF!</v>
      </c>
      <c r="L359">
        <f>IFERROR(SEARCH(search!$B$6,samples!#REF!,1),0)</f>
        <v>0</v>
      </c>
      <c r="M359" t="e">
        <f>IF(samples!#REF!=0,"",samples!#REF!)</f>
        <v>#REF!</v>
      </c>
      <c r="N359">
        <f>IFERROR(SEARCH(search!$B$6,samples!#REF!,1),0)</f>
        <v>0</v>
      </c>
      <c r="O359" t="e">
        <f>IF(samples!#REF!=0,"",samples!#REF!)</f>
        <v>#REF!</v>
      </c>
      <c r="P359">
        <f>IFERROR(SEARCH(search!$B$6,samples!#REF!,1),0)</f>
        <v>0</v>
      </c>
      <c r="Q359" t="e">
        <f>IF(samples!#REF!=0,"",samples!#REF!)</f>
        <v>#REF!</v>
      </c>
      <c r="R359">
        <f>IFERROR(SEARCH(search!$B$6,samples!#REF!,1),0)</f>
        <v>0</v>
      </c>
      <c r="S359" t="e">
        <f>IF(samples!#REF!=0,"",samples!#REF!)</f>
        <v>#REF!</v>
      </c>
      <c r="T359">
        <f>IFERROR(SEARCH(search!$B$6,samples!#REF!,1),0)</f>
        <v>0</v>
      </c>
      <c r="U359" t="e">
        <f>IF(samples!#REF!=0,"",samples!#REF!)</f>
        <v>#REF!</v>
      </c>
      <c r="V359">
        <f>IFERROR(SEARCH(search!$B$6,samples!#REF!,1),0)</f>
        <v>0</v>
      </c>
      <c r="W359" t="e">
        <f>IF(samples!#REF!=0,"",samples!#REF!)</f>
        <v>#REF!</v>
      </c>
      <c r="X359">
        <f>IFERROR(SEARCH(search!$B$6,samples!#REF!,1),0)</f>
        <v>0</v>
      </c>
      <c r="Y359" t="e">
        <f>IF(samples!#REF!=0,"",samples!#REF!)</f>
        <v>#REF!</v>
      </c>
      <c r="Z359">
        <f>IFERROR(SEARCH(search!$B$6,samples!#REF!,1),0)</f>
        <v>0</v>
      </c>
      <c r="AA359" t="e">
        <f>IF(samples!#REF!=0,"",samples!#REF!)</f>
        <v>#REF!</v>
      </c>
      <c r="AB359">
        <f>IFERROR(SEARCH(search!$B$6,samples!#REF!,1),0)</f>
        <v>0</v>
      </c>
      <c r="AC359" t="e">
        <f>IF(samples!#REF!=0,"",samples!#REF!)</f>
        <v>#REF!</v>
      </c>
      <c r="AD359">
        <f>IFERROR(SEARCH(search!$B$6,samples!#REF!,1),0)</f>
        <v>0</v>
      </c>
    </row>
    <row r="360" spans="1:30">
      <c r="A360">
        <f t="shared" si="5"/>
        <v>0</v>
      </c>
      <c r="B360">
        <f>IF(SUM(D360,F360,H360,J360,L360,N360,P360,R360,T360,V360,X360,Z360,AB360,AD360)&gt;0,SUM($A$2:A360),0)</f>
        <v>0</v>
      </c>
      <c r="C360" t="e">
        <f>samples!#REF!</f>
        <v>#REF!</v>
      </c>
      <c r="D360">
        <f>IFERROR(SEARCH(search!$B$6,samples!#REF!,1),0)</f>
        <v>0</v>
      </c>
      <c r="E360" t="e">
        <f>IF(samples!#REF!=0,"",samples!#REF!)</f>
        <v>#REF!</v>
      </c>
      <c r="F360">
        <f>IFERROR(SEARCH(search!$B$6,samples!#REF!,1),0)</f>
        <v>0</v>
      </c>
      <c r="G360" t="e">
        <f>IF(samples!#REF!=0,"",samples!#REF!)</f>
        <v>#REF!</v>
      </c>
      <c r="H360">
        <f>IFERROR(SEARCH(search!$B$6,samples!#REF!,1),0)</f>
        <v>0</v>
      </c>
      <c r="I360" t="e">
        <f>IF(samples!#REF!=0,"",samples!#REF!)</f>
        <v>#REF!</v>
      </c>
      <c r="J360">
        <f>IFERROR(SEARCH(search!$B$6,samples!#REF!,1),0)</f>
        <v>0</v>
      </c>
      <c r="K360" t="e">
        <f>IF(samples!#REF!=0,"",samples!#REF!)</f>
        <v>#REF!</v>
      </c>
      <c r="L360">
        <f>IFERROR(SEARCH(search!$B$6,samples!#REF!,1),0)</f>
        <v>0</v>
      </c>
      <c r="M360" t="e">
        <f>IF(samples!#REF!=0,"",samples!#REF!)</f>
        <v>#REF!</v>
      </c>
      <c r="N360">
        <f>IFERROR(SEARCH(search!$B$6,samples!#REF!,1),0)</f>
        <v>0</v>
      </c>
      <c r="O360" t="e">
        <f>IF(samples!#REF!=0,"",samples!#REF!)</f>
        <v>#REF!</v>
      </c>
      <c r="P360">
        <f>IFERROR(SEARCH(search!$B$6,samples!#REF!,1),0)</f>
        <v>0</v>
      </c>
      <c r="Q360" t="e">
        <f>IF(samples!#REF!=0,"",samples!#REF!)</f>
        <v>#REF!</v>
      </c>
      <c r="R360">
        <f>IFERROR(SEARCH(search!$B$6,samples!#REF!,1),0)</f>
        <v>0</v>
      </c>
      <c r="S360" t="e">
        <f>IF(samples!#REF!=0,"",samples!#REF!)</f>
        <v>#REF!</v>
      </c>
      <c r="T360">
        <f>IFERROR(SEARCH(search!$B$6,samples!#REF!,1),0)</f>
        <v>0</v>
      </c>
      <c r="U360" t="e">
        <f>IF(samples!#REF!=0,"",samples!#REF!)</f>
        <v>#REF!</v>
      </c>
      <c r="V360">
        <f>IFERROR(SEARCH(search!$B$6,samples!#REF!,1),0)</f>
        <v>0</v>
      </c>
      <c r="W360" t="e">
        <f>IF(samples!#REF!=0,"",samples!#REF!)</f>
        <v>#REF!</v>
      </c>
      <c r="X360">
        <f>IFERROR(SEARCH(search!$B$6,samples!#REF!,1),0)</f>
        <v>0</v>
      </c>
      <c r="Y360" t="e">
        <f>IF(samples!#REF!=0,"",samples!#REF!)</f>
        <v>#REF!</v>
      </c>
      <c r="Z360">
        <f>IFERROR(SEARCH(search!$B$6,samples!#REF!,1),0)</f>
        <v>0</v>
      </c>
      <c r="AA360" t="e">
        <f>IF(samples!#REF!=0,"",samples!#REF!)</f>
        <v>#REF!</v>
      </c>
      <c r="AB360">
        <f>IFERROR(SEARCH(search!$B$6,samples!#REF!,1),0)</f>
        <v>0</v>
      </c>
      <c r="AC360" t="e">
        <f>IF(samples!#REF!=0,"",samples!#REF!)</f>
        <v>#REF!</v>
      </c>
      <c r="AD360">
        <f>IFERROR(SEARCH(search!$B$6,samples!#REF!,1),0)</f>
        <v>0</v>
      </c>
    </row>
    <row r="361" spans="1:30">
      <c r="A361">
        <f t="shared" si="5"/>
        <v>0</v>
      </c>
      <c r="B361">
        <f>IF(SUM(D361,F361,H361,J361,L361,N361,P361,R361,T361,V361,X361,Z361,AB361,AD361)&gt;0,SUM($A$2:A361),0)</f>
        <v>0</v>
      </c>
      <c r="C361" t="e">
        <f>samples!#REF!</f>
        <v>#REF!</v>
      </c>
      <c r="D361">
        <f>IFERROR(SEARCH(search!$B$6,samples!#REF!,1),0)</f>
        <v>0</v>
      </c>
      <c r="E361" t="e">
        <f>IF(samples!#REF!=0,"",samples!#REF!)</f>
        <v>#REF!</v>
      </c>
      <c r="F361">
        <f>IFERROR(SEARCH(search!$B$6,samples!#REF!,1),0)</f>
        <v>0</v>
      </c>
      <c r="G361" t="e">
        <f>IF(samples!#REF!=0,"",samples!#REF!)</f>
        <v>#REF!</v>
      </c>
      <c r="H361">
        <f>IFERROR(SEARCH(search!$B$6,samples!#REF!,1),0)</f>
        <v>0</v>
      </c>
      <c r="I361" t="e">
        <f>IF(samples!#REF!=0,"",samples!#REF!)</f>
        <v>#REF!</v>
      </c>
      <c r="J361">
        <f>IFERROR(SEARCH(search!$B$6,samples!#REF!,1),0)</f>
        <v>0</v>
      </c>
      <c r="K361" t="e">
        <f>IF(samples!#REF!=0,"",samples!#REF!)</f>
        <v>#REF!</v>
      </c>
      <c r="L361">
        <f>IFERROR(SEARCH(search!$B$6,samples!#REF!,1),0)</f>
        <v>0</v>
      </c>
      <c r="M361" t="e">
        <f>IF(samples!#REF!=0,"",samples!#REF!)</f>
        <v>#REF!</v>
      </c>
      <c r="N361">
        <f>IFERROR(SEARCH(search!$B$6,samples!#REF!,1),0)</f>
        <v>0</v>
      </c>
      <c r="O361" t="e">
        <f>IF(samples!#REF!=0,"",samples!#REF!)</f>
        <v>#REF!</v>
      </c>
      <c r="P361">
        <f>IFERROR(SEARCH(search!$B$6,samples!#REF!,1),0)</f>
        <v>0</v>
      </c>
      <c r="Q361" t="e">
        <f>IF(samples!#REF!=0,"",samples!#REF!)</f>
        <v>#REF!</v>
      </c>
      <c r="R361">
        <f>IFERROR(SEARCH(search!$B$6,samples!#REF!,1),0)</f>
        <v>0</v>
      </c>
      <c r="S361" t="e">
        <f>IF(samples!#REF!=0,"",samples!#REF!)</f>
        <v>#REF!</v>
      </c>
      <c r="T361">
        <f>IFERROR(SEARCH(search!$B$6,samples!#REF!,1),0)</f>
        <v>0</v>
      </c>
      <c r="U361" t="e">
        <f>IF(samples!#REF!=0,"",samples!#REF!)</f>
        <v>#REF!</v>
      </c>
      <c r="V361">
        <f>IFERROR(SEARCH(search!$B$6,samples!#REF!,1),0)</f>
        <v>0</v>
      </c>
      <c r="W361" t="e">
        <f>IF(samples!#REF!=0,"",samples!#REF!)</f>
        <v>#REF!</v>
      </c>
      <c r="X361">
        <f>IFERROR(SEARCH(search!$B$6,samples!#REF!,1),0)</f>
        <v>0</v>
      </c>
      <c r="Y361" t="e">
        <f>IF(samples!#REF!=0,"",samples!#REF!)</f>
        <v>#REF!</v>
      </c>
      <c r="Z361">
        <f>IFERROR(SEARCH(search!$B$6,samples!#REF!,1),0)</f>
        <v>0</v>
      </c>
      <c r="AA361" t="e">
        <f>IF(samples!#REF!=0,"",samples!#REF!)</f>
        <v>#REF!</v>
      </c>
      <c r="AB361">
        <f>IFERROR(SEARCH(search!$B$6,samples!#REF!,1),0)</f>
        <v>0</v>
      </c>
      <c r="AC361" t="e">
        <f>IF(samples!#REF!=0,"",samples!#REF!)</f>
        <v>#REF!</v>
      </c>
      <c r="AD361">
        <f>IFERROR(SEARCH(search!$B$6,samples!#REF!,1),0)</f>
        <v>0</v>
      </c>
    </row>
    <row r="362" spans="1:30">
      <c r="A362">
        <f t="shared" si="5"/>
        <v>0</v>
      </c>
      <c r="B362">
        <f>IF(SUM(D362,F362,H362,J362,L362,N362,P362,R362,T362,V362,X362,Z362,AB362,AD362)&gt;0,SUM($A$2:A362),0)</f>
        <v>0</v>
      </c>
      <c r="C362" t="e">
        <f>samples!#REF!</f>
        <v>#REF!</v>
      </c>
      <c r="D362">
        <f>IFERROR(SEARCH(search!$B$6,samples!#REF!,1),0)</f>
        <v>0</v>
      </c>
      <c r="E362" t="e">
        <f>IF(samples!#REF!=0,"",samples!#REF!)</f>
        <v>#REF!</v>
      </c>
      <c r="F362">
        <f>IFERROR(SEARCH(search!$B$6,samples!#REF!,1),0)</f>
        <v>0</v>
      </c>
      <c r="G362" t="e">
        <f>IF(samples!#REF!=0,"",samples!#REF!)</f>
        <v>#REF!</v>
      </c>
      <c r="H362">
        <f>IFERROR(SEARCH(search!$B$6,samples!#REF!,1),0)</f>
        <v>0</v>
      </c>
      <c r="I362" t="e">
        <f>IF(samples!#REF!=0,"",samples!#REF!)</f>
        <v>#REF!</v>
      </c>
      <c r="J362">
        <f>IFERROR(SEARCH(search!$B$6,samples!#REF!,1),0)</f>
        <v>0</v>
      </c>
      <c r="K362" t="e">
        <f>IF(samples!#REF!=0,"",samples!#REF!)</f>
        <v>#REF!</v>
      </c>
      <c r="L362">
        <f>IFERROR(SEARCH(search!$B$6,samples!#REF!,1),0)</f>
        <v>0</v>
      </c>
      <c r="M362" t="e">
        <f>IF(samples!#REF!=0,"",samples!#REF!)</f>
        <v>#REF!</v>
      </c>
      <c r="N362">
        <f>IFERROR(SEARCH(search!$B$6,samples!#REF!,1),0)</f>
        <v>0</v>
      </c>
      <c r="O362" t="e">
        <f>IF(samples!#REF!=0,"",samples!#REF!)</f>
        <v>#REF!</v>
      </c>
      <c r="P362">
        <f>IFERROR(SEARCH(search!$B$6,samples!#REF!,1),0)</f>
        <v>0</v>
      </c>
      <c r="Q362" t="e">
        <f>IF(samples!#REF!=0,"",samples!#REF!)</f>
        <v>#REF!</v>
      </c>
      <c r="R362">
        <f>IFERROR(SEARCH(search!$B$6,samples!#REF!,1),0)</f>
        <v>0</v>
      </c>
      <c r="S362" t="e">
        <f>IF(samples!#REF!=0,"",samples!#REF!)</f>
        <v>#REF!</v>
      </c>
      <c r="T362">
        <f>IFERROR(SEARCH(search!$B$6,samples!#REF!,1),0)</f>
        <v>0</v>
      </c>
      <c r="U362" t="e">
        <f>IF(samples!#REF!=0,"",samples!#REF!)</f>
        <v>#REF!</v>
      </c>
      <c r="V362">
        <f>IFERROR(SEARCH(search!$B$6,samples!#REF!,1),0)</f>
        <v>0</v>
      </c>
      <c r="W362" t="e">
        <f>IF(samples!#REF!=0,"",samples!#REF!)</f>
        <v>#REF!</v>
      </c>
      <c r="X362">
        <f>IFERROR(SEARCH(search!$B$6,samples!#REF!,1),0)</f>
        <v>0</v>
      </c>
      <c r="Y362" t="e">
        <f>IF(samples!#REF!=0,"",samples!#REF!)</f>
        <v>#REF!</v>
      </c>
      <c r="Z362">
        <f>IFERROR(SEARCH(search!$B$6,samples!#REF!,1),0)</f>
        <v>0</v>
      </c>
      <c r="AA362" t="e">
        <f>IF(samples!#REF!=0,"",samples!#REF!)</f>
        <v>#REF!</v>
      </c>
      <c r="AB362">
        <f>IFERROR(SEARCH(search!$B$6,samples!#REF!,1),0)</f>
        <v>0</v>
      </c>
      <c r="AC362" t="e">
        <f>IF(samples!#REF!=0,"",samples!#REF!)</f>
        <v>#REF!</v>
      </c>
      <c r="AD362">
        <f>IFERROR(SEARCH(search!$B$6,samples!#REF!,1),0)</f>
        <v>0</v>
      </c>
    </row>
    <row r="363" spans="1:30">
      <c r="A363">
        <f t="shared" si="5"/>
        <v>0</v>
      </c>
      <c r="B363">
        <f>IF(SUM(D363,F363,H363,J363,L363,N363,P363,R363,T363,V363,X363,Z363,AB363,AD363)&gt;0,SUM($A$2:A363),0)</f>
        <v>0</v>
      </c>
      <c r="C363" t="e">
        <f>samples!#REF!</f>
        <v>#REF!</v>
      </c>
      <c r="D363">
        <f>IFERROR(SEARCH(search!$B$6,samples!#REF!,1),0)</f>
        <v>0</v>
      </c>
      <c r="E363" t="e">
        <f>IF(samples!#REF!=0,"",samples!#REF!)</f>
        <v>#REF!</v>
      </c>
      <c r="F363">
        <f>IFERROR(SEARCH(search!$B$6,samples!#REF!,1),0)</f>
        <v>0</v>
      </c>
      <c r="G363" t="e">
        <f>IF(samples!#REF!=0,"",samples!#REF!)</f>
        <v>#REF!</v>
      </c>
      <c r="H363">
        <f>IFERROR(SEARCH(search!$B$6,samples!#REF!,1),0)</f>
        <v>0</v>
      </c>
      <c r="I363" t="e">
        <f>IF(samples!#REF!=0,"",samples!#REF!)</f>
        <v>#REF!</v>
      </c>
      <c r="J363">
        <f>IFERROR(SEARCH(search!$B$6,samples!#REF!,1),0)</f>
        <v>0</v>
      </c>
      <c r="K363" t="e">
        <f>IF(samples!#REF!=0,"",samples!#REF!)</f>
        <v>#REF!</v>
      </c>
      <c r="L363">
        <f>IFERROR(SEARCH(search!$B$6,samples!#REF!,1),0)</f>
        <v>0</v>
      </c>
      <c r="M363" t="e">
        <f>IF(samples!#REF!=0,"",samples!#REF!)</f>
        <v>#REF!</v>
      </c>
      <c r="N363">
        <f>IFERROR(SEARCH(search!$B$6,samples!#REF!,1),0)</f>
        <v>0</v>
      </c>
      <c r="O363" t="e">
        <f>IF(samples!#REF!=0,"",samples!#REF!)</f>
        <v>#REF!</v>
      </c>
      <c r="P363">
        <f>IFERROR(SEARCH(search!$B$6,samples!#REF!,1),0)</f>
        <v>0</v>
      </c>
      <c r="Q363" t="e">
        <f>IF(samples!#REF!=0,"",samples!#REF!)</f>
        <v>#REF!</v>
      </c>
      <c r="R363">
        <f>IFERROR(SEARCH(search!$B$6,samples!#REF!,1),0)</f>
        <v>0</v>
      </c>
      <c r="S363" t="e">
        <f>IF(samples!#REF!=0,"",samples!#REF!)</f>
        <v>#REF!</v>
      </c>
      <c r="T363">
        <f>IFERROR(SEARCH(search!$B$6,samples!#REF!,1),0)</f>
        <v>0</v>
      </c>
      <c r="U363" t="e">
        <f>IF(samples!#REF!=0,"",samples!#REF!)</f>
        <v>#REF!</v>
      </c>
      <c r="V363">
        <f>IFERROR(SEARCH(search!$B$6,samples!#REF!,1),0)</f>
        <v>0</v>
      </c>
      <c r="W363" t="e">
        <f>IF(samples!#REF!=0,"",samples!#REF!)</f>
        <v>#REF!</v>
      </c>
      <c r="X363">
        <f>IFERROR(SEARCH(search!$B$6,samples!#REF!,1),0)</f>
        <v>0</v>
      </c>
      <c r="Y363" t="e">
        <f>IF(samples!#REF!=0,"",samples!#REF!)</f>
        <v>#REF!</v>
      </c>
      <c r="Z363">
        <f>IFERROR(SEARCH(search!$B$6,samples!#REF!,1),0)</f>
        <v>0</v>
      </c>
      <c r="AA363" t="e">
        <f>IF(samples!#REF!=0,"",samples!#REF!)</f>
        <v>#REF!</v>
      </c>
      <c r="AB363">
        <f>IFERROR(SEARCH(search!$B$6,samples!#REF!,1),0)</f>
        <v>0</v>
      </c>
      <c r="AC363" t="e">
        <f>IF(samples!#REF!=0,"",samples!#REF!)</f>
        <v>#REF!</v>
      </c>
      <c r="AD363">
        <f>IFERROR(SEARCH(search!$B$6,samples!#REF!,1),0)</f>
        <v>0</v>
      </c>
    </row>
    <row r="364" spans="1:30">
      <c r="A364">
        <f t="shared" si="5"/>
        <v>0</v>
      </c>
      <c r="B364">
        <f>IF(SUM(D364,F364,H364,J364,L364,N364,P364,R364,T364,V364,X364,Z364,AB364,AD364)&gt;0,SUM($A$2:A364),0)</f>
        <v>0</v>
      </c>
      <c r="C364" t="e">
        <f>samples!#REF!</f>
        <v>#REF!</v>
      </c>
      <c r="D364">
        <f>IFERROR(SEARCH(search!$B$6,samples!#REF!,1),0)</f>
        <v>0</v>
      </c>
      <c r="E364" t="e">
        <f>IF(samples!#REF!=0,"",samples!#REF!)</f>
        <v>#REF!</v>
      </c>
      <c r="F364">
        <f>IFERROR(SEARCH(search!$B$6,samples!#REF!,1),0)</f>
        <v>0</v>
      </c>
      <c r="G364" t="e">
        <f>IF(samples!#REF!=0,"",samples!#REF!)</f>
        <v>#REF!</v>
      </c>
      <c r="H364">
        <f>IFERROR(SEARCH(search!$B$6,samples!#REF!,1),0)</f>
        <v>0</v>
      </c>
      <c r="I364" t="e">
        <f>IF(samples!#REF!=0,"",samples!#REF!)</f>
        <v>#REF!</v>
      </c>
      <c r="J364">
        <f>IFERROR(SEARCH(search!$B$6,samples!#REF!,1),0)</f>
        <v>0</v>
      </c>
      <c r="K364" t="e">
        <f>IF(samples!#REF!=0,"",samples!#REF!)</f>
        <v>#REF!</v>
      </c>
      <c r="L364">
        <f>IFERROR(SEARCH(search!$B$6,samples!#REF!,1),0)</f>
        <v>0</v>
      </c>
      <c r="M364" t="e">
        <f>IF(samples!#REF!=0,"",samples!#REF!)</f>
        <v>#REF!</v>
      </c>
      <c r="N364">
        <f>IFERROR(SEARCH(search!$B$6,samples!#REF!,1),0)</f>
        <v>0</v>
      </c>
      <c r="O364" t="e">
        <f>IF(samples!#REF!=0,"",samples!#REF!)</f>
        <v>#REF!</v>
      </c>
      <c r="P364">
        <f>IFERROR(SEARCH(search!$B$6,samples!#REF!,1),0)</f>
        <v>0</v>
      </c>
      <c r="Q364" t="e">
        <f>IF(samples!#REF!=0,"",samples!#REF!)</f>
        <v>#REF!</v>
      </c>
      <c r="R364">
        <f>IFERROR(SEARCH(search!$B$6,samples!#REF!,1),0)</f>
        <v>0</v>
      </c>
      <c r="S364" t="e">
        <f>IF(samples!#REF!=0,"",samples!#REF!)</f>
        <v>#REF!</v>
      </c>
      <c r="T364">
        <f>IFERROR(SEARCH(search!$B$6,samples!#REF!,1),0)</f>
        <v>0</v>
      </c>
      <c r="U364" t="e">
        <f>IF(samples!#REF!=0,"",samples!#REF!)</f>
        <v>#REF!</v>
      </c>
      <c r="V364">
        <f>IFERROR(SEARCH(search!$B$6,samples!#REF!,1),0)</f>
        <v>0</v>
      </c>
      <c r="W364" t="e">
        <f>IF(samples!#REF!=0,"",samples!#REF!)</f>
        <v>#REF!</v>
      </c>
      <c r="X364">
        <f>IFERROR(SEARCH(search!$B$6,samples!#REF!,1),0)</f>
        <v>0</v>
      </c>
      <c r="Y364" t="e">
        <f>IF(samples!#REF!=0,"",samples!#REF!)</f>
        <v>#REF!</v>
      </c>
      <c r="Z364">
        <f>IFERROR(SEARCH(search!$B$6,samples!#REF!,1),0)</f>
        <v>0</v>
      </c>
      <c r="AA364" t="e">
        <f>IF(samples!#REF!=0,"",samples!#REF!)</f>
        <v>#REF!</v>
      </c>
      <c r="AB364">
        <f>IFERROR(SEARCH(search!$B$6,samples!#REF!,1),0)</f>
        <v>0</v>
      </c>
      <c r="AC364" t="e">
        <f>IF(samples!#REF!=0,"",samples!#REF!)</f>
        <v>#REF!</v>
      </c>
      <c r="AD364">
        <f>IFERROR(SEARCH(search!$B$6,samples!#REF!,1),0)</f>
        <v>0</v>
      </c>
    </row>
    <row r="365" spans="1:30">
      <c r="A365">
        <f t="shared" si="5"/>
        <v>0</v>
      </c>
      <c r="B365">
        <f>IF(SUM(D365,F365,H365,J365,L365,N365,P365,R365,T365,V365,X365,Z365,AB365,AD365)&gt;0,SUM($A$2:A365),0)</f>
        <v>0</v>
      </c>
      <c r="C365" t="e">
        <f>samples!#REF!</f>
        <v>#REF!</v>
      </c>
      <c r="D365">
        <f>IFERROR(SEARCH(search!$B$6,samples!#REF!,1),0)</f>
        <v>0</v>
      </c>
      <c r="E365" t="e">
        <f>IF(samples!#REF!=0,"",samples!#REF!)</f>
        <v>#REF!</v>
      </c>
      <c r="F365">
        <f>IFERROR(SEARCH(search!$B$6,samples!#REF!,1),0)</f>
        <v>0</v>
      </c>
      <c r="G365" t="e">
        <f>IF(samples!#REF!=0,"",samples!#REF!)</f>
        <v>#REF!</v>
      </c>
      <c r="H365">
        <f>IFERROR(SEARCH(search!$B$6,samples!#REF!,1),0)</f>
        <v>0</v>
      </c>
      <c r="I365" t="e">
        <f>IF(samples!#REF!=0,"",samples!#REF!)</f>
        <v>#REF!</v>
      </c>
      <c r="J365">
        <f>IFERROR(SEARCH(search!$B$6,samples!#REF!,1),0)</f>
        <v>0</v>
      </c>
      <c r="K365" t="e">
        <f>IF(samples!#REF!=0,"",samples!#REF!)</f>
        <v>#REF!</v>
      </c>
      <c r="L365">
        <f>IFERROR(SEARCH(search!$B$6,samples!#REF!,1),0)</f>
        <v>0</v>
      </c>
      <c r="M365" t="e">
        <f>IF(samples!#REF!=0,"",samples!#REF!)</f>
        <v>#REF!</v>
      </c>
      <c r="N365">
        <f>IFERROR(SEARCH(search!$B$6,samples!#REF!,1),0)</f>
        <v>0</v>
      </c>
      <c r="O365" t="e">
        <f>IF(samples!#REF!=0,"",samples!#REF!)</f>
        <v>#REF!</v>
      </c>
      <c r="P365">
        <f>IFERROR(SEARCH(search!$B$6,samples!#REF!,1),0)</f>
        <v>0</v>
      </c>
      <c r="Q365" t="e">
        <f>IF(samples!#REF!=0,"",samples!#REF!)</f>
        <v>#REF!</v>
      </c>
      <c r="R365">
        <f>IFERROR(SEARCH(search!$B$6,samples!#REF!,1),0)</f>
        <v>0</v>
      </c>
      <c r="S365" t="e">
        <f>IF(samples!#REF!=0,"",samples!#REF!)</f>
        <v>#REF!</v>
      </c>
      <c r="T365">
        <f>IFERROR(SEARCH(search!$B$6,samples!#REF!,1),0)</f>
        <v>0</v>
      </c>
      <c r="U365" t="e">
        <f>IF(samples!#REF!=0,"",samples!#REF!)</f>
        <v>#REF!</v>
      </c>
      <c r="V365">
        <f>IFERROR(SEARCH(search!$B$6,samples!#REF!,1),0)</f>
        <v>0</v>
      </c>
      <c r="W365" t="e">
        <f>IF(samples!#REF!=0,"",samples!#REF!)</f>
        <v>#REF!</v>
      </c>
      <c r="X365">
        <f>IFERROR(SEARCH(search!$B$6,samples!#REF!,1),0)</f>
        <v>0</v>
      </c>
      <c r="Y365" t="e">
        <f>IF(samples!#REF!=0,"",samples!#REF!)</f>
        <v>#REF!</v>
      </c>
      <c r="Z365">
        <f>IFERROR(SEARCH(search!$B$6,samples!#REF!,1),0)</f>
        <v>0</v>
      </c>
      <c r="AA365" t="e">
        <f>IF(samples!#REF!=0,"",samples!#REF!)</f>
        <v>#REF!</v>
      </c>
      <c r="AB365">
        <f>IFERROR(SEARCH(search!$B$6,samples!#REF!,1),0)</f>
        <v>0</v>
      </c>
      <c r="AC365" t="e">
        <f>IF(samples!#REF!=0,"",samples!#REF!)</f>
        <v>#REF!</v>
      </c>
      <c r="AD365">
        <f>IFERROR(SEARCH(search!$B$6,samples!#REF!,1),0)</f>
        <v>0</v>
      </c>
    </row>
    <row r="366" spans="1:30">
      <c r="A366">
        <f t="shared" si="5"/>
        <v>0</v>
      </c>
      <c r="B366">
        <f>IF(SUM(D366,F366,H366,J366,L366,N366,P366,R366,T366,V366,X366,Z366,AB366,AD366)&gt;0,SUM($A$2:A366),0)</f>
        <v>0</v>
      </c>
      <c r="C366" t="e">
        <f>samples!#REF!</f>
        <v>#REF!</v>
      </c>
      <c r="D366">
        <f>IFERROR(SEARCH(search!$B$6,samples!#REF!,1),0)</f>
        <v>0</v>
      </c>
      <c r="E366" t="e">
        <f>IF(samples!#REF!=0,"",samples!#REF!)</f>
        <v>#REF!</v>
      </c>
      <c r="F366">
        <f>IFERROR(SEARCH(search!$B$6,samples!#REF!,1),0)</f>
        <v>0</v>
      </c>
      <c r="G366" t="e">
        <f>IF(samples!#REF!=0,"",samples!#REF!)</f>
        <v>#REF!</v>
      </c>
      <c r="H366">
        <f>IFERROR(SEARCH(search!$B$6,samples!#REF!,1),0)</f>
        <v>0</v>
      </c>
      <c r="I366" t="e">
        <f>IF(samples!#REF!=0,"",samples!#REF!)</f>
        <v>#REF!</v>
      </c>
      <c r="J366">
        <f>IFERROR(SEARCH(search!$B$6,samples!#REF!,1),0)</f>
        <v>0</v>
      </c>
      <c r="K366" t="e">
        <f>IF(samples!#REF!=0,"",samples!#REF!)</f>
        <v>#REF!</v>
      </c>
      <c r="L366">
        <f>IFERROR(SEARCH(search!$B$6,samples!#REF!,1),0)</f>
        <v>0</v>
      </c>
      <c r="M366" t="e">
        <f>IF(samples!#REF!=0,"",samples!#REF!)</f>
        <v>#REF!</v>
      </c>
      <c r="N366">
        <f>IFERROR(SEARCH(search!$B$6,samples!#REF!,1),0)</f>
        <v>0</v>
      </c>
      <c r="O366" t="e">
        <f>IF(samples!#REF!=0,"",samples!#REF!)</f>
        <v>#REF!</v>
      </c>
      <c r="P366">
        <f>IFERROR(SEARCH(search!$B$6,samples!#REF!,1),0)</f>
        <v>0</v>
      </c>
      <c r="Q366" t="e">
        <f>IF(samples!#REF!=0,"",samples!#REF!)</f>
        <v>#REF!</v>
      </c>
      <c r="R366">
        <f>IFERROR(SEARCH(search!$B$6,samples!#REF!,1),0)</f>
        <v>0</v>
      </c>
      <c r="S366" t="e">
        <f>IF(samples!#REF!=0,"",samples!#REF!)</f>
        <v>#REF!</v>
      </c>
      <c r="T366">
        <f>IFERROR(SEARCH(search!$B$6,samples!#REF!,1),0)</f>
        <v>0</v>
      </c>
      <c r="U366" t="e">
        <f>IF(samples!#REF!=0,"",samples!#REF!)</f>
        <v>#REF!</v>
      </c>
      <c r="V366">
        <f>IFERROR(SEARCH(search!$B$6,samples!#REF!,1),0)</f>
        <v>0</v>
      </c>
      <c r="W366" t="e">
        <f>IF(samples!#REF!=0,"",samples!#REF!)</f>
        <v>#REF!</v>
      </c>
      <c r="X366">
        <f>IFERROR(SEARCH(search!$B$6,samples!#REF!,1),0)</f>
        <v>0</v>
      </c>
      <c r="Y366" t="e">
        <f>IF(samples!#REF!=0,"",samples!#REF!)</f>
        <v>#REF!</v>
      </c>
      <c r="Z366">
        <f>IFERROR(SEARCH(search!$B$6,samples!#REF!,1),0)</f>
        <v>0</v>
      </c>
      <c r="AA366" t="e">
        <f>IF(samples!#REF!=0,"",samples!#REF!)</f>
        <v>#REF!</v>
      </c>
      <c r="AB366">
        <f>IFERROR(SEARCH(search!$B$6,samples!#REF!,1),0)</f>
        <v>0</v>
      </c>
      <c r="AC366" t="e">
        <f>IF(samples!#REF!=0,"",samples!#REF!)</f>
        <v>#REF!</v>
      </c>
      <c r="AD366">
        <f>IFERROR(SEARCH(search!$B$6,samples!#REF!,1),0)</f>
        <v>0</v>
      </c>
    </row>
    <row r="367" spans="1:30">
      <c r="A367">
        <f t="shared" si="5"/>
        <v>0</v>
      </c>
      <c r="B367">
        <f>IF(SUM(D367,F367,H367,J367,L367,N367,P367,R367,T367,V367,X367,Z367,AB367,AD367)&gt;0,SUM($A$2:A367),0)</f>
        <v>0</v>
      </c>
      <c r="C367" t="e">
        <f>samples!#REF!</f>
        <v>#REF!</v>
      </c>
      <c r="D367">
        <f>IFERROR(SEARCH(search!$B$6,samples!#REF!,1),0)</f>
        <v>0</v>
      </c>
      <c r="E367" t="e">
        <f>IF(samples!#REF!=0,"",samples!#REF!)</f>
        <v>#REF!</v>
      </c>
      <c r="F367">
        <f>IFERROR(SEARCH(search!$B$6,samples!#REF!,1),0)</f>
        <v>0</v>
      </c>
      <c r="G367" t="e">
        <f>IF(samples!#REF!=0,"",samples!#REF!)</f>
        <v>#REF!</v>
      </c>
      <c r="H367">
        <f>IFERROR(SEARCH(search!$B$6,samples!#REF!,1),0)</f>
        <v>0</v>
      </c>
      <c r="I367" t="e">
        <f>IF(samples!#REF!=0,"",samples!#REF!)</f>
        <v>#REF!</v>
      </c>
      <c r="J367">
        <f>IFERROR(SEARCH(search!$B$6,samples!#REF!,1),0)</f>
        <v>0</v>
      </c>
      <c r="K367" t="e">
        <f>IF(samples!#REF!=0,"",samples!#REF!)</f>
        <v>#REF!</v>
      </c>
      <c r="L367">
        <f>IFERROR(SEARCH(search!$B$6,samples!#REF!,1),0)</f>
        <v>0</v>
      </c>
      <c r="M367" t="e">
        <f>IF(samples!#REF!=0,"",samples!#REF!)</f>
        <v>#REF!</v>
      </c>
      <c r="N367">
        <f>IFERROR(SEARCH(search!$B$6,samples!#REF!,1),0)</f>
        <v>0</v>
      </c>
      <c r="O367" t="e">
        <f>IF(samples!#REF!=0,"",samples!#REF!)</f>
        <v>#REF!</v>
      </c>
      <c r="P367">
        <f>IFERROR(SEARCH(search!$B$6,samples!#REF!,1),0)</f>
        <v>0</v>
      </c>
      <c r="Q367" t="e">
        <f>IF(samples!#REF!=0,"",samples!#REF!)</f>
        <v>#REF!</v>
      </c>
      <c r="R367">
        <f>IFERROR(SEARCH(search!$B$6,samples!#REF!,1),0)</f>
        <v>0</v>
      </c>
      <c r="S367" t="e">
        <f>IF(samples!#REF!=0,"",samples!#REF!)</f>
        <v>#REF!</v>
      </c>
      <c r="T367">
        <f>IFERROR(SEARCH(search!$B$6,samples!#REF!,1),0)</f>
        <v>0</v>
      </c>
      <c r="U367" t="e">
        <f>IF(samples!#REF!=0,"",samples!#REF!)</f>
        <v>#REF!</v>
      </c>
      <c r="V367">
        <f>IFERROR(SEARCH(search!$B$6,samples!#REF!,1),0)</f>
        <v>0</v>
      </c>
      <c r="W367" t="e">
        <f>IF(samples!#REF!=0,"",samples!#REF!)</f>
        <v>#REF!</v>
      </c>
      <c r="X367">
        <f>IFERROR(SEARCH(search!$B$6,samples!#REF!,1),0)</f>
        <v>0</v>
      </c>
      <c r="Y367" t="e">
        <f>IF(samples!#REF!=0,"",samples!#REF!)</f>
        <v>#REF!</v>
      </c>
      <c r="Z367">
        <f>IFERROR(SEARCH(search!$B$6,samples!#REF!,1),0)</f>
        <v>0</v>
      </c>
      <c r="AA367" t="e">
        <f>IF(samples!#REF!=0,"",samples!#REF!)</f>
        <v>#REF!</v>
      </c>
      <c r="AB367">
        <f>IFERROR(SEARCH(search!$B$6,samples!#REF!,1),0)</f>
        <v>0</v>
      </c>
      <c r="AC367" t="e">
        <f>IF(samples!#REF!=0,"",samples!#REF!)</f>
        <v>#REF!</v>
      </c>
      <c r="AD367">
        <f>IFERROR(SEARCH(search!$B$6,samples!#REF!,1),0)</f>
        <v>0</v>
      </c>
    </row>
    <row r="368" spans="1:30">
      <c r="A368">
        <f t="shared" si="5"/>
        <v>0</v>
      </c>
      <c r="B368">
        <f>IF(SUM(D368,F368,H368,J368,L368,N368,P368,R368,T368,V368,X368,Z368,AB368,AD368)&gt;0,SUM($A$2:A368),0)</f>
        <v>0</v>
      </c>
      <c r="C368" t="e">
        <f>samples!#REF!</f>
        <v>#REF!</v>
      </c>
      <c r="D368">
        <f>IFERROR(SEARCH(search!$B$6,samples!#REF!,1),0)</f>
        <v>0</v>
      </c>
      <c r="E368" t="e">
        <f>IF(samples!#REF!=0,"",samples!#REF!)</f>
        <v>#REF!</v>
      </c>
      <c r="F368">
        <f>IFERROR(SEARCH(search!$B$6,samples!#REF!,1),0)</f>
        <v>0</v>
      </c>
      <c r="G368" t="e">
        <f>IF(samples!#REF!=0,"",samples!#REF!)</f>
        <v>#REF!</v>
      </c>
      <c r="H368">
        <f>IFERROR(SEARCH(search!$B$6,samples!#REF!,1),0)</f>
        <v>0</v>
      </c>
      <c r="I368" t="e">
        <f>IF(samples!#REF!=0,"",samples!#REF!)</f>
        <v>#REF!</v>
      </c>
      <c r="J368">
        <f>IFERROR(SEARCH(search!$B$6,samples!#REF!,1),0)</f>
        <v>0</v>
      </c>
      <c r="K368" t="e">
        <f>IF(samples!#REF!=0,"",samples!#REF!)</f>
        <v>#REF!</v>
      </c>
      <c r="L368">
        <f>IFERROR(SEARCH(search!$B$6,samples!#REF!,1),0)</f>
        <v>0</v>
      </c>
      <c r="M368" t="e">
        <f>IF(samples!#REF!=0,"",samples!#REF!)</f>
        <v>#REF!</v>
      </c>
      <c r="N368">
        <f>IFERROR(SEARCH(search!$B$6,samples!#REF!,1),0)</f>
        <v>0</v>
      </c>
      <c r="O368" t="e">
        <f>IF(samples!#REF!=0,"",samples!#REF!)</f>
        <v>#REF!</v>
      </c>
      <c r="P368">
        <f>IFERROR(SEARCH(search!$B$6,samples!#REF!,1),0)</f>
        <v>0</v>
      </c>
      <c r="Q368" t="e">
        <f>IF(samples!#REF!=0,"",samples!#REF!)</f>
        <v>#REF!</v>
      </c>
      <c r="R368">
        <f>IFERROR(SEARCH(search!$B$6,samples!#REF!,1),0)</f>
        <v>0</v>
      </c>
      <c r="S368" t="e">
        <f>IF(samples!#REF!=0,"",samples!#REF!)</f>
        <v>#REF!</v>
      </c>
      <c r="T368">
        <f>IFERROR(SEARCH(search!$B$6,samples!#REF!,1),0)</f>
        <v>0</v>
      </c>
      <c r="U368" t="e">
        <f>IF(samples!#REF!=0,"",samples!#REF!)</f>
        <v>#REF!</v>
      </c>
      <c r="V368">
        <f>IFERROR(SEARCH(search!$B$6,samples!#REF!,1),0)</f>
        <v>0</v>
      </c>
      <c r="W368" t="e">
        <f>IF(samples!#REF!=0,"",samples!#REF!)</f>
        <v>#REF!</v>
      </c>
      <c r="X368">
        <f>IFERROR(SEARCH(search!$B$6,samples!#REF!,1),0)</f>
        <v>0</v>
      </c>
      <c r="Y368" t="e">
        <f>IF(samples!#REF!=0,"",samples!#REF!)</f>
        <v>#REF!</v>
      </c>
      <c r="Z368">
        <f>IFERROR(SEARCH(search!$B$6,samples!#REF!,1),0)</f>
        <v>0</v>
      </c>
      <c r="AA368" t="e">
        <f>IF(samples!#REF!=0,"",samples!#REF!)</f>
        <v>#REF!</v>
      </c>
      <c r="AB368">
        <f>IFERROR(SEARCH(search!$B$6,samples!#REF!,1),0)</f>
        <v>0</v>
      </c>
      <c r="AC368" t="e">
        <f>IF(samples!#REF!=0,"",samples!#REF!)</f>
        <v>#REF!</v>
      </c>
      <c r="AD368">
        <f>IFERROR(SEARCH(search!$B$6,samples!#REF!,1),0)</f>
        <v>0</v>
      </c>
    </row>
    <row r="369" spans="1:30">
      <c r="A369">
        <f t="shared" si="5"/>
        <v>0</v>
      </c>
      <c r="B369">
        <f>IF(SUM(D369,F369,H369,J369,L369,N369,P369,R369,T369,V369,X369,Z369,AB369,AD369)&gt;0,SUM($A$2:A369),0)</f>
        <v>0</v>
      </c>
      <c r="C369" t="e">
        <f>samples!#REF!</f>
        <v>#REF!</v>
      </c>
      <c r="D369">
        <f>IFERROR(SEARCH(search!$B$6,samples!#REF!,1),0)</f>
        <v>0</v>
      </c>
      <c r="E369" t="e">
        <f>IF(samples!#REF!=0,"",samples!#REF!)</f>
        <v>#REF!</v>
      </c>
      <c r="F369">
        <f>IFERROR(SEARCH(search!$B$6,samples!#REF!,1),0)</f>
        <v>0</v>
      </c>
      <c r="G369" t="e">
        <f>IF(samples!#REF!=0,"",samples!#REF!)</f>
        <v>#REF!</v>
      </c>
      <c r="H369">
        <f>IFERROR(SEARCH(search!$B$6,samples!#REF!,1),0)</f>
        <v>0</v>
      </c>
      <c r="I369" t="e">
        <f>IF(samples!#REF!=0,"",samples!#REF!)</f>
        <v>#REF!</v>
      </c>
      <c r="J369">
        <f>IFERROR(SEARCH(search!$B$6,samples!#REF!,1),0)</f>
        <v>0</v>
      </c>
      <c r="K369" t="e">
        <f>IF(samples!#REF!=0,"",samples!#REF!)</f>
        <v>#REF!</v>
      </c>
      <c r="L369">
        <f>IFERROR(SEARCH(search!$B$6,samples!#REF!,1),0)</f>
        <v>0</v>
      </c>
      <c r="M369" t="e">
        <f>IF(samples!#REF!=0,"",samples!#REF!)</f>
        <v>#REF!</v>
      </c>
      <c r="N369">
        <f>IFERROR(SEARCH(search!$B$6,samples!#REF!,1),0)</f>
        <v>0</v>
      </c>
      <c r="O369" t="e">
        <f>IF(samples!#REF!=0,"",samples!#REF!)</f>
        <v>#REF!</v>
      </c>
      <c r="P369">
        <f>IFERROR(SEARCH(search!$B$6,samples!#REF!,1),0)</f>
        <v>0</v>
      </c>
      <c r="Q369" t="e">
        <f>IF(samples!#REF!=0,"",samples!#REF!)</f>
        <v>#REF!</v>
      </c>
      <c r="R369">
        <f>IFERROR(SEARCH(search!$B$6,samples!#REF!,1),0)</f>
        <v>0</v>
      </c>
      <c r="S369" t="e">
        <f>IF(samples!#REF!=0,"",samples!#REF!)</f>
        <v>#REF!</v>
      </c>
      <c r="T369">
        <f>IFERROR(SEARCH(search!$B$6,samples!#REF!,1),0)</f>
        <v>0</v>
      </c>
      <c r="U369" t="e">
        <f>IF(samples!#REF!=0,"",samples!#REF!)</f>
        <v>#REF!</v>
      </c>
      <c r="V369">
        <f>IFERROR(SEARCH(search!$B$6,samples!#REF!,1),0)</f>
        <v>0</v>
      </c>
      <c r="W369" t="e">
        <f>IF(samples!#REF!=0,"",samples!#REF!)</f>
        <v>#REF!</v>
      </c>
      <c r="X369">
        <f>IFERROR(SEARCH(search!$B$6,samples!#REF!,1),0)</f>
        <v>0</v>
      </c>
      <c r="Y369" t="e">
        <f>IF(samples!#REF!=0,"",samples!#REF!)</f>
        <v>#REF!</v>
      </c>
      <c r="Z369">
        <f>IFERROR(SEARCH(search!$B$6,samples!#REF!,1),0)</f>
        <v>0</v>
      </c>
      <c r="AA369" t="e">
        <f>IF(samples!#REF!=0,"",samples!#REF!)</f>
        <v>#REF!</v>
      </c>
      <c r="AB369">
        <f>IFERROR(SEARCH(search!$B$6,samples!#REF!,1),0)</f>
        <v>0</v>
      </c>
      <c r="AC369" t="e">
        <f>IF(samples!#REF!=0,"",samples!#REF!)</f>
        <v>#REF!</v>
      </c>
      <c r="AD369">
        <f>IFERROR(SEARCH(search!$B$6,samples!#REF!,1),0)</f>
        <v>0</v>
      </c>
    </row>
    <row r="370" spans="1:30">
      <c r="A370">
        <f t="shared" si="5"/>
        <v>0</v>
      </c>
      <c r="B370">
        <f>IF(SUM(D370,F370,H370,J370,L370,N370,P370,R370,T370,V370,X370,Z370,AB370,AD370)&gt;0,SUM($A$2:A370),0)</f>
        <v>0</v>
      </c>
      <c r="C370" t="e">
        <f>samples!#REF!</f>
        <v>#REF!</v>
      </c>
      <c r="D370">
        <f>IFERROR(SEARCH(search!$B$6,samples!#REF!,1),0)</f>
        <v>0</v>
      </c>
      <c r="E370" t="e">
        <f>IF(samples!#REF!=0,"",samples!#REF!)</f>
        <v>#REF!</v>
      </c>
      <c r="F370">
        <f>IFERROR(SEARCH(search!$B$6,samples!#REF!,1),0)</f>
        <v>0</v>
      </c>
      <c r="G370" t="e">
        <f>IF(samples!#REF!=0,"",samples!#REF!)</f>
        <v>#REF!</v>
      </c>
      <c r="H370">
        <f>IFERROR(SEARCH(search!$B$6,samples!#REF!,1),0)</f>
        <v>0</v>
      </c>
      <c r="I370" t="e">
        <f>IF(samples!#REF!=0,"",samples!#REF!)</f>
        <v>#REF!</v>
      </c>
      <c r="J370">
        <f>IFERROR(SEARCH(search!$B$6,samples!#REF!,1),0)</f>
        <v>0</v>
      </c>
      <c r="K370" t="e">
        <f>IF(samples!#REF!=0,"",samples!#REF!)</f>
        <v>#REF!</v>
      </c>
      <c r="L370">
        <f>IFERROR(SEARCH(search!$B$6,samples!#REF!,1),0)</f>
        <v>0</v>
      </c>
      <c r="M370" t="e">
        <f>IF(samples!#REF!=0,"",samples!#REF!)</f>
        <v>#REF!</v>
      </c>
      <c r="N370">
        <f>IFERROR(SEARCH(search!$B$6,samples!#REF!,1),0)</f>
        <v>0</v>
      </c>
      <c r="O370" t="e">
        <f>IF(samples!#REF!=0,"",samples!#REF!)</f>
        <v>#REF!</v>
      </c>
      <c r="P370">
        <f>IFERROR(SEARCH(search!$B$6,samples!#REF!,1),0)</f>
        <v>0</v>
      </c>
      <c r="Q370" t="e">
        <f>IF(samples!#REF!=0,"",samples!#REF!)</f>
        <v>#REF!</v>
      </c>
      <c r="R370">
        <f>IFERROR(SEARCH(search!$B$6,samples!#REF!,1),0)</f>
        <v>0</v>
      </c>
      <c r="S370" t="e">
        <f>IF(samples!#REF!=0,"",samples!#REF!)</f>
        <v>#REF!</v>
      </c>
      <c r="T370">
        <f>IFERROR(SEARCH(search!$B$6,samples!#REF!,1),0)</f>
        <v>0</v>
      </c>
      <c r="U370" t="e">
        <f>IF(samples!#REF!=0,"",samples!#REF!)</f>
        <v>#REF!</v>
      </c>
      <c r="V370">
        <f>IFERROR(SEARCH(search!$B$6,samples!#REF!,1),0)</f>
        <v>0</v>
      </c>
      <c r="W370" t="e">
        <f>IF(samples!#REF!=0,"",samples!#REF!)</f>
        <v>#REF!</v>
      </c>
      <c r="X370">
        <f>IFERROR(SEARCH(search!$B$6,samples!#REF!,1),0)</f>
        <v>0</v>
      </c>
      <c r="Y370" t="e">
        <f>IF(samples!#REF!=0,"",samples!#REF!)</f>
        <v>#REF!</v>
      </c>
      <c r="Z370">
        <f>IFERROR(SEARCH(search!$B$6,samples!#REF!,1),0)</f>
        <v>0</v>
      </c>
      <c r="AA370" t="e">
        <f>IF(samples!#REF!=0,"",samples!#REF!)</f>
        <v>#REF!</v>
      </c>
      <c r="AB370">
        <f>IFERROR(SEARCH(search!$B$6,samples!#REF!,1),0)</f>
        <v>0</v>
      </c>
      <c r="AC370" t="e">
        <f>IF(samples!#REF!=0,"",samples!#REF!)</f>
        <v>#REF!</v>
      </c>
      <c r="AD370">
        <f>IFERROR(SEARCH(search!$B$6,samples!#REF!,1),0)</f>
        <v>0</v>
      </c>
    </row>
    <row r="371" spans="1:30">
      <c r="A371">
        <f t="shared" si="5"/>
        <v>0</v>
      </c>
      <c r="B371">
        <f>IF(SUM(D371,F371,H371,J371,L371,N371,P371,R371,T371,V371,X371,Z371,AB371,AD371)&gt;0,SUM($A$2:A371),0)</f>
        <v>0</v>
      </c>
      <c r="C371" t="e">
        <f>samples!#REF!</f>
        <v>#REF!</v>
      </c>
      <c r="D371">
        <f>IFERROR(SEARCH(search!$B$6,samples!#REF!,1),0)</f>
        <v>0</v>
      </c>
      <c r="E371" t="e">
        <f>IF(samples!#REF!=0,"",samples!#REF!)</f>
        <v>#REF!</v>
      </c>
      <c r="F371">
        <f>IFERROR(SEARCH(search!$B$6,samples!#REF!,1),0)</f>
        <v>0</v>
      </c>
      <c r="G371" t="e">
        <f>IF(samples!#REF!=0,"",samples!#REF!)</f>
        <v>#REF!</v>
      </c>
      <c r="H371">
        <f>IFERROR(SEARCH(search!$B$6,samples!#REF!,1),0)</f>
        <v>0</v>
      </c>
      <c r="I371" t="e">
        <f>IF(samples!#REF!=0,"",samples!#REF!)</f>
        <v>#REF!</v>
      </c>
      <c r="J371">
        <f>IFERROR(SEARCH(search!$B$6,samples!#REF!,1),0)</f>
        <v>0</v>
      </c>
      <c r="K371" t="e">
        <f>IF(samples!#REF!=0,"",samples!#REF!)</f>
        <v>#REF!</v>
      </c>
      <c r="L371">
        <f>IFERROR(SEARCH(search!$B$6,samples!#REF!,1),0)</f>
        <v>0</v>
      </c>
      <c r="M371" t="e">
        <f>IF(samples!#REF!=0,"",samples!#REF!)</f>
        <v>#REF!</v>
      </c>
      <c r="N371">
        <f>IFERROR(SEARCH(search!$B$6,samples!#REF!,1),0)</f>
        <v>0</v>
      </c>
      <c r="O371" t="e">
        <f>IF(samples!#REF!=0,"",samples!#REF!)</f>
        <v>#REF!</v>
      </c>
      <c r="P371">
        <f>IFERROR(SEARCH(search!$B$6,samples!#REF!,1),0)</f>
        <v>0</v>
      </c>
      <c r="Q371" t="e">
        <f>IF(samples!#REF!=0,"",samples!#REF!)</f>
        <v>#REF!</v>
      </c>
      <c r="R371">
        <f>IFERROR(SEARCH(search!$B$6,samples!#REF!,1),0)</f>
        <v>0</v>
      </c>
      <c r="S371" t="e">
        <f>IF(samples!#REF!=0,"",samples!#REF!)</f>
        <v>#REF!</v>
      </c>
      <c r="T371">
        <f>IFERROR(SEARCH(search!$B$6,samples!#REF!,1),0)</f>
        <v>0</v>
      </c>
      <c r="U371" t="e">
        <f>IF(samples!#REF!=0,"",samples!#REF!)</f>
        <v>#REF!</v>
      </c>
      <c r="V371">
        <f>IFERROR(SEARCH(search!$B$6,samples!#REF!,1),0)</f>
        <v>0</v>
      </c>
      <c r="W371" t="e">
        <f>IF(samples!#REF!=0,"",samples!#REF!)</f>
        <v>#REF!</v>
      </c>
      <c r="X371">
        <f>IFERROR(SEARCH(search!$B$6,samples!#REF!,1),0)</f>
        <v>0</v>
      </c>
      <c r="Y371" t="e">
        <f>IF(samples!#REF!=0,"",samples!#REF!)</f>
        <v>#REF!</v>
      </c>
      <c r="Z371">
        <f>IFERROR(SEARCH(search!$B$6,samples!#REF!,1),0)</f>
        <v>0</v>
      </c>
      <c r="AA371" t="e">
        <f>IF(samples!#REF!=0,"",samples!#REF!)</f>
        <v>#REF!</v>
      </c>
      <c r="AB371">
        <f>IFERROR(SEARCH(search!$B$6,samples!#REF!,1),0)</f>
        <v>0</v>
      </c>
      <c r="AC371" t="e">
        <f>IF(samples!#REF!=0,"",samples!#REF!)</f>
        <v>#REF!</v>
      </c>
      <c r="AD371">
        <f>IFERROR(SEARCH(search!$B$6,samples!#REF!,1),0)</f>
        <v>0</v>
      </c>
    </row>
    <row r="372" spans="1:30">
      <c r="A372">
        <f t="shared" si="5"/>
        <v>0</v>
      </c>
      <c r="B372">
        <f>IF(SUM(D372,F372,H372,J372,L372,N372,P372,R372,T372,V372,X372,Z372,AB372,AD372)&gt;0,SUM($A$2:A372),0)</f>
        <v>0</v>
      </c>
      <c r="C372" t="e">
        <f>samples!#REF!</f>
        <v>#REF!</v>
      </c>
      <c r="D372">
        <f>IFERROR(SEARCH(search!$B$6,samples!#REF!,1),0)</f>
        <v>0</v>
      </c>
      <c r="E372" t="e">
        <f>IF(samples!#REF!=0,"",samples!#REF!)</f>
        <v>#REF!</v>
      </c>
      <c r="F372">
        <f>IFERROR(SEARCH(search!$B$6,samples!#REF!,1),0)</f>
        <v>0</v>
      </c>
      <c r="G372" t="e">
        <f>IF(samples!#REF!=0,"",samples!#REF!)</f>
        <v>#REF!</v>
      </c>
      <c r="H372">
        <f>IFERROR(SEARCH(search!$B$6,samples!#REF!,1),0)</f>
        <v>0</v>
      </c>
      <c r="I372" t="e">
        <f>IF(samples!#REF!=0,"",samples!#REF!)</f>
        <v>#REF!</v>
      </c>
      <c r="J372">
        <f>IFERROR(SEARCH(search!$B$6,samples!#REF!,1),0)</f>
        <v>0</v>
      </c>
      <c r="K372" t="e">
        <f>IF(samples!#REF!=0,"",samples!#REF!)</f>
        <v>#REF!</v>
      </c>
      <c r="L372">
        <f>IFERROR(SEARCH(search!$B$6,samples!#REF!,1),0)</f>
        <v>0</v>
      </c>
      <c r="M372" t="e">
        <f>IF(samples!#REF!=0,"",samples!#REF!)</f>
        <v>#REF!</v>
      </c>
      <c r="N372">
        <f>IFERROR(SEARCH(search!$B$6,samples!#REF!,1),0)</f>
        <v>0</v>
      </c>
      <c r="O372" t="e">
        <f>IF(samples!#REF!=0,"",samples!#REF!)</f>
        <v>#REF!</v>
      </c>
      <c r="P372">
        <f>IFERROR(SEARCH(search!$B$6,samples!#REF!,1),0)</f>
        <v>0</v>
      </c>
      <c r="Q372" t="e">
        <f>IF(samples!#REF!=0,"",samples!#REF!)</f>
        <v>#REF!</v>
      </c>
      <c r="R372">
        <f>IFERROR(SEARCH(search!$B$6,samples!#REF!,1),0)</f>
        <v>0</v>
      </c>
      <c r="S372" t="e">
        <f>IF(samples!#REF!=0,"",samples!#REF!)</f>
        <v>#REF!</v>
      </c>
      <c r="T372">
        <f>IFERROR(SEARCH(search!$B$6,samples!#REF!,1),0)</f>
        <v>0</v>
      </c>
      <c r="U372" t="e">
        <f>IF(samples!#REF!=0,"",samples!#REF!)</f>
        <v>#REF!</v>
      </c>
      <c r="V372">
        <f>IFERROR(SEARCH(search!$B$6,samples!#REF!,1),0)</f>
        <v>0</v>
      </c>
      <c r="W372" t="e">
        <f>IF(samples!#REF!=0,"",samples!#REF!)</f>
        <v>#REF!</v>
      </c>
      <c r="X372">
        <f>IFERROR(SEARCH(search!$B$6,samples!#REF!,1),0)</f>
        <v>0</v>
      </c>
      <c r="Y372" t="e">
        <f>IF(samples!#REF!=0,"",samples!#REF!)</f>
        <v>#REF!</v>
      </c>
      <c r="Z372">
        <f>IFERROR(SEARCH(search!$B$6,samples!#REF!,1),0)</f>
        <v>0</v>
      </c>
      <c r="AA372" t="e">
        <f>IF(samples!#REF!=0,"",samples!#REF!)</f>
        <v>#REF!</v>
      </c>
      <c r="AB372">
        <f>IFERROR(SEARCH(search!$B$6,samples!#REF!,1),0)</f>
        <v>0</v>
      </c>
      <c r="AC372" t="e">
        <f>IF(samples!#REF!=0,"",samples!#REF!)</f>
        <v>#REF!</v>
      </c>
      <c r="AD372">
        <f>IFERROR(SEARCH(search!$B$6,samples!#REF!,1),0)</f>
        <v>0</v>
      </c>
    </row>
    <row r="373" spans="1:30">
      <c r="A373">
        <f t="shared" si="5"/>
        <v>0</v>
      </c>
      <c r="B373">
        <f>IF(SUM(D373,F373,H373,J373,L373,N373,P373,R373,T373,V373,X373,Z373,AB373,AD373)&gt;0,SUM($A$2:A373),0)</f>
        <v>0</v>
      </c>
      <c r="C373" t="e">
        <f>samples!#REF!</f>
        <v>#REF!</v>
      </c>
      <c r="D373">
        <f>IFERROR(SEARCH(search!$B$6,samples!#REF!,1),0)</f>
        <v>0</v>
      </c>
      <c r="E373" t="e">
        <f>IF(samples!#REF!=0,"",samples!#REF!)</f>
        <v>#REF!</v>
      </c>
      <c r="F373">
        <f>IFERROR(SEARCH(search!$B$6,samples!#REF!,1),0)</f>
        <v>0</v>
      </c>
      <c r="G373" t="e">
        <f>IF(samples!#REF!=0,"",samples!#REF!)</f>
        <v>#REF!</v>
      </c>
      <c r="H373">
        <f>IFERROR(SEARCH(search!$B$6,samples!#REF!,1),0)</f>
        <v>0</v>
      </c>
      <c r="I373" t="e">
        <f>IF(samples!#REF!=0,"",samples!#REF!)</f>
        <v>#REF!</v>
      </c>
      <c r="J373">
        <f>IFERROR(SEARCH(search!$B$6,samples!#REF!,1),0)</f>
        <v>0</v>
      </c>
      <c r="K373" t="e">
        <f>IF(samples!#REF!=0,"",samples!#REF!)</f>
        <v>#REF!</v>
      </c>
      <c r="L373">
        <f>IFERROR(SEARCH(search!$B$6,samples!#REF!,1),0)</f>
        <v>0</v>
      </c>
      <c r="M373" t="e">
        <f>IF(samples!#REF!=0,"",samples!#REF!)</f>
        <v>#REF!</v>
      </c>
      <c r="N373">
        <f>IFERROR(SEARCH(search!$B$6,samples!#REF!,1),0)</f>
        <v>0</v>
      </c>
      <c r="O373" t="e">
        <f>IF(samples!#REF!=0,"",samples!#REF!)</f>
        <v>#REF!</v>
      </c>
      <c r="P373">
        <f>IFERROR(SEARCH(search!$B$6,samples!#REF!,1),0)</f>
        <v>0</v>
      </c>
      <c r="Q373" t="e">
        <f>IF(samples!#REF!=0,"",samples!#REF!)</f>
        <v>#REF!</v>
      </c>
      <c r="R373">
        <f>IFERROR(SEARCH(search!$B$6,samples!#REF!,1),0)</f>
        <v>0</v>
      </c>
      <c r="S373" t="e">
        <f>IF(samples!#REF!=0,"",samples!#REF!)</f>
        <v>#REF!</v>
      </c>
      <c r="T373">
        <f>IFERROR(SEARCH(search!$B$6,samples!#REF!,1),0)</f>
        <v>0</v>
      </c>
      <c r="U373" t="e">
        <f>IF(samples!#REF!=0,"",samples!#REF!)</f>
        <v>#REF!</v>
      </c>
      <c r="V373">
        <f>IFERROR(SEARCH(search!$B$6,samples!#REF!,1),0)</f>
        <v>0</v>
      </c>
      <c r="W373" t="e">
        <f>IF(samples!#REF!=0,"",samples!#REF!)</f>
        <v>#REF!</v>
      </c>
      <c r="X373">
        <f>IFERROR(SEARCH(search!$B$6,samples!#REF!,1),0)</f>
        <v>0</v>
      </c>
      <c r="Y373" t="e">
        <f>IF(samples!#REF!=0,"",samples!#REF!)</f>
        <v>#REF!</v>
      </c>
      <c r="Z373">
        <f>IFERROR(SEARCH(search!$B$6,samples!#REF!,1),0)</f>
        <v>0</v>
      </c>
      <c r="AA373" t="e">
        <f>IF(samples!#REF!=0,"",samples!#REF!)</f>
        <v>#REF!</v>
      </c>
      <c r="AB373">
        <f>IFERROR(SEARCH(search!$B$6,samples!#REF!,1),0)</f>
        <v>0</v>
      </c>
      <c r="AC373" t="e">
        <f>IF(samples!#REF!=0,"",samples!#REF!)</f>
        <v>#REF!</v>
      </c>
      <c r="AD373">
        <f>IFERROR(SEARCH(search!$B$6,samples!#REF!,1),0)</f>
        <v>0</v>
      </c>
    </row>
    <row r="374" spans="1:30">
      <c r="A374">
        <f t="shared" si="5"/>
        <v>0</v>
      </c>
      <c r="B374">
        <f>IF(SUM(D374,F374,H374,J374,L374,N374,P374,R374,T374,V374,X374,Z374,AB374,AD374)&gt;0,SUM($A$2:A374),0)</f>
        <v>0</v>
      </c>
      <c r="C374" t="e">
        <f>samples!#REF!</f>
        <v>#REF!</v>
      </c>
      <c r="D374">
        <f>IFERROR(SEARCH(search!$B$6,samples!#REF!,1),0)</f>
        <v>0</v>
      </c>
      <c r="E374" t="e">
        <f>IF(samples!#REF!=0,"",samples!#REF!)</f>
        <v>#REF!</v>
      </c>
      <c r="F374">
        <f>IFERROR(SEARCH(search!$B$6,samples!#REF!,1),0)</f>
        <v>0</v>
      </c>
      <c r="G374" t="e">
        <f>IF(samples!#REF!=0,"",samples!#REF!)</f>
        <v>#REF!</v>
      </c>
      <c r="H374">
        <f>IFERROR(SEARCH(search!$B$6,samples!#REF!,1),0)</f>
        <v>0</v>
      </c>
      <c r="I374" t="e">
        <f>IF(samples!#REF!=0,"",samples!#REF!)</f>
        <v>#REF!</v>
      </c>
      <c r="J374">
        <f>IFERROR(SEARCH(search!$B$6,samples!#REF!,1),0)</f>
        <v>0</v>
      </c>
      <c r="K374" t="e">
        <f>IF(samples!#REF!=0,"",samples!#REF!)</f>
        <v>#REF!</v>
      </c>
      <c r="L374">
        <f>IFERROR(SEARCH(search!$B$6,samples!#REF!,1),0)</f>
        <v>0</v>
      </c>
      <c r="M374" t="e">
        <f>IF(samples!#REF!=0,"",samples!#REF!)</f>
        <v>#REF!</v>
      </c>
      <c r="N374">
        <f>IFERROR(SEARCH(search!$B$6,samples!#REF!,1),0)</f>
        <v>0</v>
      </c>
      <c r="O374" t="e">
        <f>IF(samples!#REF!=0,"",samples!#REF!)</f>
        <v>#REF!</v>
      </c>
      <c r="P374">
        <f>IFERROR(SEARCH(search!$B$6,samples!#REF!,1),0)</f>
        <v>0</v>
      </c>
      <c r="Q374" t="e">
        <f>IF(samples!#REF!=0,"",samples!#REF!)</f>
        <v>#REF!</v>
      </c>
      <c r="R374">
        <f>IFERROR(SEARCH(search!$B$6,samples!#REF!,1),0)</f>
        <v>0</v>
      </c>
      <c r="S374" t="e">
        <f>IF(samples!#REF!=0,"",samples!#REF!)</f>
        <v>#REF!</v>
      </c>
      <c r="T374">
        <f>IFERROR(SEARCH(search!$B$6,samples!#REF!,1),0)</f>
        <v>0</v>
      </c>
      <c r="U374" t="e">
        <f>IF(samples!#REF!=0,"",samples!#REF!)</f>
        <v>#REF!</v>
      </c>
      <c r="V374">
        <f>IFERROR(SEARCH(search!$B$6,samples!#REF!,1),0)</f>
        <v>0</v>
      </c>
      <c r="W374" t="e">
        <f>IF(samples!#REF!=0,"",samples!#REF!)</f>
        <v>#REF!</v>
      </c>
      <c r="X374">
        <f>IFERROR(SEARCH(search!$B$6,samples!#REF!,1),0)</f>
        <v>0</v>
      </c>
      <c r="Y374" t="e">
        <f>IF(samples!#REF!=0,"",samples!#REF!)</f>
        <v>#REF!</v>
      </c>
      <c r="Z374">
        <f>IFERROR(SEARCH(search!$B$6,samples!#REF!,1),0)</f>
        <v>0</v>
      </c>
      <c r="AA374" t="e">
        <f>IF(samples!#REF!=0,"",samples!#REF!)</f>
        <v>#REF!</v>
      </c>
      <c r="AB374">
        <f>IFERROR(SEARCH(search!$B$6,samples!#REF!,1),0)</f>
        <v>0</v>
      </c>
      <c r="AC374" t="e">
        <f>IF(samples!#REF!=0,"",samples!#REF!)</f>
        <v>#REF!</v>
      </c>
      <c r="AD374">
        <f>IFERROR(SEARCH(search!$B$6,samples!#REF!,1),0)</f>
        <v>0</v>
      </c>
    </row>
    <row r="375" spans="1:30">
      <c r="A375">
        <f t="shared" si="5"/>
        <v>0</v>
      </c>
      <c r="B375">
        <f>IF(SUM(D375,F375,H375,J375,L375,N375,P375,R375,T375,V375,X375,Z375,AB375,AD375)&gt;0,SUM($A$2:A375),0)</f>
        <v>0</v>
      </c>
      <c r="C375" t="e">
        <f>samples!#REF!</f>
        <v>#REF!</v>
      </c>
      <c r="D375">
        <f>IFERROR(SEARCH(search!$B$6,samples!#REF!,1),0)</f>
        <v>0</v>
      </c>
      <c r="E375" t="e">
        <f>IF(samples!#REF!=0,"",samples!#REF!)</f>
        <v>#REF!</v>
      </c>
      <c r="F375">
        <f>IFERROR(SEARCH(search!$B$6,samples!#REF!,1),0)</f>
        <v>0</v>
      </c>
      <c r="G375" t="e">
        <f>IF(samples!#REF!=0,"",samples!#REF!)</f>
        <v>#REF!</v>
      </c>
      <c r="H375">
        <f>IFERROR(SEARCH(search!$B$6,samples!#REF!,1),0)</f>
        <v>0</v>
      </c>
      <c r="I375" t="e">
        <f>IF(samples!#REF!=0,"",samples!#REF!)</f>
        <v>#REF!</v>
      </c>
      <c r="J375">
        <f>IFERROR(SEARCH(search!$B$6,samples!#REF!,1),0)</f>
        <v>0</v>
      </c>
      <c r="K375" t="e">
        <f>IF(samples!#REF!=0,"",samples!#REF!)</f>
        <v>#REF!</v>
      </c>
      <c r="L375">
        <f>IFERROR(SEARCH(search!$B$6,samples!#REF!,1),0)</f>
        <v>0</v>
      </c>
      <c r="M375" t="e">
        <f>IF(samples!#REF!=0,"",samples!#REF!)</f>
        <v>#REF!</v>
      </c>
      <c r="N375">
        <f>IFERROR(SEARCH(search!$B$6,samples!#REF!,1),0)</f>
        <v>0</v>
      </c>
      <c r="O375" t="e">
        <f>IF(samples!#REF!=0,"",samples!#REF!)</f>
        <v>#REF!</v>
      </c>
      <c r="P375">
        <f>IFERROR(SEARCH(search!$B$6,samples!#REF!,1),0)</f>
        <v>0</v>
      </c>
      <c r="Q375" t="e">
        <f>IF(samples!#REF!=0,"",samples!#REF!)</f>
        <v>#REF!</v>
      </c>
      <c r="R375">
        <f>IFERROR(SEARCH(search!$B$6,samples!#REF!,1),0)</f>
        <v>0</v>
      </c>
      <c r="S375" t="e">
        <f>IF(samples!#REF!=0,"",samples!#REF!)</f>
        <v>#REF!</v>
      </c>
      <c r="T375">
        <f>IFERROR(SEARCH(search!$B$6,samples!#REF!,1),0)</f>
        <v>0</v>
      </c>
      <c r="U375" t="e">
        <f>IF(samples!#REF!=0,"",samples!#REF!)</f>
        <v>#REF!</v>
      </c>
      <c r="V375">
        <f>IFERROR(SEARCH(search!$B$6,samples!#REF!,1),0)</f>
        <v>0</v>
      </c>
      <c r="W375" t="e">
        <f>IF(samples!#REF!=0,"",samples!#REF!)</f>
        <v>#REF!</v>
      </c>
      <c r="X375">
        <f>IFERROR(SEARCH(search!$B$6,samples!#REF!,1),0)</f>
        <v>0</v>
      </c>
      <c r="Y375" t="e">
        <f>IF(samples!#REF!=0,"",samples!#REF!)</f>
        <v>#REF!</v>
      </c>
      <c r="Z375">
        <f>IFERROR(SEARCH(search!$B$6,samples!#REF!,1),0)</f>
        <v>0</v>
      </c>
      <c r="AA375" t="e">
        <f>IF(samples!#REF!=0,"",samples!#REF!)</f>
        <v>#REF!</v>
      </c>
      <c r="AB375">
        <f>IFERROR(SEARCH(search!$B$6,samples!#REF!,1),0)</f>
        <v>0</v>
      </c>
      <c r="AC375" t="e">
        <f>IF(samples!#REF!=0,"",samples!#REF!)</f>
        <v>#REF!</v>
      </c>
      <c r="AD375">
        <f>IFERROR(SEARCH(search!$B$6,samples!#REF!,1),0)</f>
        <v>0</v>
      </c>
    </row>
    <row r="376" spans="1:30">
      <c r="A376">
        <f t="shared" si="5"/>
        <v>0</v>
      </c>
      <c r="B376">
        <f>IF(SUM(D376,F376,H376,J376,L376,N376,P376,R376,T376,V376,X376,Z376,AB376,AD376)&gt;0,SUM($A$2:A376),0)</f>
        <v>0</v>
      </c>
      <c r="C376" t="e">
        <f>samples!#REF!</f>
        <v>#REF!</v>
      </c>
      <c r="D376">
        <f>IFERROR(SEARCH(search!$B$6,samples!#REF!,1),0)</f>
        <v>0</v>
      </c>
      <c r="E376" t="e">
        <f>IF(samples!#REF!=0,"",samples!#REF!)</f>
        <v>#REF!</v>
      </c>
      <c r="F376">
        <f>IFERROR(SEARCH(search!$B$6,samples!#REF!,1),0)</f>
        <v>0</v>
      </c>
      <c r="G376" t="e">
        <f>IF(samples!#REF!=0,"",samples!#REF!)</f>
        <v>#REF!</v>
      </c>
      <c r="H376">
        <f>IFERROR(SEARCH(search!$B$6,samples!#REF!,1),0)</f>
        <v>0</v>
      </c>
      <c r="I376" t="e">
        <f>IF(samples!#REF!=0,"",samples!#REF!)</f>
        <v>#REF!</v>
      </c>
      <c r="J376">
        <f>IFERROR(SEARCH(search!$B$6,samples!#REF!,1),0)</f>
        <v>0</v>
      </c>
      <c r="K376" t="e">
        <f>IF(samples!#REF!=0,"",samples!#REF!)</f>
        <v>#REF!</v>
      </c>
      <c r="L376">
        <f>IFERROR(SEARCH(search!$B$6,samples!#REF!,1),0)</f>
        <v>0</v>
      </c>
      <c r="M376" t="e">
        <f>IF(samples!#REF!=0,"",samples!#REF!)</f>
        <v>#REF!</v>
      </c>
      <c r="N376">
        <f>IFERROR(SEARCH(search!$B$6,samples!#REF!,1),0)</f>
        <v>0</v>
      </c>
      <c r="O376" t="e">
        <f>IF(samples!#REF!=0,"",samples!#REF!)</f>
        <v>#REF!</v>
      </c>
      <c r="P376">
        <f>IFERROR(SEARCH(search!$B$6,samples!#REF!,1),0)</f>
        <v>0</v>
      </c>
      <c r="Q376" t="e">
        <f>IF(samples!#REF!=0,"",samples!#REF!)</f>
        <v>#REF!</v>
      </c>
      <c r="R376">
        <f>IFERROR(SEARCH(search!$B$6,samples!#REF!,1),0)</f>
        <v>0</v>
      </c>
      <c r="S376" t="e">
        <f>IF(samples!#REF!=0,"",samples!#REF!)</f>
        <v>#REF!</v>
      </c>
      <c r="T376">
        <f>IFERROR(SEARCH(search!$B$6,samples!#REF!,1),0)</f>
        <v>0</v>
      </c>
      <c r="U376" t="e">
        <f>IF(samples!#REF!=0,"",samples!#REF!)</f>
        <v>#REF!</v>
      </c>
      <c r="V376">
        <f>IFERROR(SEARCH(search!$B$6,samples!#REF!,1),0)</f>
        <v>0</v>
      </c>
      <c r="W376" t="e">
        <f>IF(samples!#REF!=0,"",samples!#REF!)</f>
        <v>#REF!</v>
      </c>
      <c r="X376">
        <f>IFERROR(SEARCH(search!$B$6,samples!#REF!,1),0)</f>
        <v>0</v>
      </c>
      <c r="Y376" t="e">
        <f>IF(samples!#REF!=0,"",samples!#REF!)</f>
        <v>#REF!</v>
      </c>
      <c r="Z376">
        <f>IFERROR(SEARCH(search!$B$6,samples!#REF!,1),0)</f>
        <v>0</v>
      </c>
      <c r="AA376" t="e">
        <f>IF(samples!#REF!=0,"",samples!#REF!)</f>
        <v>#REF!</v>
      </c>
      <c r="AB376">
        <f>IFERROR(SEARCH(search!$B$6,samples!#REF!,1),0)</f>
        <v>0</v>
      </c>
      <c r="AC376" t="e">
        <f>IF(samples!#REF!=0,"",samples!#REF!)</f>
        <v>#REF!</v>
      </c>
      <c r="AD376">
        <f>IFERROR(SEARCH(search!$B$6,samples!#REF!,1),0)</f>
        <v>0</v>
      </c>
    </row>
    <row r="377" spans="1:30">
      <c r="A377">
        <f t="shared" si="5"/>
        <v>0</v>
      </c>
      <c r="B377">
        <f>IF(SUM(D377,F377,H377,J377,L377,N377,P377,R377,T377,V377,X377,Z377,AB377,AD377)&gt;0,SUM($A$2:A377),0)</f>
        <v>0</v>
      </c>
      <c r="C377" t="e">
        <f>samples!#REF!</f>
        <v>#REF!</v>
      </c>
      <c r="D377">
        <f>IFERROR(SEARCH(search!$B$6,samples!#REF!,1),0)</f>
        <v>0</v>
      </c>
      <c r="E377" t="e">
        <f>IF(samples!#REF!=0,"",samples!#REF!)</f>
        <v>#REF!</v>
      </c>
      <c r="F377">
        <f>IFERROR(SEARCH(search!$B$6,samples!#REF!,1),0)</f>
        <v>0</v>
      </c>
      <c r="G377" t="e">
        <f>IF(samples!#REF!=0,"",samples!#REF!)</f>
        <v>#REF!</v>
      </c>
      <c r="H377">
        <f>IFERROR(SEARCH(search!$B$6,samples!#REF!,1),0)</f>
        <v>0</v>
      </c>
      <c r="I377" t="e">
        <f>IF(samples!#REF!=0,"",samples!#REF!)</f>
        <v>#REF!</v>
      </c>
      <c r="J377">
        <f>IFERROR(SEARCH(search!$B$6,samples!#REF!,1),0)</f>
        <v>0</v>
      </c>
      <c r="K377" t="e">
        <f>IF(samples!#REF!=0,"",samples!#REF!)</f>
        <v>#REF!</v>
      </c>
      <c r="L377">
        <f>IFERROR(SEARCH(search!$B$6,samples!#REF!,1),0)</f>
        <v>0</v>
      </c>
      <c r="M377" t="e">
        <f>IF(samples!#REF!=0,"",samples!#REF!)</f>
        <v>#REF!</v>
      </c>
      <c r="N377">
        <f>IFERROR(SEARCH(search!$B$6,samples!#REF!,1),0)</f>
        <v>0</v>
      </c>
      <c r="O377" t="e">
        <f>IF(samples!#REF!=0,"",samples!#REF!)</f>
        <v>#REF!</v>
      </c>
      <c r="P377">
        <f>IFERROR(SEARCH(search!$B$6,samples!#REF!,1),0)</f>
        <v>0</v>
      </c>
      <c r="Q377" t="e">
        <f>IF(samples!#REF!=0,"",samples!#REF!)</f>
        <v>#REF!</v>
      </c>
      <c r="R377">
        <f>IFERROR(SEARCH(search!$B$6,samples!#REF!,1),0)</f>
        <v>0</v>
      </c>
      <c r="S377" t="e">
        <f>IF(samples!#REF!=0,"",samples!#REF!)</f>
        <v>#REF!</v>
      </c>
      <c r="T377">
        <f>IFERROR(SEARCH(search!$B$6,samples!#REF!,1),0)</f>
        <v>0</v>
      </c>
      <c r="U377" t="e">
        <f>IF(samples!#REF!=0,"",samples!#REF!)</f>
        <v>#REF!</v>
      </c>
      <c r="V377">
        <f>IFERROR(SEARCH(search!$B$6,samples!#REF!,1),0)</f>
        <v>0</v>
      </c>
      <c r="W377" t="e">
        <f>IF(samples!#REF!=0,"",samples!#REF!)</f>
        <v>#REF!</v>
      </c>
      <c r="X377">
        <f>IFERROR(SEARCH(search!$B$6,samples!#REF!,1),0)</f>
        <v>0</v>
      </c>
      <c r="Y377" t="e">
        <f>IF(samples!#REF!=0,"",samples!#REF!)</f>
        <v>#REF!</v>
      </c>
      <c r="Z377">
        <f>IFERROR(SEARCH(search!$B$6,samples!#REF!,1),0)</f>
        <v>0</v>
      </c>
      <c r="AA377" t="e">
        <f>IF(samples!#REF!=0,"",samples!#REF!)</f>
        <v>#REF!</v>
      </c>
      <c r="AB377">
        <f>IFERROR(SEARCH(search!$B$6,samples!#REF!,1),0)</f>
        <v>0</v>
      </c>
      <c r="AC377" t="e">
        <f>IF(samples!#REF!=0,"",samples!#REF!)</f>
        <v>#REF!</v>
      </c>
      <c r="AD377">
        <f>IFERROR(SEARCH(search!$B$6,samples!#REF!,1),0)</f>
        <v>0</v>
      </c>
    </row>
    <row r="378" spans="1:30">
      <c r="A378">
        <f t="shared" si="5"/>
        <v>0</v>
      </c>
      <c r="B378">
        <f>IF(SUM(D378,F378,H378,J378,L378,N378,P378,R378,T378,V378,X378,Z378,AB378,AD378)&gt;0,SUM($A$2:A378),0)</f>
        <v>0</v>
      </c>
      <c r="C378" t="e">
        <f>samples!#REF!</f>
        <v>#REF!</v>
      </c>
      <c r="D378">
        <f>IFERROR(SEARCH(search!$B$6,samples!#REF!,1),0)</f>
        <v>0</v>
      </c>
      <c r="E378" t="e">
        <f>IF(samples!#REF!=0,"",samples!#REF!)</f>
        <v>#REF!</v>
      </c>
      <c r="F378">
        <f>IFERROR(SEARCH(search!$B$6,samples!#REF!,1),0)</f>
        <v>0</v>
      </c>
      <c r="G378" t="e">
        <f>IF(samples!#REF!=0,"",samples!#REF!)</f>
        <v>#REF!</v>
      </c>
      <c r="H378">
        <f>IFERROR(SEARCH(search!$B$6,samples!#REF!,1),0)</f>
        <v>0</v>
      </c>
      <c r="I378" t="e">
        <f>IF(samples!#REF!=0,"",samples!#REF!)</f>
        <v>#REF!</v>
      </c>
      <c r="J378">
        <f>IFERROR(SEARCH(search!$B$6,samples!#REF!,1),0)</f>
        <v>0</v>
      </c>
      <c r="K378" t="e">
        <f>IF(samples!#REF!=0,"",samples!#REF!)</f>
        <v>#REF!</v>
      </c>
      <c r="L378">
        <f>IFERROR(SEARCH(search!$B$6,samples!#REF!,1),0)</f>
        <v>0</v>
      </c>
      <c r="M378" t="e">
        <f>IF(samples!#REF!=0,"",samples!#REF!)</f>
        <v>#REF!</v>
      </c>
      <c r="N378">
        <f>IFERROR(SEARCH(search!$B$6,samples!#REF!,1),0)</f>
        <v>0</v>
      </c>
      <c r="O378" t="e">
        <f>IF(samples!#REF!=0,"",samples!#REF!)</f>
        <v>#REF!</v>
      </c>
      <c r="P378">
        <f>IFERROR(SEARCH(search!$B$6,samples!#REF!,1),0)</f>
        <v>0</v>
      </c>
      <c r="Q378" t="e">
        <f>IF(samples!#REF!=0,"",samples!#REF!)</f>
        <v>#REF!</v>
      </c>
      <c r="R378">
        <f>IFERROR(SEARCH(search!$B$6,samples!#REF!,1),0)</f>
        <v>0</v>
      </c>
      <c r="S378" t="e">
        <f>IF(samples!#REF!=0,"",samples!#REF!)</f>
        <v>#REF!</v>
      </c>
      <c r="T378">
        <f>IFERROR(SEARCH(search!$B$6,samples!#REF!,1),0)</f>
        <v>0</v>
      </c>
      <c r="U378" t="e">
        <f>IF(samples!#REF!=0,"",samples!#REF!)</f>
        <v>#REF!</v>
      </c>
      <c r="V378">
        <f>IFERROR(SEARCH(search!$B$6,samples!#REF!,1),0)</f>
        <v>0</v>
      </c>
      <c r="W378" t="e">
        <f>IF(samples!#REF!=0,"",samples!#REF!)</f>
        <v>#REF!</v>
      </c>
      <c r="X378">
        <f>IFERROR(SEARCH(search!$B$6,samples!#REF!,1),0)</f>
        <v>0</v>
      </c>
      <c r="Y378" t="e">
        <f>IF(samples!#REF!=0,"",samples!#REF!)</f>
        <v>#REF!</v>
      </c>
      <c r="Z378">
        <f>IFERROR(SEARCH(search!$B$6,samples!#REF!,1),0)</f>
        <v>0</v>
      </c>
      <c r="AA378" t="e">
        <f>IF(samples!#REF!=0,"",samples!#REF!)</f>
        <v>#REF!</v>
      </c>
      <c r="AB378">
        <f>IFERROR(SEARCH(search!$B$6,samples!#REF!,1),0)</f>
        <v>0</v>
      </c>
      <c r="AC378" t="e">
        <f>IF(samples!#REF!=0,"",samples!#REF!)</f>
        <v>#REF!</v>
      </c>
      <c r="AD378">
        <f>IFERROR(SEARCH(search!$B$6,samples!#REF!,1),0)</f>
        <v>0</v>
      </c>
    </row>
    <row r="379" spans="1:30">
      <c r="A379">
        <f t="shared" si="5"/>
        <v>0</v>
      </c>
      <c r="B379">
        <f>IF(SUM(D379,F379,H379,J379,L379,N379,P379,R379,T379,V379,X379,Z379,AB379,AD379)&gt;0,SUM($A$2:A379),0)</f>
        <v>0</v>
      </c>
      <c r="C379" t="e">
        <f>samples!#REF!</f>
        <v>#REF!</v>
      </c>
      <c r="D379">
        <f>IFERROR(SEARCH(search!$B$6,samples!#REF!,1),0)</f>
        <v>0</v>
      </c>
      <c r="E379" t="e">
        <f>IF(samples!#REF!=0,"",samples!#REF!)</f>
        <v>#REF!</v>
      </c>
      <c r="F379">
        <f>IFERROR(SEARCH(search!$B$6,samples!#REF!,1),0)</f>
        <v>0</v>
      </c>
      <c r="G379" t="e">
        <f>IF(samples!#REF!=0,"",samples!#REF!)</f>
        <v>#REF!</v>
      </c>
      <c r="H379">
        <f>IFERROR(SEARCH(search!$B$6,samples!#REF!,1),0)</f>
        <v>0</v>
      </c>
      <c r="I379" t="e">
        <f>IF(samples!#REF!=0,"",samples!#REF!)</f>
        <v>#REF!</v>
      </c>
      <c r="J379">
        <f>IFERROR(SEARCH(search!$B$6,samples!#REF!,1),0)</f>
        <v>0</v>
      </c>
      <c r="K379" t="e">
        <f>IF(samples!#REF!=0,"",samples!#REF!)</f>
        <v>#REF!</v>
      </c>
      <c r="L379">
        <f>IFERROR(SEARCH(search!$B$6,samples!#REF!,1),0)</f>
        <v>0</v>
      </c>
      <c r="M379" t="e">
        <f>IF(samples!#REF!=0,"",samples!#REF!)</f>
        <v>#REF!</v>
      </c>
      <c r="N379">
        <f>IFERROR(SEARCH(search!$B$6,samples!#REF!,1),0)</f>
        <v>0</v>
      </c>
      <c r="O379" t="e">
        <f>IF(samples!#REF!=0,"",samples!#REF!)</f>
        <v>#REF!</v>
      </c>
      <c r="P379">
        <f>IFERROR(SEARCH(search!$B$6,samples!#REF!,1),0)</f>
        <v>0</v>
      </c>
      <c r="Q379" t="e">
        <f>IF(samples!#REF!=0,"",samples!#REF!)</f>
        <v>#REF!</v>
      </c>
      <c r="R379">
        <f>IFERROR(SEARCH(search!$B$6,samples!#REF!,1),0)</f>
        <v>0</v>
      </c>
      <c r="S379" t="e">
        <f>IF(samples!#REF!=0,"",samples!#REF!)</f>
        <v>#REF!</v>
      </c>
      <c r="T379">
        <f>IFERROR(SEARCH(search!$B$6,samples!#REF!,1),0)</f>
        <v>0</v>
      </c>
      <c r="U379" t="e">
        <f>IF(samples!#REF!=0,"",samples!#REF!)</f>
        <v>#REF!</v>
      </c>
      <c r="V379">
        <f>IFERROR(SEARCH(search!$B$6,samples!#REF!,1),0)</f>
        <v>0</v>
      </c>
      <c r="W379" t="e">
        <f>IF(samples!#REF!=0,"",samples!#REF!)</f>
        <v>#REF!</v>
      </c>
      <c r="X379">
        <f>IFERROR(SEARCH(search!$B$6,samples!#REF!,1),0)</f>
        <v>0</v>
      </c>
      <c r="Y379" t="e">
        <f>IF(samples!#REF!=0,"",samples!#REF!)</f>
        <v>#REF!</v>
      </c>
      <c r="Z379">
        <f>IFERROR(SEARCH(search!$B$6,samples!#REF!,1),0)</f>
        <v>0</v>
      </c>
      <c r="AA379" t="e">
        <f>IF(samples!#REF!=0,"",samples!#REF!)</f>
        <v>#REF!</v>
      </c>
      <c r="AB379">
        <f>IFERROR(SEARCH(search!$B$6,samples!#REF!,1),0)</f>
        <v>0</v>
      </c>
      <c r="AC379" t="e">
        <f>IF(samples!#REF!=0,"",samples!#REF!)</f>
        <v>#REF!</v>
      </c>
      <c r="AD379">
        <f>IFERROR(SEARCH(search!$B$6,samples!#REF!,1),0)</f>
        <v>0</v>
      </c>
    </row>
    <row r="380" spans="1:30">
      <c r="A380">
        <f t="shared" si="5"/>
        <v>0</v>
      </c>
      <c r="B380">
        <f>IF(SUM(D380,F380,H380,J380,L380,N380,P380,R380,T380,V380,X380,Z380,AB380,AD380)&gt;0,SUM($A$2:A380),0)</f>
        <v>0</v>
      </c>
      <c r="C380" t="e">
        <f>samples!#REF!</f>
        <v>#REF!</v>
      </c>
      <c r="D380">
        <f>IFERROR(SEARCH(search!$B$6,samples!#REF!,1),0)</f>
        <v>0</v>
      </c>
      <c r="E380" t="e">
        <f>IF(samples!#REF!=0,"",samples!#REF!)</f>
        <v>#REF!</v>
      </c>
      <c r="F380">
        <f>IFERROR(SEARCH(search!$B$6,samples!#REF!,1),0)</f>
        <v>0</v>
      </c>
      <c r="G380" t="e">
        <f>IF(samples!#REF!=0,"",samples!#REF!)</f>
        <v>#REF!</v>
      </c>
      <c r="H380">
        <f>IFERROR(SEARCH(search!$B$6,samples!#REF!,1),0)</f>
        <v>0</v>
      </c>
      <c r="I380" t="e">
        <f>IF(samples!#REF!=0,"",samples!#REF!)</f>
        <v>#REF!</v>
      </c>
      <c r="J380">
        <f>IFERROR(SEARCH(search!$B$6,samples!#REF!,1),0)</f>
        <v>0</v>
      </c>
      <c r="K380" t="e">
        <f>IF(samples!#REF!=0,"",samples!#REF!)</f>
        <v>#REF!</v>
      </c>
      <c r="L380">
        <f>IFERROR(SEARCH(search!$B$6,samples!#REF!,1),0)</f>
        <v>0</v>
      </c>
      <c r="M380" t="e">
        <f>IF(samples!#REF!=0,"",samples!#REF!)</f>
        <v>#REF!</v>
      </c>
      <c r="N380">
        <f>IFERROR(SEARCH(search!$B$6,samples!#REF!,1),0)</f>
        <v>0</v>
      </c>
      <c r="O380" t="e">
        <f>IF(samples!#REF!=0,"",samples!#REF!)</f>
        <v>#REF!</v>
      </c>
      <c r="P380">
        <f>IFERROR(SEARCH(search!$B$6,samples!#REF!,1),0)</f>
        <v>0</v>
      </c>
      <c r="Q380" t="e">
        <f>IF(samples!#REF!=0,"",samples!#REF!)</f>
        <v>#REF!</v>
      </c>
      <c r="R380">
        <f>IFERROR(SEARCH(search!$B$6,samples!#REF!,1),0)</f>
        <v>0</v>
      </c>
      <c r="S380" t="e">
        <f>IF(samples!#REF!=0,"",samples!#REF!)</f>
        <v>#REF!</v>
      </c>
      <c r="T380">
        <f>IFERROR(SEARCH(search!$B$6,samples!#REF!,1),0)</f>
        <v>0</v>
      </c>
      <c r="U380" t="e">
        <f>IF(samples!#REF!=0,"",samples!#REF!)</f>
        <v>#REF!</v>
      </c>
      <c r="V380">
        <f>IFERROR(SEARCH(search!$B$6,samples!#REF!,1),0)</f>
        <v>0</v>
      </c>
      <c r="W380" t="e">
        <f>IF(samples!#REF!=0,"",samples!#REF!)</f>
        <v>#REF!</v>
      </c>
      <c r="X380">
        <f>IFERROR(SEARCH(search!$B$6,samples!#REF!,1),0)</f>
        <v>0</v>
      </c>
      <c r="Y380" t="e">
        <f>IF(samples!#REF!=0,"",samples!#REF!)</f>
        <v>#REF!</v>
      </c>
      <c r="Z380">
        <f>IFERROR(SEARCH(search!$B$6,samples!#REF!,1),0)</f>
        <v>0</v>
      </c>
      <c r="AA380" t="e">
        <f>IF(samples!#REF!=0,"",samples!#REF!)</f>
        <v>#REF!</v>
      </c>
      <c r="AB380">
        <f>IFERROR(SEARCH(search!$B$6,samples!#REF!,1),0)</f>
        <v>0</v>
      </c>
      <c r="AC380" t="e">
        <f>IF(samples!#REF!=0,"",samples!#REF!)</f>
        <v>#REF!</v>
      </c>
      <c r="AD380">
        <f>IFERROR(SEARCH(search!$B$6,samples!#REF!,1),0)</f>
        <v>0</v>
      </c>
    </row>
    <row r="381" spans="1:30">
      <c r="A381">
        <f t="shared" si="5"/>
        <v>0</v>
      </c>
      <c r="B381">
        <f>IF(SUM(D381,F381,H381,J381,L381,N381,P381,R381,T381,V381,X381,Z381,AB381,AD381)&gt;0,SUM($A$2:A381),0)</f>
        <v>0</v>
      </c>
      <c r="C381" t="e">
        <f>samples!#REF!</f>
        <v>#REF!</v>
      </c>
      <c r="D381">
        <f>IFERROR(SEARCH(search!$B$6,samples!#REF!,1),0)</f>
        <v>0</v>
      </c>
      <c r="E381" t="e">
        <f>IF(samples!#REF!=0,"",samples!#REF!)</f>
        <v>#REF!</v>
      </c>
      <c r="F381">
        <f>IFERROR(SEARCH(search!$B$6,samples!#REF!,1),0)</f>
        <v>0</v>
      </c>
      <c r="G381" t="e">
        <f>IF(samples!#REF!=0,"",samples!#REF!)</f>
        <v>#REF!</v>
      </c>
      <c r="H381">
        <f>IFERROR(SEARCH(search!$B$6,samples!#REF!,1),0)</f>
        <v>0</v>
      </c>
      <c r="I381" t="e">
        <f>IF(samples!#REF!=0,"",samples!#REF!)</f>
        <v>#REF!</v>
      </c>
      <c r="J381">
        <f>IFERROR(SEARCH(search!$B$6,samples!#REF!,1),0)</f>
        <v>0</v>
      </c>
      <c r="K381" t="e">
        <f>IF(samples!#REF!=0,"",samples!#REF!)</f>
        <v>#REF!</v>
      </c>
      <c r="L381">
        <f>IFERROR(SEARCH(search!$B$6,samples!#REF!,1),0)</f>
        <v>0</v>
      </c>
      <c r="M381" t="e">
        <f>IF(samples!#REF!=0,"",samples!#REF!)</f>
        <v>#REF!</v>
      </c>
      <c r="N381">
        <f>IFERROR(SEARCH(search!$B$6,samples!#REF!,1),0)</f>
        <v>0</v>
      </c>
      <c r="O381" t="e">
        <f>IF(samples!#REF!=0,"",samples!#REF!)</f>
        <v>#REF!</v>
      </c>
      <c r="P381">
        <f>IFERROR(SEARCH(search!$B$6,samples!#REF!,1),0)</f>
        <v>0</v>
      </c>
      <c r="Q381" t="e">
        <f>IF(samples!#REF!=0,"",samples!#REF!)</f>
        <v>#REF!</v>
      </c>
      <c r="R381">
        <f>IFERROR(SEARCH(search!$B$6,samples!#REF!,1),0)</f>
        <v>0</v>
      </c>
      <c r="S381" t="e">
        <f>IF(samples!#REF!=0,"",samples!#REF!)</f>
        <v>#REF!</v>
      </c>
      <c r="T381">
        <f>IFERROR(SEARCH(search!$B$6,samples!#REF!,1),0)</f>
        <v>0</v>
      </c>
      <c r="U381" t="e">
        <f>IF(samples!#REF!=0,"",samples!#REF!)</f>
        <v>#REF!</v>
      </c>
      <c r="V381">
        <f>IFERROR(SEARCH(search!$B$6,samples!#REF!,1),0)</f>
        <v>0</v>
      </c>
      <c r="W381" t="e">
        <f>IF(samples!#REF!=0,"",samples!#REF!)</f>
        <v>#REF!</v>
      </c>
      <c r="X381">
        <f>IFERROR(SEARCH(search!$B$6,samples!#REF!,1),0)</f>
        <v>0</v>
      </c>
      <c r="Y381" t="e">
        <f>IF(samples!#REF!=0,"",samples!#REF!)</f>
        <v>#REF!</v>
      </c>
      <c r="Z381">
        <f>IFERROR(SEARCH(search!$B$6,samples!#REF!,1),0)</f>
        <v>0</v>
      </c>
      <c r="AA381" t="e">
        <f>IF(samples!#REF!=0,"",samples!#REF!)</f>
        <v>#REF!</v>
      </c>
      <c r="AB381">
        <f>IFERROR(SEARCH(search!$B$6,samples!#REF!,1),0)</f>
        <v>0</v>
      </c>
      <c r="AC381" t="e">
        <f>IF(samples!#REF!=0,"",samples!#REF!)</f>
        <v>#REF!</v>
      </c>
      <c r="AD381">
        <f>IFERROR(SEARCH(search!$B$6,samples!#REF!,1),0)</f>
        <v>0</v>
      </c>
    </row>
    <row r="382" spans="1:30">
      <c r="A382">
        <f t="shared" si="5"/>
        <v>0</v>
      </c>
      <c r="B382">
        <f>IF(SUM(D382,F382,H382,J382,L382,N382,P382,R382,T382,V382,X382,Z382,AB382,AD382)&gt;0,SUM($A$2:A382),0)</f>
        <v>0</v>
      </c>
      <c r="C382" t="e">
        <f>samples!#REF!</f>
        <v>#REF!</v>
      </c>
      <c r="D382">
        <f>IFERROR(SEARCH(search!$B$6,samples!#REF!,1),0)</f>
        <v>0</v>
      </c>
      <c r="E382" t="e">
        <f>IF(samples!#REF!=0,"",samples!#REF!)</f>
        <v>#REF!</v>
      </c>
      <c r="F382">
        <f>IFERROR(SEARCH(search!$B$6,samples!#REF!,1),0)</f>
        <v>0</v>
      </c>
      <c r="G382" t="e">
        <f>IF(samples!#REF!=0,"",samples!#REF!)</f>
        <v>#REF!</v>
      </c>
      <c r="H382">
        <f>IFERROR(SEARCH(search!$B$6,samples!#REF!,1),0)</f>
        <v>0</v>
      </c>
      <c r="I382" t="e">
        <f>IF(samples!#REF!=0,"",samples!#REF!)</f>
        <v>#REF!</v>
      </c>
      <c r="J382">
        <f>IFERROR(SEARCH(search!$B$6,samples!#REF!,1),0)</f>
        <v>0</v>
      </c>
      <c r="K382" t="e">
        <f>IF(samples!#REF!=0,"",samples!#REF!)</f>
        <v>#REF!</v>
      </c>
      <c r="L382">
        <f>IFERROR(SEARCH(search!$B$6,samples!#REF!,1),0)</f>
        <v>0</v>
      </c>
      <c r="M382" t="e">
        <f>IF(samples!#REF!=0,"",samples!#REF!)</f>
        <v>#REF!</v>
      </c>
      <c r="N382">
        <f>IFERROR(SEARCH(search!$B$6,samples!#REF!,1),0)</f>
        <v>0</v>
      </c>
      <c r="O382" t="e">
        <f>IF(samples!#REF!=0,"",samples!#REF!)</f>
        <v>#REF!</v>
      </c>
      <c r="P382">
        <f>IFERROR(SEARCH(search!$B$6,samples!#REF!,1),0)</f>
        <v>0</v>
      </c>
      <c r="Q382" t="e">
        <f>IF(samples!#REF!=0,"",samples!#REF!)</f>
        <v>#REF!</v>
      </c>
      <c r="R382">
        <f>IFERROR(SEARCH(search!$B$6,samples!#REF!,1),0)</f>
        <v>0</v>
      </c>
      <c r="S382" t="e">
        <f>IF(samples!#REF!=0,"",samples!#REF!)</f>
        <v>#REF!</v>
      </c>
      <c r="T382">
        <f>IFERROR(SEARCH(search!$B$6,samples!#REF!,1),0)</f>
        <v>0</v>
      </c>
      <c r="U382" t="e">
        <f>IF(samples!#REF!=0,"",samples!#REF!)</f>
        <v>#REF!</v>
      </c>
      <c r="V382">
        <f>IFERROR(SEARCH(search!$B$6,samples!#REF!,1),0)</f>
        <v>0</v>
      </c>
      <c r="W382" t="e">
        <f>IF(samples!#REF!=0,"",samples!#REF!)</f>
        <v>#REF!</v>
      </c>
      <c r="X382">
        <f>IFERROR(SEARCH(search!$B$6,samples!#REF!,1),0)</f>
        <v>0</v>
      </c>
      <c r="Y382" t="e">
        <f>IF(samples!#REF!=0,"",samples!#REF!)</f>
        <v>#REF!</v>
      </c>
      <c r="Z382">
        <f>IFERROR(SEARCH(search!$B$6,samples!#REF!,1),0)</f>
        <v>0</v>
      </c>
      <c r="AA382" t="e">
        <f>IF(samples!#REF!=0,"",samples!#REF!)</f>
        <v>#REF!</v>
      </c>
      <c r="AB382">
        <f>IFERROR(SEARCH(search!$B$6,samples!#REF!,1),0)</f>
        <v>0</v>
      </c>
      <c r="AC382" t="e">
        <f>IF(samples!#REF!=0,"",samples!#REF!)</f>
        <v>#REF!</v>
      </c>
      <c r="AD382">
        <f>IFERROR(SEARCH(search!$B$6,samples!#REF!,1),0)</f>
        <v>0</v>
      </c>
    </row>
    <row r="383" spans="1:30">
      <c r="A383">
        <f t="shared" si="5"/>
        <v>0</v>
      </c>
      <c r="B383">
        <f>IF(SUM(D383,F383,H383,J383,L383,N383,P383,R383,T383,V383,X383,Z383,AB383,AD383)&gt;0,SUM($A$2:A383),0)</f>
        <v>0</v>
      </c>
      <c r="C383" t="e">
        <f>samples!#REF!</f>
        <v>#REF!</v>
      </c>
      <c r="D383">
        <f>IFERROR(SEARCH(search!$B$6,samples!#REF!,1),0)</f>
        <v>0</v>
      </c>
      <c r="E383" t="e">
        <f>IF(samples!#REF!=0,"",samples!#REF!)</f>
        <v>#REF!</v>
      </c>
      <c r="F383">
        <f>IFERROR(SEARCH(search!$B$6,samples!#REF!,1),0)</f>
        <v>0</v>
      </c>
      <c r="G383" t="e">
        <f>IF(samples!#REF!=0,"",samples!#REF!)</f>
        <v>#REF!</v>
      </c>
      <c r="H383">
        <f>IFERROR(SEARCH(search!$B$6,samples!#REF!,1),0)</f>
        <v>0</v>
      </c>
      <c r="I383" t="e">
        <f>IF(samples!#REF!=0,"",samples!#REF!)</f>
        <v>#REF!</v>
      </c>
      <c r="J383">
        <f>IFERROR(SEARCH(search!$B$6,samples!#REF!,1),0)</f>
        <v>0</v>
      </c>
      <c r="K383" t="e">
        <f>IF(samples!#REF!=0,"",samples!#REF!)</f>
        <v>#REF!</v>
      </c>
      <c r="L383">
        <f>IFERROR(SEARCH(search!$B$6,samples!#REF!,1),0)</f>
        <v>0</v>
      </c>
      <c r="M383" t="e">
        <f>IF(samples!#REF!=0,"",samples!#REF!)</f>
        <v>#REF!</v>
      </c>
      <c r="N383">
        <f>IFERROR(SEARCH(search!$B$6,samples!#REF!,1),0)</f>
        <v>0</v>
      </c>
      <c r="O383" t="e">
        <f>IF(samples!#REF!=0,"",samples!#REF!)</f>
        <v>#REF!</v>
      </c>
      <c r="P383">
        <f>IFERROR(SEARCH(search!$B$6,samples!#REF!,1),0)</f>
        <v>0</v>
      </c>
      <c r="Q383" t="e">
        <f>IF(samples!#REF!=0,"",samples!#REF!)</f>
        <v>#REF!</v>
      </c>
      <c r="R383">
        <f>IFERROR(SEARCH(search!$B$6,samples!#REF!,1),0)</f>
        <v>0</v>
      </c>
      <c r="S383" t="e">
        <f>IF(samples!#REF!=0,"",samples!#REF!)</f>
        <v>#REF!</v>
      </c>
      <c r="T383">
        <f>IFERROR(SEARCH(search!$B$6,samples!#REF!,1),0)</f>
        <v>0</v>
      </c>
      <c r="U383" t="e">
        <f>IF(samples!#REF!=0,"",samples!#REF!)</f>
        <v>#REF!</v>
      </c>
      <c r="V383">
        <f>IFERROR(SEARCH(search!$B$6,samples!#REF!,1),0)</f>
        <v>0</v>
      </c>
      <c r="W383" t="e">
        <f>IF(samples!#REF!=0,"",samples!#REF!)</f>
        <v>#REF!</v>
      </c>
      <c r="X383">
        <f>IFERROR(SEARCH(search!$B$6,samples!#REF!,1),0)</f>
        <v>0</v>
      </c>
      <c r="Y383" t="e">
        <f>IF(samples!#REF!=0,"",samples!#REF!)</f>
        <v>#REF!</v>
      </c>
      <c r="Z383">
        <f>IFERROR(SEARCH(search!$B$6,samples!#REF!,1),0)</f>
        <v>0</v>
      </c>
      <c r="AA383" t="e">
        <f>IF(samples!#REF!=0,"",samples!#REF!)</f>
        <v>#REF!</v>
      </c>
      <c r="AB383">
        <f>IFERROR(SEARCH(search!$B$6,samples!#REF!,1),0)</f>
        <v>0</v>
      </c>
      <c r="AC383" t="e">
        <f>IF(samples!#REF!=0,"",samples!#REF!)</f>
        <v>#REF!</v>
      </c>
      <c r="AD383">
        <f>IFERROR(SEARCH(search!$B$6,samples!#REF!,1),0)</f>
        <v>0</v>
      </c>
    </row>
    <row r="384" spans="1:30">
      <c r="A384">
        <f t="shared" si="5"/>
        <v>0</v>
      </c>
      <c r="B384">
        <f>IF(SUM(D384,F384,H384,J384,L384,N384,P384,R384,T384,V384,X384,Z384,AB384,AD384)&gt;0,SUM($A$2:A384),0)</f>
        <v>0</v>
      </c>
      <c r="C384" t="e">
        <f>samples!#REF!</f>
        <v>#REF!</v>
      </c>
      <c r="D384">
        <f>IFERROR(SEARCH(search!$B$6,samples!#REF!,1),0)</f>
        <v>0</v>
      </c>
      <c r="E384" t="e">
        <f>IF(samples!#REF!=0,"",samples!#REF!)</f>
        <v>#REF!</v>
      </c>
      <c r="F384">
        <f>IFERROR(SEARCH(search!$B$6,samples!#REF!,1),0)</f>
        <v>0</v>
      </c>
      <c r="G384" t="e">
        <f>IF(samples!#REF!=0,"",samples!#REF!)</f>
        <v>#REF!</v>
      </c>
      <c r="H384">
        <f>IFERROR(SEARCH(search!$B$6,samples!#REF!,1),0)</f>
        <v>0</v>
      </c>
      <c r="I384" t="e">
        <f>IF(samples!#REF!=0,"",samples!#REF!)</f>
        <v>#REF!</v>
      </c>
      <c r="J384">
        <f>IFERROR(SEARCH(search!$B$6,samples!#REF!,1),0)</f>
        <v>0</v>
      </c>
      <c r="K384" t="e">
        <f>IF(samples!#REF!=0,"",samples!#REF!)</f>
        <v>#REF!</v>
      </c>
      <c r="L384">
        <f>IFERROR(SEARCH(search!$B$6,samples!#REF!,1),0)</f>
        <v>0</v>
      </c>
      <c r="M384" t="e">
        <f>IF(samples!#REF!=0,"",samples!#REF!)</f>
        <v>#REF!</v>
      </c>
      <c r="N384">
        <f>IFERROR(SEARCH(search!$B$6,samples!#REF!,1),0)</f>
        <v>0</v>
      </c>
      <c r="O384" t="e">
        <f>IF(samples!#REF!=0,"",samples!#REF!)</f>
        <v>#REF!</v>
      </c>
      <c r="P384">
        <f>IFERROR(SEARCH(search!$B$6,samples!#REF!,1),0)</f>
        <v>0</v>
      </c>
      <c r="Q384" t="e">
        <f>IF(samples!#REF!=0,"",samples!#REF!)</f>
        <v>#REF!</v>
      </c>
      <c r="R384">
        <f>IFERROR(SEARCH(search!$B$6,samples!#REF!,1),0)</f>
        <v>0</v>
      </c>
      <c r="S384" t="e">
        <f>IF(samples!#REF!=0,"",samples!#REF!)</f>
        <v>#REF!</v>
      </c>
      <c r="T384">
        <f>IFERROR(SEARCH(search!$B$6,samples!#REF!,1),0)</f>
        <v>0</v>
      </c>
      <c r="U384" t="e">
        <f>IF(samples!#REF!=0,"",samples!#REF!)</f>
        <v>#REF!</v>
      </c>
      <c r="V384">
        <f>IFERROR(SEARCH(search!$B$6,samples!#REF!,1),0)</f>
        <v>0</v>
      </c>
      <c r="W384" t="e">
        <f>IF(samples!#REF!=0,"",samples!#REF!)</f>
        <v>#REF!</v>
      </c>
      <c r="X384">
        <f>IFERROR(SEARCH(search!$B$6,samples!#REF!,1),0)</f>
        <v>0</v>
      </c>
      <c r="Y384" t="e">
        <f>IF(samples!#REF!=0,"",samples!#REF!)</f>
        <v>#REF!</v>
      </c>
      <c r="Z384">
        <f>IFERROR(SEARCH(search!$B$6,samples!#REF!,1),0)</f>
        <v>0</v>
      </c>
      <c r="AA384" t="e">
        <f>IF(samples!#REF!=0,"",samples!#REF!)</f>
        <v>#REF!</v>
      </c>
      <c r="AB384">
        <f>IFERROR(SEARCH(search!$B$6,samples!#REF!,1),0)</f>
        <v>0</v>
      </c>
      <c r="AC384" t="e">
        <f>IF(samples!#REF!=0,"",samples!#REF!)</f>
        <v>#REF!</v>
      </c>
      <c r="AD384">
        <f>IFERROR(SEARCH(search!$B$6,samples!#REF!,1),0)</f>
        <v>0</v>
      </c>
    </row>
    <row r="385" spans="1:30">
      <c r="A385">
        <f t="shared" si="5"/>
        <v>0</v>
      </c>
      <c r="B385">
        <f>IF(SUM(D385,F385,H385,J385,L385,N385,P385,R385,T385,V385,X385,Z385,AB385,AD385)&gt;0,SUM($A$2:A385),0)</f>
        <v>0</v>
      </c>
      <c r="C385" t="e">
        <f>samples!#REF!</f>
        <v>#REF!</v>
      </c>
      <c r="D385">
        <f>IFERROR(SEARCH(search!$B$6,samples!#REF!,1),0)</f>
        <v>0</v>
      </c>
      <c r="E385" t="e">
        <f>IF(samples!#REF!=0,"",samples!#REF!)</f>
        <v>#REF!</v>
      </c>
      <c r="F385">
        <f>IFERROR(SEARCH(search!$B$6,samples!#REF!,1),0)</f>
        <v>0</v>
      </c>
      <c r="G385" t="e">
        <f>IF(samples!#REF!=0,"",samples!#REF!)</f>
        <v>#REF!</v>
      </c>
      <c r="H385">
        <f>IFERROR(SEARCH(search!$B$6,samples!#REF!,1),0)</f>
        <v>0</v>
      </c>
      <c r="I385" t="e">
        <f>IF(samples!#REF!=0,"",samples!#REF!)</f>
        <v>#REF!</v>
      </c>
      <c r="J385">
        <f>IFERROR(SEARCH(search!$B$6,samples!#REF!,1),0)</f>
        <v>0</v>
      </c>
      <c r="K385" t="e">
        <f>IF(samples!#REF!=0,"",samples!#REF!)</f>
        <v>#REF!</v>
      </c>
      <c r="L385">
        <f>IFERROR(SEARCH(search!$B$6,samples!#REF!,1),0)</f>
        <v>0</v>
      </c>
      <c r="M385" t="e">
        <f>IF(samples!#REF!=0,"",samples!#REF!)</f>
        <v>#REF!</v>
      </c>
      <c r="N385">
        <f>IFERROR(SEARCH(search!$B$6,samples!#REF!,1),0)</f>
        <v>0</v>
      </c>
      <c r="O385" t="e">
        <f>IF(samples!#REF!=0,"",samples!#REF!)</f>
        <v>#REF!</v>
      </c>
      <c r="P385">
        <f>IFERROR(SEARCH(search!$B$6,samples!#REF!,1),0)</f>
        <v>0</v>
      </c>
      <c r="Q385" t="e">
        <f>IF(samples!#REF!=0,"",samples!#REF!)</f>
        <v>#REF!</v>
      </c>
      <c r="R385">
        <f>IFERROR(SEARCH(search!$B$6,samples!#REF!,1),0)</f>
        <v>0</v>
      </c>
      <c r="S385" t="e">
        <f>IF(samples!#REF!=0,"",samples!#REF!)</f>
        <v>#REF!</v>
      </c>
      <c r="T385">
        <f>IFERROR(SEARCH(search!$B$6,samples!#REF!,1),0)</f>
        <v>0</v>
      </c>
      <c r="U385" t="e">
        <f>IF(samples!#REF!=0,"",samples!#REF!)</f>
        <v>#REF!</v>
      </c>
      <c r="V385">
        <f>IFERROR(SEARCH(search!$B$6,samples!#REF!,1),0)</f>
        <v>0</v>
      </c>
      <c r="W385" t="e">
        <f>IF(samples!#REF!=0,"",samples!#REF!)</f>
        <v>#REF!</v>
      </c>
      <c r="X385">
        <f>IFERROR(SEARCH(search!$B$6,samples!#REF!,1),0)</f>
        <v>0</v>
      </c>
      <c r="Y385" t="e">
        <f>IF(samples!#REF!=0,"",samples!#REF!)</f>
        <v>#REF!</v>
      </c>
      <c r="Z385">
        <f>IFERROR(SEARCH(search!$B$6,samples!#REF!,1),0)</f>
        <v>0</v>
      </c>
      <c r="AA385" t="e">
        <f>IF(samples!#REF!=0,"",samples!#REF!)</f>
        <v>#REF!</v>
      </c>
      <c r="AB385">
        <f>IFERROR(SEARCH(search!$B$6,samples!#REF!,1),0)</f>
        <v>0</v>
      </c>
      <c r="AC385" t="e">
        <f>IF(samples!#REF!=0,"",samples!#REF!)</f>
        <v>#REF!</v>
      </c>
      <c r="AD385">
        <f>IFERROR(SEARCH(search!$B$6,samples!#REF!,1),0)</f>
        <v>0</v>
      </c>
    </row>
    <row r="386" spans="1:30">
      <c r="A386">
        <f t="shared" si="5"/>
        <v>0</v>
      </c>
      <c r="B386">
        <f>IF(SUM(D386,F386,H386,J386,L386,N386,P386,R386,T386,V386,X386,Z386,AB386,AD386)&gt;0,SUM($A$2:A386),0)</f>
        <v>0</v>
      </c>
      <c r="C386" t="e">
        <f>samples!#REF!</f>
        <v>#REF!</v>
      </c>
      <c r="D386">
        <f>IFERROR(SEARCH(search!$B$6,samples!#REF!,1),0)</f>
        <v>0</v>
      </c>
      <c r="E386" t="e">
        <f>IF(samples!#REF!=0,"",samples!#REF!)</f>
        <v>#REF!</v>
      </c>
      <c r="F386">
        <f>IFERROR(SEARCH(search!$B$6,samples!#REF!,1),0)</f>
        <v>0</v>
      </c>
      <c r="G386" t="e">
        <f>IF(samples!#REF!=0,"",samples!#REF!)</f>
        <v>#REF!</v>
      </c>
      <c r="H386">
        <f>IFERROR(SEARCH(search!$B$6,samples!#REF!,1),0)</f>
        <v>0</v>
      </c>
      <c r="I386" t="e">
        <f>IF(samples!#REF!=0,"",samples!#REF!)</f>
        <v>#REF!</v>
      </c>
      <c r="J386">
        <f>IFERROR(SEARCH(search!$B$6,samples!#REF!,1),0)</f>
        <v>0</v>
      </c>
      <c r="K386" t="e">
        <f>IF(samples!#REF!=0,"",samples!#REF!)</f>
        <v>#REF!</v>
      </c>
      <c r="L386">
        <f>IFERROR(SEARCH(search!$B$6,samples!#REF!,1),0)</f>
        <v>0</v>
      </c>
      <c r="M386" t="e">
        <f>IF(samples!#REF!=0,"",samples!#REF!)</f>
        <v>#REF!</v>
      </c>
      <c r="N386">
        <f>IFERROR(SEARCH(search!$B$6,samples!#REF!,1),0)</f>
        <v>0</v>
      </c>
      <c r="O386" t="e">
        <f>IF(samples!#REF!=0,"",samples!#REF!)</f>
        <v>#REF!</v>
      </c>
      <c r="P386">
        <f>IFERROR(SEARCH(search!$B$6,samples!#REF!,1),0)</f>
        <v>0</v>
      </c>
      <c r="Q386" t="e">
        <f>IF(samples!#REF!=0,"",samples!#REF!)</f>
        <v>#REF!</v>
      </c>
      <c r="R386">
        <f>IFERROR(SEARCH(search!$B$6,samples!#REF!,1),0)</f>
        <v>0</v>
      </c>
      <c r="S386" t="e">
        <f>IF(samples!#REF!=0,"",samples!#REF!)</f>
        <v>#REF!</v>
      </c>
      <c r="T386">
        <f>IFERROR(SEARCH(search!$B$6,samples!#REF!,1),0)</f>
        <v>0</v>
      </c>
      <c r="U386" t="e">
        <f>IF(samples!#REF!=0,"",samples!#REF!)</f>
        <v>#REF!</v>
      </c>
      <c r="V386">
        <f>IFERROR(SEARCH(search!$B$6,samples!#REF!,1),0)</f>
        <v>0</v>
      </c>
      <c r="W386" t="e">
        <f>IF(samples!#REF!=0,"",samples!#REF!)</f>
        <v>#REF!</v>
      </c>
      <c r="X386">
        <f>IFERROR(SEARCH(search!$B$6,samples!#REF!,1),0)</f>
        <v>0</v>
      </c>
      <c r="Y386" t="e">
        <f>IF(samples!#REF!=0,"",samples!#REF!)</f>
        <v>#REF!</v>
      </c>
      <c r="Z386">
        <f>IFERROR(SEARCH(search!$B$6,samples!#REF!,1),0)</f>
        <v>0</v>
      </c>
      <c r="AA386" t="e">
        <f>IF(samples!#REF!=0,"",samples!#REF!)</f>
        <v>#REF!</v>
      </c>
      <c r="AB386">
        <f>IFERROR(SEARCH(search!$B$6,samples!#REF!,1),0)</f>
        <v>0</v>
      </c>
      <c r="AC386" t="e">
        <f>IF(samples!#REF!=0,"",samples!#REF!)</f>
        <v>#REF!</v>
      </c>
      <c r="AD386">
        <f>IFERROR(SEARCH(search!$B$6,samples!#REF!,1),0)</f>
        <v>0</v>
      </c>
    </row>
    <row r="387" spans="1:30">
      <c r="A387">
        <f t="shared" ref="A387:A450" si="6">IF(SUM(D387,F387,H387,J387,L387,N387,P387,R387,T387,V387,X387,Z387,AB387,AD387)&gt;0,1,0)</f>
        <v>0</v>
      </c>
      <c r="B387">
        <f>IF(SUM(D387,F387,H387,J387,L387,N387,P387,R387,T387,V387,X387,Z387,AB387,AD387)&gt;0,SUM($A$2:A387),0)</f>
        <v>0</v>
      </c>
      <c r="C387" t="e">
        <f>samples!#REF!</f>
        <v>#REF!</v>
      </c>
      <c r="D387">
        <f>IFERROR(SEARCH(search!$B$6,samples!#REF!,1),0)</f>
        <v>0</v>
      </c>
      <c r="E387" t="e">
        <f>IF(samples!#REF!=0,"",samples!#REF!)</f>
        <v>#REF!</v>
      </c>
      <c r="F387">
        <f>IFERROR(SEARCH(search!$B$6,samples!#REF!,1),0)</f>
        <v>0</v>
      </c>
      <c r="G387" t="e">
        <f>IF(samples!#REF!=0,"",samples!#REF!)</f>
        <v>#REF!</v>
      </c>
      <c r="H387">
        <f>IFERROR(SEARCH(search!$B$6,samples!#REF!,1),0)</f>
        <v>0</v>
      </c>
      <c r="I387" t="e">
        <f>IF(samples!#REF!=0,"",samples!#REF!)</f>
        <v>#REF!</v>
      </c>
      <c r="J387">
        <f>IFERROR(SEARCH(search!$B$6,samples!#REF!,1),0)</f>
        <v>0</v>
      </c>
      <c r="K387" t="e">
        <f>IF(samples!#REF!=0,"",samples!#REF!)</f>
        <v>#REF!</v>
      </c>
      <c r="L387">
        <f>IFERROR(SEARCH(search!$B$6,samples!#REF!,1),0)</f>
        <v>0</v>
      </c>
      <c r="M387" t="e">
        <f>IF(samples!#REF!=0,"",samples!#REF!)</f>
        <v>#REF!</v>
      </c>
      <c r="N387">
        <f>IFERROR(SEARCH(search!$B$6,samples!#REF!,1),0)</f>
        <v>0</v>
      </c>
      <c r="O387" t="e">
        <f>IF(samples!#REF!=0,"",samples!#REF!)</f>
        <v>#REF!</v>
      </c>
      <c r="P387">
        <f>IFERROR(SEARCH(search!$B$6,samples!#REF!,1),0)</f>
        <v>0</v>
      </c>
      <c r="Q387" t="e">
        <f>IF(samples!#REF!=0,"",samples!#REF!)</f>
        <v>#REF!</v>
      </c>
      <c r="R387">
        <f>IFERROR(SEARCH(search!$B$6,samples!#REF!,1),0)</f>
        <v>0</v>
      </c>
      <c r="S387" t="e">
        <f>IF(samples!#REF!=0,"",samples!#REF!)</f>
        <v>#REF!</v>
      </c>
      <c r="T387">
        <f>IFERROR(SEARCH(search!$B$6,samples!#REF!,1),0)</f>
        <v>0</v>
      </c>
      <c r="U387" t="e">
        <f>IF(samples!#REF!=0,"",samples!#REF!)</f>
        <v>#REF!</v>
      </c>
      <c r="V387">
        <f>IFERROR(SEARCH(search!$B$6,samples!#REF!,1),0)</f>
        <v>0</v>
      </c>
      <c r="W387" t="e">
        <f>IF(samples!#REF!=0,"",samples!#REF!)</f>
        <v>#REF!</v>
      </c>
      <c r="X387">
        <f>IFERROR(SEARCH(search!$B$6,samples!#REF!,1),0)</f>
        <v>0</v>
      </c>
      <c r="Y387" t="e">
        <f>IF(samples!#REF!=0,"",samples!#REF!)</f>
        <v>#REF!</v>
      </c>
      <c r="Z387">
        <f>IFERROR(SEARCH(search!$B$6,samples!#REF!,1),0)</f>
        <v>0</v>
      </c>
      <c r="AA387" t="e">
        <f>IF(samples!#REF!=0,"",samples!#REF!)</f>
        <v>#REF!</v>
      </c>
      <c r="AB387">
        <f>IFERROR(SEARCH(search!$B$6,samples!#REF!,1),0)</f>
        <v>0</v>
      </c>
      <c r="AC387" t="e">
        <f>IF(samples!#REF!=0,"",samples!#REF!)</f>
        <v>#REF!</v>
      </c>
      <c r="AD387">
        <f>IFERROR(SEARCH(search!$B$6,samples!#REF!,1),0)</f>
        <v>0</v>
      </c>
    </row>
    <row r="388" spans="1:30">
      <c r="A388">
        <f t="shared" si="6"/>
        <v>0</v>
      </c>
      <c r="B388">
        <f>IF(SUM(D388,F388,H388,J388,L388,N388,P388,R388,T388,V388,X388,Z388,AB388,AD388)&gt;0,SUM($A$2:A388),0)</f>
        <v>0</v>
      </c>
      <c r="C388" t="e">
        <f>samples!#REF!</f>
        <v>#REF!</v>
      </c>
      <c r="D388">
        <f>IFERROR(SEARCH(search!$B$6,samples!#REF!,1),0)</f>
        <v>0</v>
      </c>
      <c r="E388" t="e">
        <f>IF(samples!#REF!=0,"",samples!#REF!)</f>
        <v>#REF!</v>
      </c>
      <c r="F388">
        <f>IFERROR(SEARCH(search!$B$6,samples!#REF!,1),0)</f>
        <v>0</v>
      </c>
      <c r="G388" t="e">
        <f>IF(samples!#REF!=0,"",samples!#REF!)</f>
        <v>#REF!</v>
      </c>
      <c r="H388">
        <f>IFERROR(SEARCH(search!$B$6,samples!#REF!,1),0)</f>
        <v>0</v>
      </c>
      <c r="I388" t="e">
        <f>IF(samples!#REF!=0,"",samples!#REF!)</f>
        <v>#REF!</v>
      </c>
      <c r="J388">
        <f>IFERROR(SEARCH(search!$B$6,samples!#REF!,1),0)</f>
        <v>0</v>
      </c>
      <c r="K388" t="e">
        <f>IF(samples!#REF!=0,"",samples!#REF!)</f>
        <v>#REF!</v>
      </c>
      <c r="L388">
        <f>IFERROR(SEARCH(search!$B$6,samples!#REF!,1),0)</f>
        <v>0</v>
      </c>
      <c r="M388" t="e">
        <f>IF(samples!#REF!=0,"",samples!#REF!)</f>
        <v>#REF!</v>
      </c>
      <c r="N388">
        <f>IFERROR(SEARCH(search!$B$6,samples!#REF!,1),0)</f>
        <v>0</v>
      </c>
      <c r="O388" t="e">
        <f>IF(samples!#REF!=0,"",samples!#REF!)</f>
        <v>#REF!</v>
      </c>
      <c r="P388">
        <f>IFERROR(SEARCH(search!$B$6,samples!#REF!,1),0)</f>
        <v>0</v>
      </c>
      <c r="Q388" t="e">
        <f>IF(samples!#REF!=0,"",samples!#REF!)</f>
        <v>#REF!</v>
      </c>
      <c r="R388">
        <f>IFERROR(SEARCH(search!$B$6,samples!#REF!,1),0)</f>
        <v>0</v>
      </c>
      <c r="S388" t="e">
        <f>IF(samples!#REF!=0,"",samples!#REF!)</f>
        <v>#REF!</v>
      </c>
      <c r="T388">
        <f>IFERROR(SEARCH(search!$B$6,samples!#REF!,1),0)</f>
        <v>0</v>
      </c>
      <c r="U388" t="e">
        <f>IF(samples!#REF!=0,"",samples!#REF!)</f>
        <v>#REF!</v>
      </c>
      <c r="V388">
        <f>IFERROR(SEARCH(search!$B$6,samples!#REF!,1),0)</f>
        <v>0</v>
      </c>
      <c r="W388" t="e">
        <f>IF(samples!#REF!=0,"",samples!#REF!)</f>
        <v>#REF!</v>
      </c>
      <c r="X388">
        <f>IFERROR(SEARCH(search!$B$6,samples!#REF!,1),0)</f>
        <v>0</v>
      </c>
      <c r="Y388" t="e">
        <f>IF(samples!#REF!=0,"",samples!#REF!)</f>
        <v>#REF!</v>
      </c>
      <c r="Z388">
        <f>IFERROR(SEARCH(search!$B$6,samples!#REF!,1),0)</f>
        <v>0</v>
      </c>
      <c r="AA388" t="e">
        <f>IF(samples!#REF!=0,"",samples!#REF!)</f>
        <v>#REF!</v>
      </c>
      <c r="AB388">
        <f>IFERROR(SEARCH(search!$B$6,samples!#REF!,1),0)</f>
        <v>0</v>
      </c>
      <c r="AC388" t="e">
        <f>IF(samples!#REF!=0,"",samples!#REF!)</f>
        <v>#REF!</v>
      </c>
      <c r="AD388">
        <f>IFERROR(SEARCH(search!$B$6,samples!#REF!,1),0)</f>
        <v>0</v>
      </c>
    </row>
    <row r="389" spans="1:30">
      <c r="A389">
        <f t="shared" si="6"/>
        <v>0</v>
      </c>
      <c r="B389">
        <f>IF(SUM(D389,F389,H389,J389,L389,N389,P389,R389,T389,V389,X389,Z389,AB389,AD389)&gt;0,SUM($A$2:A389),0)</f>
        <v>0</v>
      </c>
      <c r="C389" t="e">
        <f>samples!#REF!</f>
        <v>#REF!</v>
      </c>
      <c r="D389">
        <f>IFERROR(SEARCH(search!$B$6,samples!#REF!,1),0)</f>
        <v>0</v>
      </c>
      <c r="E389" t="e">
        <f>IF(samples!#REF!=0,"",samples!#REF!)</f>
        <v>#REF!</v>
      </c>
      <c r="F389">
        <f>IFERROR(SEARCH(search!$B$6,samples!#REF!,1),0)</f>
        <v>0</v>
      </c>
      <c r="G389" t="e">
        <f>IF(samples!#REF!=0,"",samples!#REF!)</f>
        <v>#REF!</v>
      </c>
      <c r="H389">
        <f>IFERROR(SEARCH(search!$B$6,samples!#REF!,1),0)</f>
        <v>0</v>
      </c>
      <c r="I389" t="e">
        <f>IF(samples!#REF!=0,"",samples!#REF!)</f>
        <v>#REF!</v>
      </c>
      <c r="J389">
        <f>IFERROR(SEARCH(search!$B$6,samples!#REF!,1),0)</f>
        <v>0</v>
      </c>
      <c r="K389" t="e">
        <f>IF(samples!#REF!=0,"",samples!#REF!)</f>
        <v>#REF!</v>
      </c>
      <c r="L389">
        <f>IFERROR(SEARCH(search!$B$6,samples!#REF!,1),0)</f>
        <v>0</v>
      </c>
      <c r="M389" t="e">
        <f>IF(samples!#REF!=0,"",samples!#REF!)</f>
        <v>#REF!</v>
      </c>
      <c r="N389">
        <f>IFERROR(SEARCH(search!$B$6,samples!#REF!,1),0)</f>
        <v>0</v>
      </c>
      <c r="O389" t="e">
        <f>IF(samples!#REF!=0,"",samples!#REF!)</f>
        <v>#REF!</v>
      </c>
      <c r="P389">
        <f>IFERROR(SEARCH(search!$B$6,samples!#REF!,1),0)</f>
        <v>0</v>
      </c>
      <c r="Q389" t="e">
        <f>IF(samples!#REF!=0,"",samples!#REF!)</f>
        <v>#REF!</v>
      </c>
      <c r="R389">
        <f>IFERROR(SEARCH(search!$B$6,samples!#REF!,1),0)</f>
        <v>0</v>
      </c>
      <c r="S389" t="e">
        <f>IF(samples!#REF!=0,"",samples!#REF!)</f>
        <v>#REF!</v>
      </c>
      <c r="T389">
        <f>IFERROR(SEARCH(search!$B$6,samples!#REF!,1),0)</f>
        <v>0</v>
      </c>
      <c r="U389" t="e">
        <f>IF(samples!#REF!=0,"",samples!#REF!)</f>
        <v>#REF!</v>
      </c>
      <c r="V389">
        <f>IFERROR(SEARCH(search!$B$6,samples!#REF!,1),0)</f>
        <v>0</v>
      </c>
      <c r="W389" t="e">
        <f>IF(samples!#REF!=0,"",samples!#REF!)</f>
        <v>#REF!</v>
      </c>
      <c r="X389">
        <f>IFERROR(SEARCH(search!$B$6,samples!#REF!,1),0)</f>
        <v>0</v>
      </c>
      <c r="Y389" t="e">
        <f>IF(samples!#REF!=0,"",samples!#REF!)</f>
        <v>#REF!</v>
      </c>
      <c r="Z389">
        <f>IFERROR(SEARCH(search!$B$6,samples!#REF!,1),0)</f>
        <v>0</v>
      </c>
      <c r="AA389" t="e">
        <f>IF(samples!#REF!=0,"",samples!#REF!)</f>
        <v>#REF!</v>
      </c>
      <c r="AB389">
        <f>IFERROR(SEARCH(search!$B$6,samples!#REF!,1),0)</f>
        <v>0</v>
      </c>
      <c r="AC389" t="e">
        <f>IF(samples!#REF!=0,"",samples!#REF!)</f>
        <v>#REF!</v>
      </c>
      <c r="AD389">
        <f>IFERROR(SEARCH(search!$B$6,samples!#REF!,1),0)</f>
        <v>0</v>
      </c>
    </row>
    <row r="390" spans="1:30">
      <c r="A390">
        <f t="shared" si="6"/>
        <v>0</v>
      </c>
      <c r="B390">
        <f>IF(SUM(D390,F390,H390,J390,L390,N390,P390,R390,T390,V390,X390,Z390,AB390,AD390)&gt;0,SUM($A$2:A390),0)</f>
        <v>0</v>
      </c>
      <c r="C390" t="e">
        <f>samples!#REF!</f>
        <v>#REF!</v>
      </c>
      <c r="D390">
        <f>IFERROR(SEARCH(search!$B$6,samples!#REF!,1),0)</f>
        <v>0</v>
      </c>
      <c r="E390" t="e">
        <f>IF(samples!#REF!=0,"",samples!#REF!)</f>
        <v>#REF!</v>
      </c>
      <c r="F390">
        <f>IFERROR(SEARCH(search!$B$6,samples!#REF!,1),0)</f>
        <v>0</v>
      </c>
      <c r="G390" t="e">
        <f>IF(samples!#REF!=0,"",samples!#REF!)</f>
        <v>#REF!</v>
      </c>
      <c r="H390">
        <f>IFERROR(SEARCH(search!$B$6,samples!#REF!,1),0)</f>
        <v>0</v>
      </c>
      <c r="I390" t="e">
        <f>IF(samples!#REF!=0,"",samples!#REF!)</f>
        <v>#REF!</v>
      </c>
      <c r="J390">
        <f>IFERROR(SEARCH(search!$B$6,samples!#REF!,1),0)</f>
        <v>0</v>
      </c>
      <c r="K390" t="e">
        <f>IF(samples!#REF!=0,"",samples!#REF!)</f>
        <v>#REF!</v>
      </c>
      <c r="L390">
        <f>IFERROR(SEARCH(search!$B$6,samples!#REF!,1),0)</f>
        <v>0</v>
      </c>
      <c r="M390" t="e">
        <f>IF(samples!#REF!=0,"",samples!#REF!)</f>
        <v>#REF!</v>
      </c>
      <c r="N390">
        <f>IFERROR(SEARCH(search!$B$6,samples!#REF!,1),0)</f>
        <v>0</v>
      </c>
      <c r="O390" t="e">
        <f>IF(samples!#REF!=0,"",samples!#REF!)</f>
        <v>#REF!</v>
      </c>
      <c r="P390">
        <f>IFERROR(SEARCH(search!$B$6,samples!#REF!,1),0)</f>
        <v>0</v>
      </c>
      <c r="Q390" t="e">
        <f>IF(samples!#REF!=0,"",samples!#REF!)</f>
        <v>#REF!</v>
      </c>
      <c r="R390">
        <f>IFERROR(SEARCH(search!$B$6,samples!#REF!,1),0)</f>
        <v>0</v>
      </c>
      <c r="S390" t="e">
        <f>IF(samples!#REF!=0,"",samples!#REF!)</f>
        <v>#REF!</v>
      </c>
      <c r="T390">
        <f>IFERROR(SEARCH(search!$B$6,samples!#REF!,1),0)</f>
        <v>0</v>
      </c>
      <c r="U390" t="e">
        <f>IF(samples!#REF!=0,"",samples!#REF!)</f>
        <v>#REF!</v>
      </c>
      <c r="V390">
        <f>IFERROR(SEARCH(search!$B$6,samples!#REF!,1),0)</f>
        <v>0</v>
      </c>
      <c r="W390" t="e">
        <f>IF(samples!#REF!=0,"",samples!#REF!)</f>
        <v>#REF!</v>
      </c>
      <c r="X390">
        <f>IFERROR(SEARCH(search!$B$6,samples!#REF!,1),0)</f>
        <v>0</v>
      </c>
      <c r="Y390" t="e">
        <f>IF(samples!#REF!=0,"",samples!#REF!)</f>
        <v>#REF!</v>
      </c>
      <c r="Z390">
        <f>IFERROR(SEARCH(search!$B$6,samples!#REF!,1),0)</f>
        <v>0</v>
      </c>
      <c r="AA390" t="e">
        <f>IF(samples!#REF!=0,"",samples!#REF!)</f>
        <v>#REF!</v>
      </c>
      <c r="AB390">
        <f>IFERROR(SEARCH(search!$B$6,samples!#REF!,1),0)</f>
        <v>0</v>
      </c>
      <c r="AC390" t="e">
        <f>IF(samples!#REF!=0,"",samples!#REF!)</f>
        <v>#REF!</v>
      </c>
      <c r="AD390">
        <f>IFERROR(SEARCH(search!$B$6,samples!#REF!,1),0)</f>
        <v>0</v>
      </c>
    </row>
    <row r="391" spans="1:30">
      <c r="A391">
        <f t="shared" si="6"/>
        <v>0</v>
      </c>
      <c r="B391">
        <f>IF(SUM(D391,F391,H391,J391,L391,N391,P391,R391,T391,V391,X391,Z391,AB391,AD391)&gt;0,SUM($A$2:A391),0)</f>
        <v>0</v>
      </c>
      <c r="C391" t="e">
        <f>samples!#REF!</f>
        <v>#REF!</v>
      </c>
      <c r="D391">
        <f>IFERROR(SEARCH(search!$B$6,samples!#REF!,1),0)</f>
        <v>0</v>
      </c>
      <c r="E391" t="e">
        <f>IF(samples!#REF!=0,"",samples!#REF!)</f>
        <v>#REF!</v>
      </c>
      <c r="F391">
        <f>IFERROR(SEARCH(search!$B$6,samples!#REF!,1),0)</f>
        <v>0</v>
      </c>
      <c r="G391" t="e">
        <f>IF(samples!#REF!=0,"",samples!#REF!)</f>
        <v>#REF!</v>
      </c>
      <c r="H391">
        <f>IFERROR(SEARCH(search!$B$6,samples!#REF!,1),0)</f>
        <v>0</v>
      </c>
      <c r="I391" t="e">
        <f>IF(samples!#REF!=0,"",samples!#REF!)</f>
        <v>#REF!</v>
      </c>
      <c r="J391">
        <f>IFERROR(SEARCH(search!$B$6,samples!#REF!,1),0)</f>
        <v>0</v>
      </c>
      <c r="K391" t="e">
        <f>IF(samples!#REF!=0,"",samples!#REF!)</f>
        <v>#REF!</v>
      </c>
      <c r="L391">
        <f>IFERROR(SEARCH(search!$B$6,samples!#REF!,1),0)</f>
        <v>0</v>
      </c>
      <c r="M391" t="e">
        <f>IF(samples!#REF!=0,"",samples!#REF!)</f>
        <v>#REF!</v>
      </c>
      <c r="N391">
        <f>IFERROR(SEARCH(search!$B$6,samples!#REF!,1),0)</f>
        <v>0</v>
      </c>
      <c r="O391" t="e">
        <f>IF(samples!#REF!=0,"",samples!#REF!)</f>
        <v>#REF!</v>
      </c>
      <c r="P391">
        <f>IFERROR(SEARCH(search!$B$6,samples!#REF!,1),0)</f>
        <v>0</v>
      </c>
      <c r="Q391" t="e">
        <f>IF(samples!#REF!=0,"",samples!#REF!)</f>
        <v>#REF!</v>
      </c>
      <c r="R391">
        <f>IFERROR(SEARCH(search!$B$6,samples!#REF!,1),0)</f>
        <v>0</v>
      </c>
      <c r="S391" t="e">
        <f>IF(samples!#REF!=0,"",samples!#REF!)</f>
        <v>#REF!</v>
      </c>
      <c r="T391">
        <f>IFERROR(SEARCH(search!$B$6,samples!#REF!,1),0)</f>
        <v>0</v>
      </c>
      <c r="U391" t="e">
        <f>IF(samples!#REF!=0,"",samples!#REF!)</f>
        <v>#REF!</v>
      </c>
      <c r="V391">
        <f>IFERROR(SEARCH(search!$B$6,samples!#REF!,1),0)</f>
        <v>0</v>
      </c>
      <c r="W391" t="e">
        <f>IF(samples!#REF!=0,"",samples!#REF!)</f>
        <v>#REF!</v>
      </c>
      <c r="X391">
        <f>IFERROR(SEARCH(search!$B$6,samples!#REF!,1),0)</f>
        <v>0</v>
      </c>
      <c r="Y391" t="e">
        <f>IF(samples!#REF!=0,"",samples!#REF!)</f>
        <v>#REF!</v>
      </c>
      <c r="Z391">
        <f>IFERROR(SEARCH(search!$B$6,samples!#REF!,1),0)</f>
        <v>0</v>
      </c>
      <c r="AA391" t="e">
        <f>IF(samples!#REF!=0,"",samples!#REF!)</f>
        <v>#REF!</v>
      </c>
      <c r="AB391">
        <f>IFERROR(SEARCH(search!$B$6,samples!#REF!,1),0)</f>
        <v>0</v>
      </c>
      <c r="AC391" t="e">
        <f>IF(samples!#REF!=0,"",samples!#REF!)</f>
        <v>#REF!</v>
      </c>
      <c r="AD391">
        <f>IFERROR(SEARCH(search!$B$6,samples!#REF!,1),0)</f>
        <v>0</v>
      </c>
    </row>
    <row r="392" spans="1:30">
      <c r="A392">
        <f t="shared" si="6"/>
        <v>0</v>
      </c>
      <c r="B392">
        <f>IF(SUM(D392,F392,H392,J392,L392,N392,P392,R392,T392,V392,X392,Z392,AB392,AD392)&gt;0,SUM($A$2:A392),0)</f>
        <v>0</v>
      </c>
      <c r="C392" t="e">
        <f>samples!#REF!</f>
        <v>#REF!</v>
      </c>
      <c r="D392">
        <f>IFERROR(SEARCH(search!$B$6,samples!#REF!,1),0)</f>
        <v>0</v>
      </c>
      <c r="E392" t="e">
        <f>IF(samples!#REF!=0,"",samples!#REF!)</f>
        <v>#REF!</v>
      </c>
      <c r="F392">
        <f>IFERROR(SEARCH(search!$B$6,samples!#REF!,1),0)</f>
        <v>0</v>
      </c>
      <c r="G392" t="e">
        <f>IF(samples!#REF!=0,"",samples!#REF!)</f>
        <v>#REF!</v>
      </c>
      <c r="H392">
        <f>IFERROR(SEARCH(search!$B$6,samples!#REF!,1),0)</f>
        <v>0</v>
      </c>
      <c r="I392" t="e">
        <f>IF(samples!#REF!=0,"",samples!#REF!)</f>
        <v>#REF!</v>
      </c>
      <c r="J392">
        <f>IFERROR(SEARCH(search!$B$6,samples!#REF!,1),0)</f>
        <v>0</v>
      </c>
      <c r="K392" t="e">
        <f>IF(samples!#REF!=0,"",samples!#REF!)</f>
        <v>#REF!</v>
      </c>
      <c r="L392">
        <f>IFERROR(SEARCH(search!$B$6,samples!#REF!,1),0)</f>
        <v>0</v>
      </c>
      <c r="M392" t="e">
        <f>IF(samples!#REF!=0,"",samples!#REF!)</f>
        <v>#REF!</v>
      </c>
      <c r="N392">
        <f>IFERROR(SEARCH(search!$B$6,samples!#REF!,1),0)</f>
        <v>0</v>
      </c>
      <c r="O392" t="e">
        <f>IF(samples!#REF!=0,"",samples!#REF!)</f>
        <v>#REF!</v>
      </c>
      <c r="P392">
        <f>IFERROR(SEARCH(search!$B$6,samples!#REF!,1),0)</f>
        <v>0</v>
      </c>
      <c r="Q392" t="e">
        <f>IF(samples!#REF!=0,"",samples!#REF!)</f>
        <v>#REF!</v>
      </c>
      <c r="R392">
        <f>IFERROR(SEARCH(search!$B$6,samples!#REF!,1),0)</f>
        <v>0</v>
      </c>
      <c r="S392" t="e">
        <f>IF(samples!#REF!=0,"",samples!#REF!)</f>
        <v>#REF!</v>
      </c>
      <c r="T392">
        <f>IFERROR(SEARCH(search!$B$6,samples!#REF!,1),0)</f>
        <v>0</v>
      </c>
      <c r="U392" t="e">
        <f>IF(samples!#REF!=0,"",samples!#REF!)</f>
        <v>#REF!</v>
      </c>
      <c r="V392">
        <f>IFERROR(SEARCH(search!$B$6,samples!#REF!,1),0)</f>
        <v>0</v>
      </c>
      <c r="W392" t="e">
        <f>IF(samples!#REF!=0,"",samples!#REF!)</f>
        <v>#REF!</v>
      </c>
      <c r="X392">
        <f>IFERROR(SEARCH(search!$B$6,samples!#REF!,1),0)</f>
        <v>0</v>
      </c>
      <c r="Y392" t="e">
        <f>IF(samples!#REF!=0,"",samples!#REF!)</f>
        <v>#REF!</v>
      </c>
      <c r="Z392">
        <f>IFERROR(SEARCH(search!$B$6,samples!#REF!,1),0)</f>
        <v>0</v>
      </c>
      <c r="AA392" t="e">
        <f>IF(samples!#REF!=0,"",samples!#REF!)</f>
        <v>#REF!</v>
      </c>
      <c r="AB392">
        <f>IFERROR(SEARCH(search!$B$6,samples!#REF!,1),0)</f>
        <v>0</v>
      </c>
      <c r="AC392" t="e">
        <f>IF(samples!#REF!=0,"",samples!#REF!)</f>
        <v>#REF!</v>
      </c>
      <c r="AD392">
        <f>IFERROR(SEARCH(search!$B$6,samples!#REF!,1),0)</f>
        <v>0</v>
      </c>
    </row>
    <row r="393" spans="1:30">
      <c r="A393">
        <f t="shared" si="6"/>
        <v>0</v>
      </c>
      <c r="B393">
        <f>IF(SUM(D393,F393,H393,J393,L393,N393,P393,R393,T393,V393,X393,Z393,AB393,AD393)&gt;0,SUM($A$2:A393),0)</f>
        <v>0</v>
      </c>
      <c r="C393" t="e">
        <f>samples!#REF!</f>
        <v>#REF!</v>
      </c>
      <c r="D393">
        <f>IFERROR(SEARCH(search!$B$6,samples!#REF!,1),0)</f>
        <v>0</v>
      </c>
      <c r="E393" t="e">
        <f>IF(samples!#REF!=0,"",samples!#REF!)</f>
        <v>#REF!</v>
      </c>
      <c r="F393">
        <f>IFERROR(SEARCH(search!$B$6,samples!#REF!,1),0)</f>
        <v>0</v>
      </c>
      <c r="G393" t="e">
        <f>IF(samples!#REF!=0,"",samples!#REF!)</f>
        <v>#REF!</v>
      </c>
      <c r="H393">
        <f>IFERROR(SEARCH(search!$B$6,samples!#REF!,1),0)</f>
        <v>0</v>
      </c>
      <c r="I393" t="e">
        <f>IF(samples!#REF!=0,"",samples!#REF!)</f>
        <v>#REF!</v>
      </c>
      <c r="J393">
        <f>IFERROR(SEARCH(search!$B$6,samples!#REF!,1),0)</f>
        <v>0</v>
      </c>
      <c r="K393" t="e">
        <f>IF(samples!#REF!=0,"",samples!#REF!)</f>
        <v>#REF!</v>
      </c>
      <c r="L393">
        <f>IFERROR(SEARCH(search!$B$6,samples!#REF!,1),0)</f>
        <v>0</v>
      </c>
      <c r="M393" t="e">
        <f>IF(samples!#REF!=0,"",samples!#REF!)</f>
        <v>#REF!</v>
      </c>
      <c r="N393">
        <f>IFERROR(SEARCH(search!$B$6,samples!#REF!,1),0)</f>
        <v>0</v>
      </c>
      <c r="O393" t="e">
        <f>IF(samples!#REF!=0,"",samples!#REF!)</f>
        <v>#REF!</v>
      </c>
      <c r="P393">
        <f>IFERROR(SEARCH(search!$B$6,samples!#REF!,1),0)</f>
        <v>0</v>
      </c>
      <c r="Q393" t="e">
        <f>IF(samples!#REF!=0,"",samples!#REF!)</f>
        <v>#REF!</v>
      </c>
      <c r="R393">
        <f>IFERROR(SEARCH(search!$B$6,samples!#REF!,1),0)</f>
        <v>0</v>
      </c>
      <c r="S393" t="e">
        <f>IF(samples!#REF!=0,"",samples!#REF!)</f>
        <v>#REF!</v>
      </c>
      <c r="T393">
        <f>IFERROR(SEARCH(search!$B$6,samples!#REF!,1),0)</f>
        <v>0</v>
      </c>
      <c r="U393" t="e">
        <f>IF(samples!#REF!=0,"",samples!#REF!)</f>
        <v>#REF!</v>
      </c>
      <c r="V393">
        <f>IFERROR(SEARCH(search!$B$6,samples!#REF!,1),0)</f>
        <v>0</v>
      </c>
      <c r="W393" t="e">
        <f>IF(samples!#REF!=0,"",samples!#REF!)</f>
        <v>#REF!</v>
      </c>
      <c r="X393">
        <f>IFERROR(SEARCH(search!$B$6,samples!#REF!,1),0)</f>
        <v>0</v>
      </c>
      <c r="Y393" t="e">
        <f>IF(samples!#REF!=0,"",samples!#REF!)</f>
        <v>#REF!</v>
      </c>
      <c r="Z393">
        <f>IFERROR(SEARCH(search!$B$6,samples!#REF!,1),0)</f>
        <v>0</v>
      </c>
      <c r="AA393" t="e">
        <f>IF(samples!#REF!=0,"",samples!#REF!)</f>
        <v>#REF!</v>
      </c>
      <c r="AB393">
        <f>IFERROR(SEARCH(search!$B$6,samples!#REF!,1),0)</f>
        <v>0</v>
      </c>
      <c r="AC393" t="e">
        <f>IF(samples!#REF!=0,"",samples!#REF!)</f>
        <v>#REF!</v>
      </c>
      <c r="AD393">
        <f>IFERROR(SEARCH(search!$B$6,samples!#REF!,1),0)</f>
        <v>0</v>
      </c>
    </row>
    <row r="394" spans="1:30">
      <c r="A394">
        <f t="shared" si="6"/>
        <v>0</v>
      </c>
      <c r="B394">
        <f>IF(SUM(D394,F394,H394,J394,L394,N394,P394,R394,T394,V394,X394,Z394,AB394,AD394)&gt;0,SUM($A$2:A394),0)</f>
        <v>0</v>
      </c>
      <c r="C394" t="e">
        <f>samples!#REF!</f>
        <v>#REF!</v>
      </c>
      <c r="D394">
        <f>IFERROR(SEARCH(search!$B$6,samples!#REF!,1),0)</f>
        <v>0</v>
      </c>
      <c r="E394" t="e">
        <f>IF(samples!#REF!=0,"",samples!#REF!)</f>
        <v>#REF!</v>
      </c>
      <c r="F394">
        <f>IFERROR(SEARCH(search!$B$6,samples!#REF!,1),0)</f>
        <v>0</v>
      </c>
      <c r="G394" t="e">
        <f>IF(samples!#REF!=0,"",samples!#REF!)</f>
        <v>#REF!</v>
      </c>
      <c r="H394">
        <f>IFERROR(SEARCH(search!$B$6,samples!#REF!,1),0)</f>
        <v>0</v>
      </c>
      <c r="I394" t="e">
        <f>IF(samples!#REF!=0,"",samples!#REF!)</f>
        <v>#REF!</v>
      </c>
      <c r="J394">
        <f>IFERROR(SEARCH(search!$B$6,samples!#REF!,1),0)</f>
        <v>0</v>
      </c>
      <c r="K394" t="e">
        <f>IF(samples!#REF!=0,"",samples!#REF!)</f>
        <v>#REF!</v>
      </c>
      <c r="L394">
        <f>IFERROR(SEARCH(search!$B$6,samples!#REF!,1),0)</f>
        <v>0</v>
      </c>
      <c r="M394" t="e">
        <f>IF(samples!#REF!=0,"",samples!#REF!)</f>
        <v>#REF!</v>
      </c>
      <c r="N394">
        <f>IFERROR(SEARCH(search!$B$6,samples!#REF!,1),0)</f>
        <v>0</v>
      </c>
      <c r="O394" t="e">
        <f>IF(samples!#REF!=0,"",samples!#REF!)</f>
        <v>#REF!</v>
      </c>
      <c r="P394">
        <f>IFERROR(SEARCH(search!$B$6,samples!#REF!,1),0)</f>
        <v>0</v>
      </c>
      <c r="Q394" t="e">
        <f>IF(samples!#REF!=0,"",samples!#REF!)</f>
        <v>#REF!</v>
      </c>
      <c r="R394">
        <f>IFERROR(SEARCH(search!$B$6,samples!#REF!,1),0)</f>
        <v>0</v>
      </c>
      <c r="S394" t="e">
        <f>IF(samples!#REF!=0,"",samples!#REF!)</f>
        <v>#REF!</v>
      </c>
      <c r="T394">
        <f>IFERROR(SEARCH(search!$B$6,samples!#REF!,1),0)</f>
        <v>0</v>
      </c>
      <c r="U394" t="e">
        <f>IF(samples!#REF!=0,"",samples!#REF!)</f>
        <v>#REF!</v>
      </c>
      <c r="V394">
        <f>IFERROR(SEARCH(search!$B$6,samples!#REF!,1),0)</f>
        <v>0</v>
      </c>
      <c r="W394" t="e">
        <f>IF(samples!#REF!=0,"",samples!#REF!)</f>
        <v>#REF!</v>
      </c>
      <c r="X394">
        <f>IFERROR(SEARCH(search!$B$6,samples!#REF!,1),0)</f>
        <v>0</v>
      </c>
      <c r="Y394" t="e">
        <f>IF(samples!#REF!=0,"",samples!#REF!)</f>
        <v>#REF!</v>
      </c>
      <c r="Z394">
        <f>IFERROR(SEARCH(search!$B$6,samples!#REF!,1),0)</f>
        <v>0</v>
      </c>
      <c r="AA394" t="e">
        <f>IF(samples!#REF!=0,"",samples!#REF!)</f>
        <v>#REF!</v>
      </c>
      <c r="AB394">
        <f>IFERROR(SEARCH(search!$B$6,samples!#REF!,1),0)</f>
        <v>0</v>
      </c>
      <c r="AC394" t="e">
        <f>IF(samples!#REF!=0,"",samples!#REF!)</f>
        <v>#REF!</v>
      </c>
      <c r="AD394">
        <f>IFERROR(SEARCH(search!$B$6,samples!#REF!,1),0)</f>
        <v>0</v>
      </c>
    </row>
    <row r="395" spans="1:30">
      <c r="A395">
        <f t="shared" si="6"/>
        <v>0</v>
      </c>
      <c r="B395">
        <f>IF(SUM(D395,F395,H395,J395,L395,N395,P395,R395,T395,V395,X395,Z395,AB395,AD395)&gt;0,SUM($A$2:A395),0)</f>
        <v>0</v>
      </c>
      <c r="C395" t="e">
        <f>samples!#REF!</f>
        <v>#REF!</v>
      </c>
      <c r="D395">
        <f>IFERROR(SEARCH(search!$B$6,samples!#REF!,1),0)</f>
        <v>0</v>
      </c>
      <c r="E395" t="e">
        <f>IF(samples!#REF!=0,"",samples!#REF!)</f>
        <v>#REF!</v>
      </c>
      <c r="F395">
        <f>IFERROR(SEARCH(search!$B$6,samples!#REF!,1),0)</f>
        <v>0</v>
      </c>
      <c r="G395" t="e">
        <f>IF(samples!#REF!=0,"",samples!#REF!)</f>
        <v>#REF!</v>
      </c>
      <c r="H395">
        <f>IFERROR(SEARCH(search!$B$6,samples!#REF!,1),0)</f>
        <v>0</v>
      </c>
      <c r="I395" t="e">
        <f>IF(samples!#REF!=0,"",samples!#REF!)</f>
        <v>#REF!</v>
      </c>
      <c r="J395">
        <f>IFERROR(SEARCH(search!$B$6,samples!#REF!,1),0)</f>
        <v>0</v>
      </c>
      <c r="K395" t="e">
        <f>IF(samples!#REF!=0,"",samples!#REF!)</f>
        <v>#REF!</v>
      </c>
      <c r="L395">
        <f>IFERROR(SEARCH(search!$B$6,samples!#REF!,1),0)</f>
        <v>0</v>
      </c>
      <c r="M395" t="e">
        <f>IF(samples!#REF!=0,"",samples!#REF!)</f>
        <v>#REF!</v>
      </c>
      <c r="N395">
        <f>IFERROR(SEARCH(search!$B$6,samples!#REF!,1),0)</f>
        <v>0</v>
      </c>
      <c r="O395" t="e">
        <f>IF(samples!#REF!=0,"",samples!#REF!)</f>
        <v>#REF!</v>
      </c>
      <c r="P395">
        <f>IFERROR(SEARCH(search!$B$6,samples!#REF!,1),0)</f>
        <v>0</v>
      </c>
      <c r="Q395" t="e">
        <f>IF(samples!#REF!=0,"",samples!#REF!)</f>
        <v>#REF!</v>
      </c>
      <c r="R395">
        <f>IFERROR(SEARCH(search!$B$6,samples!#REF!,1),0)</f>
        <v>0</v>
      </c>
      <c r="S395" t="e">
        <f>IF(samples!#REF!=0,"",samples!#REF!)</f>
        <v>#REF!</v>
      </c>
      <c r="T395">
        <f>IFERROR(SEARCH(search!$B$6,samples!#REF!,1),0)</f>
        <v>0</v>
      </c>
      <c r="U395" t="e">
        <f>IF(samples!#REF!=0,"",samples!#REF!)</f>
        <v>#REF!</v>
      </c>
      <c r="V395">
        <f>IFERROR(SEARCH(search!$B$6,samples!#REF!,1),0)</f>
        <v>0</v>
      </c>
      <c r="W395" t="e">
        <f>IF(samples!#REF!=0,"",samples!#REF!)</f>
        <v>#REF!</v>
      </c>
      <c r="X395">
        <f>IFERROR(SEARCH(search!$B$6,samples!#REF!,1),0)</f>
        <v>0</v>
      </c>
      <c r="Y395" t="e">
        <f>IF(samples!#REF!=0,"",samples!#REF!)</f>
        <v>#REF!</v>
      </c>
      <c r="Z395">
        <f>IFERROR(SEARCH(search!$B$6,samples!#REF!,1),0)</f>
        <v>0</v>
      </c>
      <c r="AA395" t="e">
        <f>IF(samples!#REF!=0,"",samples!#REF!)</f>
        <v>#REF!</v>
      </c>
      <c r="AB395">
        <f>IFERROR(SEARCH(search!$B$6,samples!#REF!,1),0)</f>
        <v>0</v>
      </c>
      <c r="AC395" t="e">
        <f>IF(samples!#REF!=0,"",samples!#REF!)</f>
        <v>#REF!</v>
      </c>
      <c r="AD395">
        <f>IFERROR(SEARCH(search!$B$6,samples!#REF!,1),0)</f>
        <v>0</v>
      </c>
    </row>
    <row r="396" spans="1:30">
      <c r="A396">
        <f t="shared" si="6"/>
        <v>0</v>
      </c>
      <c r="B396">
        <f>IF(SUM(D396,F396,H396,J396,L396,N396,P396,R396,T396,V396,X396,Z396,AB396,AD396)&gt;0,SUM($A$2:A396),0)</f>
        <v>0</v>
      </c>
      <c r="C396" t="e">
        <f>samples!#REF!</f>
        <v>#REF!</v>
      </c>
      <c r="D396">
        <f>IFERROR(SEARCH(search!$B$6,samples!#REF!,1),0)</f>
        <v>0</v>
      </c>
      <c r="E396" t="e">
        <f>IF(samples!#REF!=0,"",samples!#REF!)</f>
        <v>#REF!</v>
      </c>
      <c r="F396">
        <f>IFERROR(SEARCH(search!$B$6,samples!#REF!,1),0)</f>
        <v>0</v>
      </c>
      <c r="G396" t="e">
        <f>IF(samples!#REF!=0,"",samples!#REF!)</f>
        <v>#REF!</v>
      </c>
      <c r="H396">
        <f>IFERROR(SEARCH(search!$B$6,samples!#REF!,1),0)</f>
        <v>0</v>
      </c>
      <c r="I396" t="e">
        <f>IF(samples!#REF!=0,"",samples!#REF!)</f>
        <v>#REF!</v>
      </c>
      <c r="J396">
        <f>IFERROR(SEARCH(search!$B$6,samples!#REF!,1),0)</f>
        <v>0</v>
      </c>
      <c r="K396" t="e">
        <f>IF(samples!#REF!=0,"",samples!#REF!)</f>
        <v>#REF!</v>
      </c>
      <c r="L396">
        <f>IFERROR(SEARCH(search!$B$6,samples!#REF!,1),0)</f>
        <v>0</v>
      </c>
      <c r="M396" t="e">
        <f>IF(samples!#REF!=0,"",samples!#REF!)</f>
        <v>#REF!</v>
      </c>
      <c r="N396">
        <f>IFERROR(SEARCH(search!$B$6,samples!#REF!,1),0)</f>
        <v>0</v>
      </c>
      <c r="O396" t="e">
        <f>IF(samples!#REF!=0,"",samples!#REF!)</f>
        <v>#REF!</v>
      </c>
      <c r="P396">
        <f>IFERROR(SEARCH(search!$B$6,samples!#REF!,1),0)</f>
        <v>0</v>
      </c>
      <c r="Q396" t="e">
        <f>IF(samples!#REF!=0,"",samples!#REF!)</f>
        <v>#REF!</v>
      </c>
      <c r="R396">
        <f>IFERROR(SEARCH(search!$B$6,samples!#REF!,1),0)</f>
        <v>0</v>
      </c>
      <c r="S396" t="e">
        <f>IF(samples!#REF!=0,"",samples!#REF!)</f>
        <v>#REF!</v>
      </c>
      <c r="T396">
        <f>IFERROR(SEARCH(search!$B$6,samples!#REF!,1),0)</f>
        <v>0</v>
      </c>
      <c r="U396" t="e">
        <f>IF(samples!#REF!=0,"",samples!#REF!)</f>
        <v>#REF!</v>
      </c>
      <c r="V396">
        <f>IFERROR(SEARCH(search!$B$6,samples!#REF!,1),0)</f>
        <v>0</v>
      </c>
      <c r="W396" t="e">
        <f>IF(samples!#REF!=0,"",samples!#REF!)</f>
        <v>#REF!</v>
      </c>
      <c r="X396">
        <f>IFERROR(SEARCH(search!$B$6,samples!#REF!,1),0)</f>
        <v>0</v>
      </c>
      <c r="Y396" t="e">
        <f>IF(samples!#REF!=0,"",samples!#REF!)</f>
        <v>#REF!</v>
      </c>
      <c r="Z396">
        <f>IFERROR(SEARCH(search!$B$6,samples!#REF!,1),0)</f>
        <v>0</v>
      </c>
      <c r="AA396" t="e">
        <f>IF(samples!#REF!=0,"",samples!#REF!)</f>
        <v>#REF!</v>
      </c>
      <c r="AB396">
        <f>IFERROR(SEARCH(search!$B$6,samples!#REF!,1),0)</f>
        <v>0</v>
      </c>
      <c r="AC396" t="e">
        <f>IF(samples!#REF!=0,"",samples!#REF!)</f>
        <v>#REF!</v>
      </c>
      <c r="AD396">
        <f>IFERROR(SEARCH(search!$B$6,samples!#REF!,1),0)</f>
        <v>0</v>
      </c>
    </row>
    <row r="397" spans="1:30">
      <c r="A397">
        <f t="shared" si="6"/>
        <v>0</v>
      </c>
      <c r="B397">
        <f>IF(SUM(D397,F397,H397,J397,L397,N397,P397,R397,T397,V397,X397,Z397,AB397,AD397)&gt;0,SUM($A$2:A397),0)</f>
        <v>0</v>
      </c>
      <c r="C397" t="e">
        <f>samples!#REF!</f>
        <v>#REF!</v>
      </c>
      <c r="D397">
        <f>IFERROR(SEARCH(search!$B$6,samples!#REF!,1),0)</f>
        <v>0</v>
      </c>
      <c r="E397" t="e">
        <f>IF(samples!#REF!=0,"",samples!#REF!)</f>
        <v>#REF!</v>
      </c>
      <c r="F397">
        <f>IFERROR(SEARCH(search!$B$6,samples!#REF!,1),0)</f>
        <v>0</v>
      </c>
      <c r="G397" t="e">
        <f>IF(samples!#REF!=0,"",samples!#REF!)</f>
        <v>#REF!</v>
      </c>
      <c r="H397">
        <f>IFERROR(SEARCH(search!$B$6,samples!#REF!,1),0)</f>
        <v>0</v>
      </c>
      <c r="I397" t="e">
        <f>IF(samples!#REF!=0,"",samples!#REF!)</f>
        <v>#REF!</v>
      </c>
      <c r="J397">
        <f>IFERROR(SEARCH(search!$B$6,samples!#REF!,1),0)</f>
        <v>0</v>
      </c>
      <c r="K397" t="e">
        <f>IF(samples!#REF!=0,"",samples!#REF!)</f>
        <v>#REF!</v>
      </c>
      <c r="L397">
        <f>IFERROR(SEARCH(search!$B$6,samples!#REF!,1),0)</f>
        <v>0</v>
      </c>
      <c r="M397" t="e">
        <f>IF(samples!#REF!=0,"",samples!#REF!)</f>
        <v>#REF!</v>
      </c>
      <c r="N397">
        <f>IFERROR(SEARCH(search!$B$6,samples!#REF!,1),0)</f>
        <v>0</v>
      </c>
      <c r="O397" t="e">
        <f>IF(samples!#REF!=0,"",samples!#REF!)</f>
        <v>#REF!</v>
      </c>
      <c r="P397">
        <f>IFERROR(SEARCH(search!$B$6,samples!#REF!,1),0)</f>
        <v>0</v>
      </c>
      <c r="Q397" t="e">
        <f>IF(samples!#REF!=0,"",samples!#REF!)</f>
        <v>#REF!</v>
      </c>
      <c r="R397">
        <f>IFERROR(SEARCH(search!$B$6,samples!#REF!,1),0)</f>
        <v>0</v>
      </c>
      <c r="S397" t="e">
        <f>IF(samples!#REF!=0,"",samples!#REF!)</f>
        <v>#REF!</v>
      </c>
      <c r="T397">
        <f>IFERROR(SEARCH(search!$B$6,samples!#REF!,1),0)</f>
        <v>0</v>
      </c>
      <c r="U397" t="e">
        <f>IF(samples!#REF!=0,"",samples!#REF!)</f>
        <v>#REF!</v>
      </c>
      <c r="V397">
        <f>IFERROR(SEARCH(search!$B$6,samples!#REF!,1),0)</f>
        <v>0</v>
      </c>
      <c r="W397" t="e">
        <f>IF(samples!#REF!=0,"",samples!#REF!)</f>
        <v>#REF!</v>
      </c>
      <c r="X397">
        <f>IFERROR(SEARCH(search!$B$6,samples!#REF!,1),0)</f>
        <v>0</v>
      </c>
      <c r="Y397" t="e">
        <f>IF(samples!#REF!=0,"",samples!#REF!)</f>
        <v>#REF!</v>
      </c>
      <c r="Z397">
        <f>IFERROR(SEARCH(search!$B$6,samples!#REF!,1),0)</f>
        <v>0</v>
      </c>
      <c r="AA397" t="e">
        <f>IF(samples!#REF!=0,"",samples!#REF!)</f>
        <v>#REF!</v>
      </c>
      <c r="AB397">
        <f>IFERROR(SEARCH(search!$B$6,samples!#REF!,1),0)</f>
        <v>0</v>
      </c>
      <c r="AC397" t="e">
        <f>IF(samples!#REF!=0,"",samples!#REF!)</f>
        <v>#REF!</v>
      </c>
      <c r="AD397">
        <f>IFERROR(SEARCH(search!$B$6,samples!#REF!,1),0)</f>
        <v>0</v>
      </c>
    </row>
    <row r="398" spans="1:30">
      <c r="A398">
        <f t="shared" si="6"/>
        <v>0</v>
      </c>
      <c r="B398">
        <f>IF(SUM(D398,F398,H398,J398,L398,N398,P398,R398,T398,V398,X398,Z398,AB398,AD398)&gt;0,SUM($A$2:A398),0)</f>
        <v>0</v>
      </c>
      <c r="C398" t="e">
        <f>samples!#REF!</f>
        <v>#REF!</v>
      </c>
      <c r="D398">
        <f>IFERROR(SEARCH(search!$B$6,samples!#REF!,1),0)</f>
        <v>0</v>
      </c>
      <c r="E398" t="e">
        <f>IF(samples!#REF!=0,"",samples!#REF!)</f>
        <v>#REF!</v>
      </c>
      <c r="F398">
        <f>IFERROR(SEARCH(search!$B$6,samples!#REF!,1),0)</f>
        <v>0</v>
      </c>
      <c r="G398" t="e">
        <f>IF(samples!#REF!=0,"",samples!#REF!)</f>
        <v>#REF!</v>
      </c>
      <c r="H398">
        <f>IFERROR(SEARCH(search!$B$6,samples!#REF!,1),0)</f>
        <v>0</v>
      </c>
      <c r="I398" t="e">
        <f>IF(samples!#REF!=0,"",samples!#REF!)</f>
        <v>#REF!</v>
      </c>
      <c r="J398">
        <f>IFERROR(SEARCH(search!$B$6,samples!#REF!,1),0)</f>
        <v>0</v>
      </c>
      <c r="K398" t="e">
        <f>IF(samples!#REF!=0,"",samples!#REF!)</f>
        <v>#REF!</v>
      </c>
      <c r="L398">
        <f>IFERROR(SEARCH(search!$B$6,samples!#REF!,1),0)</f>
        <v>0</v>
      </c>
      <c r="M398" t="e">
        <f>IF(samples!#REF!=0,"",samples!#REF!)</f>
        <v>#REF!</v>
      </c>
      <c r="N398">
        <f>IFERROR(SEARCH(search!$B$6,samples!#REF!,1),0)</f>
        <v>0</v>
      </c>
      <c r="O398" t="e">
        <f>IF(samples!#REF!=0,"",samples!#REF!)</f>
        <v>#REF!</v>
      </c>
      <c r="P398">
        <f>IFERROR(SEARCH(search!$B$6,samples!#REF!,1),0)</f>
        <v>0</v>
      </c>
      <c r="Q398" t="e">
        <f>IF(samples!#REF!=0,"",samples!#REF!)</f>
        <v>#REF!</v>
      </c>
      <c r="R398">
        <f>IFERROR(SEARCH(search!$B$6,samples!#REF!,1),0)</f>
        <v>0</v>
      </c>
      <c r="S398" t="e">
        <f>IF(samples!#REF!=0,"",samples!#REF!)</f>
        <v>#REF!</v>
      </c>
      <c r="T398">
        <f>IFERROR(SEARCH(search!$B$6,samples!#REF!,1),0)</f>
        <v>0</v>
      </c>
      <c r="U398" t="e">
        <f>IF(samples!#REF!=0,"",samples!#REF!)</f>
        <v>#REF!</v>
      </c>
      <c r="V398">
        <f>IFERROR(SEARCH(search!$B$6,samples!#REF!,1),0)</f>
        <v>0</v>
      </c>
      <c r="W398" t="e">
        <f>IF(samples!#REF!=0,"",samples!#REF!)</f>
        <v>#REF!</v>
      </c>
      <c r="X398">
        <f>IFERROR(SEARCH(search!$B$6,samples!#REF!,1),0)</f>
        <v>0</v>
      </c>
      <c r="Y398" t="e">
        <f>IF(samples!#REF!=0,"",samples!#REF!)</f>
        <v>#REF!</v>
      </c>
      <c r="Z398">
        <f>IFERROR(SEARCH(search!$B$6,samples!#REF!,1),0)</f>
        <v>0</v>
      </c>
      <c r="AA398" t="e">
        <f>IF(samples!#REF!=0,"",samples!#REF!)</f>
        <v>#REF!</v>
      </c>
      <c r="AB398">
        <f>IFERROR(SEARCH(search!$B$6,samples!#REF!,1),0)</f>
        <v>0</v>
      </c>
      <c r="AC398" t="e">
        <f>IF(samples!#REF!=0,"",samples!#REF!)</f>
        <v>#REF!</v>
      </c>
      <c r="AD398">
        <f>IFERROR(SEARCH(search!$B$6,samples!#REF!,1),0)</f>
        <v>0</v>
      </c>
    </row>
    <row r="399" spans="1:30">
      <c r="A399">
        <f t="shared" si="6"/>
        <v>0</v>
      </c>
      <c r="B399">
        <f>IF(SUM(D399,F399,H399,J399,L399,N399,P399,R399,T399,V399,X399,Z399,AB399,AD399)&gt;0,SUM($A$2:A399),0)</f>
        <v>0</v>
      </c>
      <c r="C399" t="e">
        <f>samples!#REF!</f>
        <v>#REF!</v>
      </c>
      <c r="D399">
        <f>IFERROR(SEARCH(search!$B$6,samples!#REF!,1),0)</f>
        <v>0</v>
      </c>
      <c r="E399" t="e">
        <f>IF(samples!#REF!=0,"",samples!#REF!)</f>
        <v>#REF!</v>
      </c>
      <c r="F399">
        <f>IFERROR(SEARCH(search!$B$6,samples!#REF!,1),0)</f>
        <v>0</v>
      </c>
      <c r="G399" t="e">
        <f>IF(samples!#REF!=0,"",samples!#REF!)</f>
        <v>#REF!</v>
      </c>
      <c r="H399">
        <f>IFERROR(SEARCH(search!$B$6,samples!#REF!,1),0)</f>
        <v>0</v>
      </c>
      <c r="I399" t="e">
        <f>IF(samples!#REF!=0,"",samples!#REF!)</f>
        <v>#REF!</v>
      </c>
      <c r="J399">
        <f>IFERROR(SEARCH(search!$B$6,samples!#REF!,1),0)</f>
        <v>0</v>
      </c>
      <c r="K399" t="e">
        <f>IF(samples!#REF!=0,"",samples!#REF!)</f>
        <v>#REF!</v>
      </c>
      <c r="L399">
        <f>IFERROR(SEARCH(search!$B$6,samples!#REF!,1),0)</f>
        <v>0</v>
      </c>
      <c r="M399" t="e">
        <f>IF(samples!#REF!=0,"",samples!#REF!)</f>
        <v>#REF!</v>
      </c>
      <c r="N399">
        <f>IFERROR(SEARCH(search!$B$6,samples!#REF!,1),0)</f>
        <v>0</v>
      </c>
      <c r="O399" t="e">
        <f>IF(samples!#REF!=0,"",samples!#REF!)</f>
        <v>#REF!</v>
      </c>
      <c r="P399">
        <f>IFERROR(SEARCH(search!$B$6,samples!#REF!,1),0)</f>
        <v>0</v>
      </c>
      <c r="Q399" t="e">
        <f>IF(samples!#REF!=0,"",samples!#REF!)</f>
        <v>#REF!</v>
      </c>
      <c r="R399">
        <f>IFERROR(SEARCH(search!$B$6,samples!#REF!,1),0)</f>
        <v>0</v>
      </c>
      <c r="S399" t="e">
        <f>IF(samples!#REF!=0,"",samples!#REF!)</f>
        <v>#REF!</v>
      </c>
      <c r="T399">
        <f>IFERROR(SEARCH(search!$B$6,samples!#REF!,1),0)</f>
        <v>0</v>
      </c>
      <c r="U399" t="e">
        <f>IF(samples!#REF!=0,"",samples!#REF!)</f>
        <v>#REF!</v>
      </c>
      <c r="V399">
        <f>IFERROR(SEARCH(search!$B$6,samples!#REF!,1),0)</f>
        <v>0</v>
      </c>
      <c r="W399" t="e">
        <f>IF(samples!#REF!=0,"",samples!#REF!)</f>
        <v>#REF!</v>
      </c>
      <c r="X399">
        <f>IFERROR(SEARCH(search!$B$6,samples!#REF!,1),0)</f>
        <v>0</v>
      </c>
      <c r="Y399" t="e">
        <f>IF(samples!#REF!=0,"",samples!#REF!)</f>
        <v>#REF!</v>
      </c>
      <c r="Z399">
        <f>IFERROR(SEARCH(search!$B$6,samples!#REF!,1),0)</f>
        <v>0</v>
      </c>
      <c r="AA399" t="e">
        <f>IF(samples!#REF!=0,"",samples!#REF!)</f>
        <v>#REF!</v>
      </c>
      <c r="AB399">
        <f>IFERROR(SEARCH(search!$B$6,samples!#REF!,1),0)</f>
        <v>0</v>
      </c>
      <c r="AC399" t="e">
        <f>IF(samples!#REF!=0,"",samples!#REF!)</f>
        <v>#REF!</v>
      </c>
      <c r="AD399">
        <f>IFERROR(SEARCH(search!$B$6,samples!#REF!,1),0)</f>
        <v>0</v>
      </c>
    </row>
    <row r="400" spans="1:30">
      <c r="A400">
        <f t="shared" si="6"/>
        <v>0</v>
      </c>
      <c r="B400">
        <f>IF(SUM(D400,F400,H400,J400,L400,N400,P400,R400,T400,V400,X400,Z400,AB400,AD400)&gt;0,SUM($A$2:A400),0)</f>
        <v>0</v>
      </c>
      <c r="C400" t="e">
        <f>samples!#REF!</f>
        <v>#REF!</v>
      </c>
      <c r="D400">
        <f>IFERROR(SEARCH(search!$B$6,samples!#REF!,1),0)</f>
        <v>0</v>
      </c>
      <c r="E400" t="e">
        <f>IF(samples!#REF!=0,"",samples!#REF!)</f>
        <v>#REF!</v>
      </c>
      <c r="F400">
        <f>IFERROR(SEARCH(search!$B$6,samples!#REF!,1),0)</f>
        <v>0</v>
      </c>
      <c r="G400" t="e">
        <f>IF(samples!#REF!=0,"",samples!#REF!)</f>
        <v>#REF!</v>
      </c>
      <c r="H400">
        <f>IFERROR(SEARCH(search!$B$6,samples!#REF!,1),0)</f>
        <v>0</v>
      </c>
      <c r="I400" t="e">
        <f>IF(samples!#REF!=0,"",samples!#REF!)</f>
        <v>#REF!</v>
      </c>
      <c r="J400">
        <f>IFERROR(SEARCH(search!$B$6,samples!#REF!,1),0)</f>
        <v>0</v>
      </c>
      <c r="K400" t="e">
        <f>IF(samples!#REF!=0,"",samples!#REF!)</f>
        <v>#REF!</v>
      </c>
      <c r="L400">
        <f>IFERROR(SEARCH(search!$B$6,samples!#REF!,1),0)</f>
        <v>0</v>
      </c>
      <c r="M400" t="e">
        <f>IF(samples!#REF!=0,"",samples!#REF!)</f>
        <v>#REF!</v>
      </c>
      <c r="N400">
        <f>IFERROR(SEARCH(search!$B$6,samples!#REF!,1),0)</f>
        <v>0</v>
      </c>
      <c r="O400" t="e">
        <f>IF(samples!#REF!=0,"",samples!#REF!)</f>
        <v>#REF!</v>
      </c>
      <c r="P400">
        <f>IFERROR(SEARCH(search!$B$6,samples!#REF!,1),0)</f>
        <v>0</v>
      </c>
      <c r="Q400" t="e">
        <f>IF(samples!#REF!=0,"",samples!#REF!)</f>
        <v>#REF!</v>
      </c>
      <c r="R400">
        <f>IFERROR(SEARCH(search!$B$6,samples!#REF!,1),0)</f>
        <v>0</v>
      </c>
      <c r="S400" t="e">
        <f>IF(samples!#REF!=0,"",samples!#REF!)</f>
        <v>#REF!</v>
      </c>
      <c r="T400">
        <f>IFERROR(SEARCH(search!$B$6,samples!#REF!,1),0)</f>
        <v>0</v>
      </c>
      <c r="U400" t="e">
        <f>IF(samples!#REF!=0,"",samples!#REF!)</f>
        <v>#REF!</v>
      </c>
      <c r="V400">
        <f>IFERROR(SEARCH(search!$B$6,samples!#REF!,1),0)</f>
        <v>0</v>
      </c>
      <c r="W400" t="e">
        <f>IF(samples!#REF!=0,"",samples!#REF!)</f>
        <v>#REF!</v>
      </c>
      <c r="X400">
        <f>IFERROR(SEARCH(search!$B$6,samples!#REF!,1),0)</f>
        <v>0</v>
      </c>
      <c r="Y400" t="e">
        <f>IF(samples!#REF!=0,"",samples!#REF!)</f>
        <v>#REF!</v>
      </c>
      <c r="Z400">
        <f>IFERROR(SEARCH(search!$B$6,samples!#REF!,1),0)</f>
        <v>0</v>
      </c>
      <c r="AA400" t="e">
        <f>IF(samples!#REF!=0,"",samples!#REF!)</f>
        <v>#REF!</v>
      </c>
      <c r="AB400">
        <f>IFERROR(SEARCH(search!$B$6,samples!#REF!,1),0)</f>
        <v>0</v>
      </c>
      <c r="AC400" t="e">
        <f>IF(samples!#REF!=0,"",samples!#REF!)</f>
        <v>#REF!</v>
      </c>
      <c r="AD400">
        <f>IFERROR(SEARCH(search!$B$6,samples!#REF!,1),0)</f>
        <v>0</v>
      </c>
    </row>
    <row r="401" spans="1:30">
      <c r="A401">
        <f t="shared" si="6"/>
        <v>0</v>
      </c>
      <c r="B401">
        <f>IF(SUM(D401,F401,H401,J401,L401,N401,P401,R401,T401,V401,X401,Z401,AB401,AD401)&gt;0,SUM($A$2:A401),0)</f>
        <v>0</v>
      </c>
      <c r="C401" t="e">
        <f>samples!#REF!</f>
        <v>#REF!</v>
      </c>
      <c r="D401">
        <f>IFERROR(SEARCH(search!$B$6,samples!#REF!,1),0)</f>
        <v>0</v>
      </c>
      <c r="E401" t="e">
        <f>IF(samples!#REF!=0,"",samples!#REF!)</f>
        <v>#REF!</v>
      </c>
      <c r="F401">
        <f>IFERROR(SEARCH(search!$B$6,samples!#REF!,1),0)</f>
        <v>0</v>
      </c>
      <c r="G401" t="e">
        <f>IF(samples!#REF!=0,"",samples!#REF!)</f>
        <v>#REF!</v>
      </c>
      <c r="H401">
        <f>IFERROR(SEARCH(search!$B$6,samples!#REF!,1),0)</f>
        <v>0</v>
      </c>
      <c r="I401" t="e">
        <f>IF(samples!#REF!=0,"",samples!#REF!)</f>
        <v>#REF!</v>
      </c>
      <c r="J401">
        <f>IFERROR(SEARCH(search!$B$6,samples!#REF!,1),0)</f>
        <v>0</v>
      </c>
      <c r="K401" t="e">
        <f>IF(samples!#REF!=0,"",samples!#REF!)</f>
        <v>#REF!</v>
      </c>
      <c r="L401">
        <f>IFERROR(SEARCH(search!$B$6,samples!#REF!,1),0)</f>
        <v>0</v>
      </c>
      <c r="M401" t="e">
        <f>IF(samples!#REF!=0,"",samples!#REF!)</f>
        <v>#REF!</v>
      </c>
      <c r="N401">
        <f>IFERROR(SEARCH(search!$B$6,samples!#REF!,1),0)</f>
        <v>0</v>
      </c>
      <c r="O401" t="e">
        <f>IF(samples!#REF!=0,"",samples!#REF!)</f>
        <v>#REF!</v>
      </c>
      <c r="P401">
        <f>IFERROR(SEARCH(search!$B$6,samples!#REF!,1),0)</f>
        <v>0</v>
      </c>
      <c r="Q401" t="e">
        <f>IF(samples!#REF!=0,"",samples!#REF!)</f>
        <v>#REF!</v>
      </c>
      <c r="R401">
        <f>IFERROR(SEARCH(search!$B$6,samples!#REF!,1),0)</f>
        <v>0</v>
      </c>
      <c r="S401" t="e">
        <f>IF(samples!#REF!=0,"",samples!#REF!)</f>
        <v>#REF!</v>
      </c>
      <c r="T401">
        <f>IFERROR(SEARCH(search!$B$6,samples!#REF!,1),0)</f>
        <v>0</v>
      </c>
      <c r="U401" t="e">
        <f>IF(samples!#REF!=0,"",samples!#REF!)</f>
        <v>#REF!</v>
      </c>
      <c r="V401">
        <f>IFERROR(SEARCH(search!$B$6,samples!#REF!,1),0)</f>
        <v>0</v>
      </c>
      <c r="W401" t="e">
        <f>IF(samples!#REF!=0,"",samples!#REF!)</f>
        <v>#REF!</v>
      </c>
      <c r="X401">
        <f>IFERROR(SEARCH(search!$B$6,samples!#REF!,1),0)</f>
        <v>0</v>
      </c>
      <c r="Y401" t="e">
        <f>IF(samples!#REF!=0,"",samples!#REF!)</f>
        <v>#REF!</v>
      </c>
      <c r="Z401">
        <f>IFERROR(SEARCH(search!$B$6,samples!#REF!,1),0)</f>
        <v>0</v>
      </c>
      <c r="AA401" t="e">
        <f>IF(samples!#REF!=0,"",samples!#REF!)</f>
        <v>#REF!</v>
      </c>
      <c r="AB401">
        <f>IFERROR(SEARCH(search!$B$6,samples!#REF!,1),0)</f>
        <v>0</v>
      </c>
      <c r="AC401" t="e">
        <f>IF(samples!#REF!=0,"",samples!#REF!)</f>
        <v>#REF!</v>
      </c>
      <c r="AD401">
        <f>IFERROR(SEARCH(search!$B$6,samples!#REF!,1),0)</f>
        <v>0</v>
      </c>
    </row>
    <row r="402" spans="1:30">
      <c r="A402">
        <f t="shared" si="6"/>
        <v>0</v>
      </c>
      <c r="B402">
        <f>IF(SUM(D402,F402,H402,J402,L402,N402,P402,R402,T402,V402,X402,Z402,AB402,AD402)&gt;0,SUM($A$2:A402),0)</f>
        <v>0</v>
      </c>
      <c r="C402" t="e">
        <f>samples!#REF!</f>
        <v>#REF!</v>
      </c>
      <c r="D402">
        <f>IFERROR(SEARCH(search!$B$6,samples!#REF!,1),0)</f>
        <v>0</v>
      </c>
      <c r="E402" t="e">
        <f>IF(samples!#REF!=0,"",samples!#REF!)</f>
        <v>#REF!</v>
      </c>
      <c r="F402">
        <f>IFERROR(SEARCH(search!$B$6,samples!#REF!,1),0)</f>
        <v>0</v>
      </c>
      <c r="G402" t="e">
        <f>IF(samples!#REF!=0,"",samples!#REF!)</f>
        <v>#REF!</v>
      </c>
      <c r="H402">
        <f>IFERROR(SEARCH(search!$B$6,samples!#REF!,1),0)</f>
        <v>0</v>
      </c>
      <c r="I402" t="e">
        <f>IF(samples!#REF!=0,"",samples!#REF!)</f>
        <v>#REF!</v>
      </c>
      <c r="J402">
        <f>IFERROR(SEARCH(search!$B$6,samples!#REF!,1),0)</f>
        <v>0</v>
      </c>
      <c r="K402" t="e">
        <f>IF(samples!#REF!=0,"",samples!#REF!)</f>
        <v>#REF!</v>
      </c>
      <c r="L402">
        <f>IFERROR(SEARCH(search!$B$6,samples!#REF!,1),0)</f>
        <v>0</v>
      </c>
      <c r="M402" t="e">
        <f>IF(samples!#REF!=0,"",samples!#REF!)</f>
        <v>#REF!</v>
      </c>
      <c r="N402">
        <f>IFERROR(SEARCH(search!$B$6,samples!#REF!,1),0)</f>
        <v>0</v>
      </c>
      <c r="O402" t="e">
        <f>IF(samples!#REF!=0,"",samples!#REF!)</f>
        <v>#REF!</v>
      </c>
      <c r="P402">
        <f>IFERROR(SEARCH(search!$B$6,samples!#REF!,1),0)</f>
        <v>0</v>
      </c>
      <c r="Q402" t="e">
        <f>IF(samples!#REF!=0,"",samples!#REF!)</f>
        <v>#REF!</v>
      </c>
      <c r="R402">
        <f>IFERROR(SEARCH(search!$B$6,samples!#REF!,1),0)</f>
        <v>0</v>
      </c>
      <c r="S402" t="e">
        <f>IF(samples!#REF!=0,"",samples!#REF!)</f>
        <v>#REF!</v>
      </c>
      <c r="T402">
        <f>IFERROR(SEARCH(search!$B$6,samples!#REF!,1),0)</f>
        <v>0</v>
      </c>
      <c r="U402" t="e">
        <f>IF(samples!#REF!=0,"",samples!#REF!)</f>
        <v>#REF!</v>
      </c>
      <c r="V402">
        <f>IFERROR(SEARCH(search!$B$6,samples!#REF!,1),0)</f>
        <v>0</v>
      </c>
      <c r="W402" t="e">
        <f>IF(samples!#REF!=0,"",samples!#REF!)</f>
        <v>#REF!</v>
      </c>
      <c r="X402">
        <f>IFERROR(SEARCH(search!$B$6,samples!#REF!,1),0)</f>
        <v>0</v>
      </c>
      <c r="Y402" t="e">
        <f>IF(samples!#REF!=0,"",samples!#REF!)</f>
        <v>#REF!</v>
      </c>
      <c r="Z402">
        <f>IFERROR(SEARCH(search!$B$6,samples!#REF!,1),0)</f>
        <v>0</v>
      </c>
      <c r="AA402" t="e">
        <f>IF(samples!#REF!=0,"",samples!#REF!)</f>
        <v>#REF!</v>
      </c>
      <c r="AB402">
        <f>IFERROR(SEARCH(search!$B$6,samples!#REF!,1),0)</f>
        <v>0</v>
      </c>
      <c r="AC402" t="e">
        <f>IF(samples!#REF!=0,"",samples!#REF!)</f>
        <v>#REF!</v>
      </c>
      <c r="AD402">
        <f>IFERROR(SEARCH(search!$B$6,samples!#REF!,1),0)</f>
        <v>0</v>
      </c>
    </row>
    <row r="403" spans="1:30">
      <c r="A403">
        <f t="shared" si="6"/>
        <v>0</v>
      </c>
      <c r="B403">
        <f>IF(SUM(D403,F403,H403,J403,L403,N403,P403,R403,T403,V403,X403,Z403,AB403,AD403)&gt;0,SUM($A$2:A403),0)</f>
        <v>0</v>
      </c>
      <c r="C403" t="e">
        <f>samples!#REF!</f>
        <v>#REF!</v>
      </c>
      <c r="D403">
        <f>IFERROR(SEARCH(search!$B$6,samples!#REF!,1),0)</f>
        <v>0</v>
      </c>
      <c r="E403" t="e">
        <f>IF(samples!#REF!=0,"",samples!#REF!)</f>
        <v>#REF!</v>
      </c>
      <c r="F403">
        <f>IFERROR(SEARCH(search!$B$6,samples!#REF!,1),0)</f>
        <v>0</v>
      </c>
      <c r="G403" t="e">
        <f>IF(samples!#REF!=0,"",samples!#REF!)</f>
        <v>#REF!</v>
      </c>
      <c r="H403">
        <f>IFERROR(SEARCH(search!$B$6,samples!#REF!,1),0)</f>
        <v>0</v>
      </c>
      <c r="I403" t="e">
        <f>IF(samples!#REF!=0,"",samples!#REF!)</f>
        <v>#REF!</v>
      </c>
      <c r="J403">
        <f>IFERROR(SEARCH(search!$B$6,samples!#REF!,1),0)</f>
        <v>0</v>
      </c>
      <c r="K403" t="e">
        <f>IF(samples!#REF!=0,"",samples!#REF!)</f>
        <v>#REF!</v>
      </c>
      <c r="L403">
        <f>IFERROR(SEARCH(search!$B$6,samples!#REF!,1),0)</f>
        <v>0</v>
      </c>
      <c r="M403" t="e">
        <f>IF(samples!#REF!=0,"",samples!#REF!)</f>
        <v>#REF!</v>
      </c>
      <c r="N403">
        <f>IFERROR(SEARCH(search!$B$6,samples!#REF!,1),0)</f>
        <v>0</v>
      </c>
      <c r="O403" t="e">
        <f>IF(samples!#REF!=0,"",samples!#REF!)</f>
        <v>#REF!</v>
      </c>
      <c r="P403">
        <f>IFERROR(SEARCH(search!$B$6,samples!#REF!,1),0)</f>
        <v>0</v>
      </c>
      <c r="Q403" t="e">
        <f>IF(samples!#REF!=0,"",samples!#REF!)</f>
        <v>#REF!</v>
      </c>
      <c r="R403">
        <f>IFERROR(SEARCH(search!$B$6,samples!#REF!,1),0)</f>
        <v>0</v>
      </c>
      <c r="S403" t="e">
        <f>IF(samples!#REF!=0,"",samples!#REF!)</f>
        <v>#REF!</v>
      </c>
      <c r="T403">
        <f>IFERROR(SEARCH(search!$B$6,samples!#REF!,1),0)</f>
        <v>0</v>
      </c>
      <c r="U403" t="e">
        <f>IF(samples!#REF!=0,"",samples!#REF!)</f>
        <v>#REF!</v>
      </c>
      <c r="V403">
        <f>IFERROR(SEARCH(search!$B$6,samples!#REF!,1),0)</f>
        <v>0</v>
      </c>
      <c r="W403" t="e">
        <f>IF(samples!#REF!=0,"",samples!#REF!)</f>
        <v>#REF!</v>
      </c>
      <c r="X403">
        <f>IFERROR(SEARCH(search!$B$6,samples!#REF!,1),0)</f>
        <v>0</v>
      </c>
      <c r="Y403" t="e">
        <f>IF(samples!#REF!=0,"",samples!#REF!)</f>
        <v>#REF!</v>
      </c>
      <c r="Z403">
        <f>IFERROR(SEARCH(search!$B$6,samples!#REF!,1),0)</f>
        <v>0</v>
      </c>
      <c r="AA403" t="e">
        <f>IF(samples!#REF!=0,"",samples!#REF!)</f>
        <v>#REF!</v>
      </c>
      <c r="AB403">
        <f>IFERROR(SEARCH(search!$B$6,samples!#REF!,1),0)</f>
        <v>0</v>
      </c>
      <c r="AC403" t="e">
        <f>IF(samples!#REF!=0,"",samples!#REF!)</f>
        <v>#REF!</v>
      </c>
      <c r="AD403">
        <f>IFERROR(SEARCH(search!$B$6,samples!#REF!,1),0)</f>
        <v>0</v>
      </c>
    </row>
    <row r="404" spans="1:30">
      <c r="A404">
        <f t="shared" si="6"/>
        <v>0</v>
      </c>
      <c r="B404">
        <f>IF(SUM(D404,F404,H404,J404,L404,N404,P404,R404,T404,V404,X404,Z404,AB404,AD404)&gt;0,SUM($A$2:A404),0)</f>
        <v>0</v>
      </c>
      <c r="C404" t="e">
        <f>samples!#REF!</f>
        <v>#REF!</v>
      </c>
      <c r="D404">
        <f>IFERROR(SEARCH(search!$B$6,samples!#REF!,1),0)</f>
        <v>0</v>
      </c>
      <c r="E404" t="e">
        <f>IF(samples!#REF!=0,"",samples!#REF!)</f>
        <v>#REF!</v>
      </c>
      <c r="F404">
        <f>IFERROR(SEARCH(search!$B$6,samples!#REF!,1),0)</f>
        <v>0</v>
      </c>
      <c r="G404" t="e">
        <f>IF(samples!#REF!=0,"",samples!#REF!)</f>
        <v>#REF!</v>
      </c>
      <c r="H404">
        <f>IFERROR(SEARCH(search!$B$6,samples!#REF!,1),0)</f>
        <v>0</v>
      </c>
      <c r="I404" t="e">
        <f>IF(samples!#REF!=0,"",samples!#REF!)</f>
        <v>#REF!</v>
      </c>
      <c r="J404">
        <f>IFERROR(SEARCH(search!$B$6,samples!#REF!,1),0)</f>
        <v>0</v>
      </c>
      <c r="K404" t="e">
        <f>IF(samples!#REF!=0,"",samples!#REF!)</f>
        <v>#REF!</v>
      </c>
      <c r="L404">
        <f>IFERROR(SEARCH(search!$B$6,samples!#REF!,1),0)</f>
        <v>0</v>
      </c>
      <c r="M404" t="e">
        <f>IF(samples!#REF!=0,"",samples!#REF!)</f>
        <v>#REF!</v>
      </c>
      <c r="N404">
        <f>IFERROR(SEARCH(search!$B$6,samples!#REF!,1),0)</f>
        <v>0</v>
      </c>
      <c r="O404" t="e">
        <f>IF(samples!#REF!=0,"",samples!#REF!)</f>
        <v>#REF!</v>
      </c>
      <c r="P404">
        <f>IFERROR(SEARCH(search!$B$6,samples!#REF!,1),0)</f>
        <v>0</v>
      </c>
      <c r="Q404" t="e">
        <f>IF(samples!#REF!=0,"",samples!#REF!)</f>
        <v>#REF!</v>
      </c>
      <c r="R404">
        <f>IFERROR(SEARCH(search!$B$6,samples!#REF!,1),0)</f>
        <v>0</v>
      </c>
      <c r="S404" t="e">
        <f>IF(samples!#REF!=0,"",samples!#REF!)</f>
        <v>#REF!</v>
      </c>
      <c r="T404">
        <f>IFERROR(SEARCH(search!$B$6,samples!#REF!,1),0)</f>
        <v>0</v>
      </c>
      <c r="U404" t="e">
        <f>IF(samples!#REF!=0,"",samples!#REF!)</f>
        <v>#REF!</v>
      </c>
      <c r="V404">
        <f>IFERROR(SEARCH(search!$B$6,samples!#REF!,1),0)</f>
        <v>0</v>
      </c>
      <c r="W404" t="e">
        <f>IF(samples!#REF!=0,"",samples!#REF!)</f>
        <v>#REF!</v>
      </c>
      <c r="X404">
        <f>IFERROR(SEARCH(search!$B$6,samples!#REF!,1),0)</f>
        <v>0</v>
      </c>
      <c r="Y404" t="e">
        <f>IF(samples!#REF!=0,"",samples!#REF!)</f>
        <v>#REF!</v>
      </c>
      <c r="Z404">
        <f>IFERROR(SEARCH(search!$B$6,samples!#REF!,1),0)</f>
        <v>0</v>
      </c>
      <c r="AA404" t="e">
        <f>IF(samples!#REF!=0,"",samples!#REF!)</f>
        <v>#REF!</v>
      </c>
      <c r="AB404">
        <f>IFERROR(SEARCH(search!$B$6,samples!#REF!,1),0)</f>
        <v>0</v>
      </c>
      <c r="AC404" t="e">
        <f>IF(samples!#REF!=0,"",samples!#REF!)</f>
        <v>#REF!</v>
      </c>
      <c r="AD404">
        <f>IFERROR(SEARCH(search!$B$6,samples!#REF!,1),0)</f>
        <v>0</v>
      </c>
    </row>
    <row r="405" spans="1:30">
      <c r="A405">
        <f t="shared" si="6"/>
        <v>0</v>
      </c>
      <c r="B405">
        <f>IF(SUM(D405,F405,H405,J405,L405,N405,P405,R405,T405,V405,X405,Z405,AB405,AD405)&gt;0,SUM($A$2:A405),0)</f>
        <v>0</v>
      </c>
      <c r="C405" t="e">
        <f>samples!#REF!</f>
        <v>#REF!</v>
      </c>
      <c r="D405">
        <f>IFERROR(SEARCH(search!$B$6,samples!#REF!,1),0)</f>
        <v>0</v>
      </c>
      <c r="E405" t="e">
        <f>IF(samples!#REF!=0,"",samples!#REF!)</f>
        <v>#REF!</v>
      </c>
      <c r="F405">
        <f>IFERROR(SEARCH(search!$B$6,samples!#REF!,1),0)</f>
        <v>0</v>
      </c>
      <c r="G405" t="e">
        <f>IF(samples!#REF!=0,"",samples!#REF!)</f>
        <v>#REF!</v>
      </c>
      <c r="H405">
        <f>IFERROR(SEARCH(search!$B$6,samples!#REF!,1),0)</f>
        <v>0</v>
      </c>
      <c r="I405" t="e">
        <f>IF(samples!#REF!=0,"",samples!#REF!)</f>
        <v>#REF!</v>
      </c>
      <c r="J405">
        <f>IFERROR(SEARCH(search!$B$6,samples!#REF!,1),0)</f>
        <v>0</v>
      </c>
      <c r="K405" t="e">
        <f>IF(samples!#REF!=0,"",samples!#REF!)</f>
        <v>#REF!</v>
      </c>
      <c r="L405">
        <f>IFERROR(SEARCH(search!$B$6,samples!#REF!,1),0)</f>
        <v>0</v>
      </c>
      <c r="M405" t="e">
        <f>IF(samples!#REF!=0,"",samples!#REF!)</f>
        <v>#REF!</v>
      </c>
      <c r="N405">
        <f>IFERROR(SEARCH(search!$B$6,samples!#REF!,1),0)</f>
        <v>0</v>
      </c>
      <c r="O405" t="e">
        <f>IF(samples!#REF!=0,"",samples!#REF!)</f>
        <v>#REF!</v>
      </c>
      <c r="P405">
        <f>IFERROR(SEARCH(search!$B$6,samples!#REF!,1),0)</f>
        <v>0</v>
      </c>
      <c r="Q405" t="e">
        <f>IF(samples!#REF!=0,"",samples!#REF!)</f>
        <v>#REF!</v>
      </c>
      <c r="R405">
        <f>IFERROR(SEARCH(search!$B$6,samples!#REF!,1),0)</f>
        <v>0</v>
      </c>
      <c r="S405" t="e">
        <f>IF(samples!#REF!=0,"",samples!#REF!)</f>
        <v>#REF!</v>
      </c>
      <c r="T405">
        <f>IFERROR(SEARCH(search!$B$6,samples!#REF!,1),0)</f>
        <v>0</v>
      </c>
      <c r="U405" t="e">
        <f>IF(samples!#REF!=0,"",samples!#REF!)</f>
        <v>#REF!</v>
      </c>
      <c r="V405">
        <f>IFERROR(SEARCH(search!$B$6,samples!#REF!,1),0)</f>
        <v>0</v>
      </c>
      <c r="W405" t="e">
        <f>IF(samples!#REF!=0,"",samples!#REF!)</f>
        <v>#REF!</v>
      </c>
      <c r="X405">
        <f>IFERROR(SEARCH(search!$B$6,samples!#REF!,1),0)</f>
        <v>0</v>
      </c>
      <c r="Y405" t="e">
        <f>IF(samples!#REF!=0,"",samples!#REF!)</f>
        <v>#REF!</v>
      </c>
      <c r="Z405">
        <f>IFERROR(SEARCH(search!$B$6,samples!#REF!,1),0)</f>
        <v>0</v>
      </c>
      <c r="AA405" t="e">
        <f>IF(samples!#REF!=0,"",samples!#REF!)</f>
        <v>#REF!</v>
      </c>
      <c r="AB405">
        <f>IFERROR(SEARCH(search!$B$6,samples!#REF!,1),0)</f>
        <v>0</v>
      </c>
      <c r="AC405" t="e">
        <f>IF(samples!#REF!=0,"",samples!#REF!)</f>
        <v>#REF!</v>
      </c>
      <c r="AD405">
        <f>IFERROR(SEARCH(search!$B$6,samples!#REF!,1),0)</f>
        <v>0</v>
      </c>
    </row>
    <row r="406" spans="1:30">
      <c r="A406">
        <f t="shared" si="6"/>
        <v>0</v>
      </c>
      <c r="B406">
        <f>IF(SUM(D406,F406,H406,J406,L406,N406,P406,R406,T406,V406,X406,Z406,AB406,AD406)&gt;0,SUM($A$2:A406),0)</f>
        <v>0</v>
      </c>
      <c r="C406" t="e">
        <f>samples!#REF!</f>
        <v>#REF!</v>
      </c>
      <c r="D406">
        <f>IFERROR(SEARCH(search!$B$6,samples!#REF!,1),0)</f>
        <v>0</v>
      </c>
      <c r="E406" t="e">
        <f>IF(samples!#REF!=0,"",samples!#REF!)</f>
        <v>#REF!</v>
      </c>
      <c r="F406">
        <f>IFERROR(SEARCH(search!$B$6,samples!#REF!,1),0)</f>
        <v>0</v>
      </c>
      <c r="G406" t="e">
        <f>IF(samples!#REF!=0,"",samples!#REF!)</f>
        <v>#REF!</v>
      </c>
      <c r="H406">
        <f>IFERROR(SEARCH(search!$B$6,samples!#REF!,1),0)</f>
        <v>0</v>
      </c>
      <c r="I406" t="e">
        <f>IF(samples!#REF!=0,"",samples!#REF!)</f>
        <v>#REF!</v>
      </c>
      <c r="J406">
        <f>IFERROR(SEARCH(search!$B$6,samples!#REF!,1),0)</f>
        <v>0</v>
      </c>
      <c r="K406" t="e">
        <f>IF(samples!#REF!=0,"",samples!#REF!)</f>
        <v>#REF!</v>
      </c>
      <c r="L406">
        <f>IFERROR(SEARCH(search!$B$6,samples!#REF!,1),0)</f>
        <v>0</v>
      </c>
      <c r="M406" t="e">
        <f>IF(samples!#REF!=0,"",samples!#REF!)</f>
        <v>#REF!</v>
      </c>
      <c r="N406">
        <f>IFERROR(SEARCH(search!$B$6,samples!#REF!,1),0)</f>
        <v>0</v>
      </c>
      <c r="O406" t="e">
        <f>IF(samples!#REF!=0,"",samples!#REF!)</f>
        <v>#REF!</v>
      </c>
      <c r="P406">
        <f>IFERROR(SEARCH(search!$B$6,samples!#REF!,1),0)</f>
        <v>0</v>
      </c>
      <c r="Q406" t="e">
        <f>IF(samples!#REF!=0,"",samples!#REF!)</f>
        <v>#REF!</v>
      </c>
      <c r="R406">
        <f>IFERROR(SEARCH(search!$B$6,samples!#REF!,1),0)</f>
        <v>0</v>
      </c>
      <c r="S406" t="e">
        <f>IF(samples!#REF!=0,"",samples!#REF!)</f>
        <v>#REF!</v>
      </c>
      <c r="T406">
        <f>IFERROR(SEARCH(search!$B$6,samples!#REF!,1),0)</f>
        <v>0</v>
      </c>
      <c r="U406" t="e">
        <f>IF(samples!#REF!=0,"",samples!#REF!)</f>
        <v>#REF!</v>
      </c>
      <c r="V406">
        <f>IFERROR(SEARCH(search!$B$6,samples!#REF!,1),0)</f>
        <v>0</v>
      </c>
      <c r="W406" t="e">
        <f>IF(samples!#REF!=0,"",samples!#REF!)</f>
        <v>#REF!</v>
      </c>
      <c r="X406">
        <f>IFERROR(SEARCH(search!$B$6,samples!#REF!,1),0)</f>
        <v>0</v>
      </c>
      <c r="Y406" t="e">
        <f>IF(samples!#REF!=0,"",samples!#REF!)</f>
        <v>#REF!</v>
      </c>
      <c r="Z406">
        <f>IFERROR(SEARCH(search!$B$6,samples!#REF!,1),0)</f>
        <v>0</v>
      </c>
      <c r="AA406" t="e">
        <f>IF(samples!#REF!=0,"",samples!#REF!)</f>
        <v>#REF!</v>
      </c>
      <c r="AB406">
        <f>IFERROR(SEARCH(search!$B$6,samples!#REF!,1),0)</f>
        <v>0</v>
      </c>
      <c r="AC406" t="e">
        <f>IF(samples!#REF!=0,"",samples!#REF!)</f>
        <v>#REF!</v>
      </c>
      <c r="AD406">
        <f>IFERROR(SEARCH(search!$B$6,samples!#REF!,1),0)</f>
        <v>0</v>
      </c>
    </row>
    <row r="407" spans="1:30">
      <c r="A407">
        <f t="shared" si="6"/>
        <v>0</v>
      </c>
      <c r="B407">
        <f>IF(SUM(D407,F407,H407,J407,L407,N407,P407,R407,T407,V407,X407,Z407,AB407,AD407)&gt;0,SUM($A$2:A407),0)</f>
        <v>0</v>
      </c>
      <c r="C407" t="e">
        <f>samples!#REF!</f>
        <v>#REF!</v>
      </c>
      <c r="D407">
        <f>IFERROR(SEARCH(search!$B$6,samples!#REF!,1),0)</f>
        <v>0</v>
      </c>
      <c r="E407" t="e">
        <f>IF(samples!#REF!=0,"",samples!#REF!)</f>
        <v>#REF!</v>
      </c>
      <c r="F407">
        <f>IFERROR(SEARCH(search!$B$6,samples!#REF!,1),0)</f>
        <v>0</v>
      </c>
      <c r="G407" t="e">
        <f>IF(samples!#REF!=0,"",samples!#REF!)</f>
        <v>#REF!</v>
      </c>
      <c r="H407">
        <f>IFERROR(SEARCH(search!$B$6,samples!#REF!,1),0)</f>
        <v>0</v>
      </c>
      <c r="I407" t="e">
        <f>IF(samples!#REF!=0,"",samples!#REF!)</f>
        <v>#REF!</v>
      </c>
      <c r="J407">
        <f>IFERROR(SEARCH(search!$B$6,samples!#REF!,1),0)</f>
        <v>0</v>
      </c>
      <c r="K407" t="e">
        <f>IF(samples!#REF!=0,"",samples!#REF!)</f>
        <v>#REF!</v>
      </c>
      <c r="L407">
        <f>IFERROR(SEARCH(search!$B$6,samples!#REF!,1),0)</f>
        <v>0</v>
      </c>
      <c r="M407" t="e">
        <f>IF(samples!#REF!=0,"",samples!#REF!)</f>
        <v>#REF!</v>
      </c>
      <c r="N407">
        <f>IFERROR(SEARCH(search!$B$6,samples!#REF!,1),0)</f>
        <v>0</v>
      </c>
      <c r="O407" t="e">
        <f>IF(samples!#REF!=0,"",samples!#REF!)</f>
        <v>#REF!</v>
      </c>
      <c r="P407">
        <f>IFERROR(SEARCH(search!$B$6,samples!#REF!,1),0)</f>
        <v>0</v>
      </c>
      <c r="Q407" t="e">
        <f>IF(samples!#REF!=0,"",samples!#REF!)</f>
        <v>#REF!</v>
      </c>
      <c r="R407">
        <f>IFERROR(SEARCH(search!$B$6,samples!#REF!,1),0)</f>
        <v>0</v>
      </c>
      <c r="S407" t="e">
        <f>IF(samples!#REF!=0,"",samples!#REF!)</f>
        <v>#REF!</v>
      </c>
      <c r="T407">
        <f>IFERROR(SEARCH(search!$B$6,samples!#REF!,1),0)</f>
        <v>0</v>
      </c>
      <c r="U407" t="e">
        <f>IF(samples!#REF!=0,"",samples!#REF!)</f>
        <v>#REF!</v>
      </c>
      <c r="V407">
        <f>IFERROR(SEARCH(search!$B$6,samples!#REF!,1),0)</f>
        <v>0</v>
      </c>
      <c r="W407" t="e">
        <f>IF(samples!#REF!=0,"",samples!#REF!)</f>
        <v>#REF!</v>
      </c>
      <c r="X407">
        <f>IFERROR(SEARCH(search!$B$6,samples!#REF!,1),0)</f>
        <v>0</v>
      </c>
      <c r="Y407" t="e">
        <f>IF(samples!#REF!=0,"",samples!#REF!)</f>
        <v>#REF!</v>
      </c>
      <c r="Z407">
        <f>IFERROR(SEARCH(search!$B$6,samples!#REF!,1),0)</f>
        <v>0</v>
      </c>
      <c r="AA407" t="e">
        <f>IF(samples!#REF!=0,"",samples!#REF!)</f>
        <v>#REF!</v>
      </c>
      <c r="AB407">
        <f>IFERROR(SEARCH(search!$B$6,samples!#REF!,1),0)</f>
        <v>0</v>
      </c>
      <c r="AC407" t="e">
        <f>IF(samples!#REF!=0,"",samples!#REF!)</f>
        <v>#REF!</v>
      </c>
      <c r="AD407">
        <f>IFERROR(SEARCH(search!$B$6,samples!#REF!,1),0)</f>
        <v>0</v>
      </c>
    </row>
    <row r="408" spans="1:30">
      <c r="A408">
        <f t="shared" si="6"/>
        <v>0</v>
      </c>
      <c r="B408">
        <f>IF(SUM(D408,F408,H408,J408,L408,N408,P408,R408,T408,V408,X408,Z408,AB408,AD408)&gt;0,SUM($A$2:A408),0)</f>
        <v>0</v>
      </c>
      <c r="C408" t="e">
        <f>samples!#REF!</f>
        <v>#REF!</v>
      </c>
      <c r="D408">
        <f>IFERROR(SEARCH(search!$B$6,samples!#REF!,1),0)</f>
        <v>0</v>
      </c>
      <c r="E408" t="e">
        <f>IF(samples!#REF!=0,"",samples!#REF!)</f>
        <v>#REF!</v>
      </c>
      <c r="F408">
        <f>IFERROR(SEARCH(search!$B$6,samples!#REF!,1),0)</f>
        <v>0</v>
      </c>
      <c r="G408" t="e">
        <f>IF(samples!#REF!=0,"",samples!#REF!)</f>
        <v>#REF!</v>
      </c>
      <c r="H408">
        <f>IFERROR(SEARCH(search!$B$6,samples!#REF!,1),0)</f>
        <v>0</v>
      </c>
      <c r="I408" t="e">
        <f>IF(samples!#REF!=0,"",samples!#REF!)</f>
        <v>#REF!</v>
      </c>
      <c r="J408">
        <f>IFERROR(SEARCH(search!$B$6,samples!#REF!,1),0)</f>
        <v>0</v>
      </c>
      <c r="K408" t="e">
        <f>IF(samples!#REF!=0,"",samples!#REF!)</f>
        <v>#REF!</v>
      </c>
      <c r="L408">
        <f>IFERROR(SEARCH(search!$B$6,samples!#REF!,1),0)</f>
        <v>0</v>
      </c>
      <c r="M408" t="e">
        <f>IF(samples!#REF!=0,"",samples!#REF!)</f>
        <v>#REF!</v>
      </c>
      <c r="N408">
        <f>IFERROR(SEARCH(search!$B$6,samples!#REF!,1),0)</f>
        <v>0</v>
      </c>
      <c r="O408" t="e">
        <f>IF(samples!#REF!=0,"",samples!#REF!)</f>
        <v>#REF!</v>
      </c>
      <c r="P408">
        <f>IFERROR(SEARCH(search!$B$6,samples!#REF!,1),0)</f>
        <v>0</v>
      </c>
      <c r="Q408" t="e">
        <f>IF(samples!#REF!=0,"",samples!#REF!)</f>
        <v>#REF!</v>
      </c>
      <c r="R408">
        <f>IFERROR(SEARCH(search!$B$6,samples!#REF!,1),0)</f>
        <v>0</v>
      </c>
      <c r="S408" t="e">
        <f>IF(samples!#REF!=0,"",samples!#REF!)</f>
        <v>#REF!</v>
      </c>
      <c r="T408">
        <f>IFERROR(SEARCH(search!$B$6,samples!#REF!,1),0)</f>
        <v>0</v>
      </c>
      <c r="U408" t="e">
        <f>IF(samples!#REF!=0,"",samples!#REF!)</f>
        <v>#REF!</v>
      </c>
      <c r="V408">
        <f>IFERROR(SEARCH(search!$B$6,samples!#REF!,1),0)</f>
        <v>0</v>
      </c>
      <c r="W408" t="e">
        <f>IF(samples!#REF!=0,"",samples!#REF!)</f>
        <v>#REF!</v>
      </c>
      <c r="X408">
        <f>IFERROR(SEARCH(search!$B$6,samples!#REF!,1),0)</f>
        <v>0</v>
      </c>
      <c r="Y408" t="e">
        <f>IF(samples!#REF!=0,"",samples!#REF!)</f>
        <v>#REF!</v>
      </c>
      <c r="Z408">
        <f>IFERROR(SEARCH(search!$B$6,samples!#REF!,1),0)</f>
        <v>0</v>
      </c>
      <c r="AA408" t="e">
        <f>IF(samples!#REF!=0,"",samples!#REF!)</f>
        <v>#REF!</v>
      </c>
      <c r="AB408">
        <f>IFERROR(SEARCH(search!$B$6,samples!#REF!,1),0)</f>
        <v>0</v>
      </c>
      <c r="AC408" t="e">
        <f>IF(samples!#REF!=0,"",samples!#REF!)</f>
        <v>#REF!</v>
      </c>
      <c r="AD408">
        <f>IFERROR(SEARCH(search!$B$6,samples!#REF!,1),0)</f>
        <v>0</v>
      </c>
    </row>
    <row r="409" spans="1:30">
      <c r="A409">
        <f t="shared" si="6"/>
        <v>0</v>
      </c>
      <c r="B409">
        <f>IF(SUM(D409,F409,H409,J409,L409,N409,P409,R409,T409,V409,X409,Z409,AB409,AD409)&gt;0,SUM($A$2:A409),0)</f>
        <v>0</v>
      </c>
      <c r="C409" t="e">
        <f>samples!#REF!</f>
        <v>#REF!</v>
      </c>
      <c r="D409">
        <f>IFERROR(SEARCH(search!$B$6,samples!#REF!,1),0)</f>
        <v>0</v>
      </c>
      <c r="E409" t="e">
        <f>IF(samples!#REF!=0,"",samples!#REF!)</f>
        <v>#REF!</v>
      </c>
      <c r="F409">
        <f>IFERROR(SEARCH(search!$B$6,samples!#REF!,1),0)</f>
        <v>0</v>
      </c>
      <c r="G409" t="e">
        <f>IF(samples!#REF!=0,"",samples!#REF!)</f>
        <v>#REF!</v>
      </c>
      <c r="H409">
        <f>IFERROR(SEARCH(search!$B$6,samples!#REF!,1),0)</f>
        <v>0</v>
      </c>
      <c r="I409" t="e">
        <f>IF(samples!#REF!=0,"",samples!#REF!)</f>
        <v>#REF!</v>
      </c>
      <c r="J409">
        <f>IFERROR(SEARCH(search!$B$6,samples!#REF!,1),0)</f>
        <v>0</v>
      </c>
      <c r="K409" t="e">
        <f>IF(samples!#REF!=0,"",samples!#REF!)</f>
        <v>#REF!</v>
      </c>
      <c r="L409">
        <f>IFERROR(SEARCH(search!$B$6,samples!#REF!,1),0)</f>
        <v>0</v>
      </c>
      <c r="M409" t="e">
        <f>IF(samples!#REF!=0,"",samples!#REF!)</f>
        <v>#REF!</v>
      </c>
      <c r="N409">
        <f>IFERROR(SEARCH(search!$B$6,samples!#REF!,1),0)</f>
        <v>0</v>
      </c>
      <c r="O409" t="e">
        <f>IF(samples!#REF!=0,"",samples!#REF!)</f>
        <v>#REF!</v>
      </c>
      <c r="P409">
        <f>IFERROR(SEARCH(search!$B$6,samples!#REF!,1),0)</f>
        <v>0</v>
      </c>
      <c r="Q409" t="e">
        <f>IF(samples!#REF!=0,"",samples!#REF!)</f>
        <v>#REF!</v>
      </c>
      <c r="R409">
        <f>IFERROR(SEARCH(search!$B$6,samples!#REF!,1),0)</f>
        <v>0</v>
      </c>
      <c r="S409" t="e">
        <f>IF(samples!#REF!=0,"",samples!#REF!)</f>
        <v>#REF!</v>
      </c>
      <c r="T409">
        <f>IFERROR(SEARCH(search!$B$6,samples!#REF!,1),0)</f>
        <v>0</v>
      </c>
      <c r="U409" t="e">
        <f>IF(samples!#REF!=0,"",samples!#REF!)</f>
        <v>#REF!</v>
      </c>
      <c r="V409">
        <f>IFERROR(SEARCH(search!$B$6,samples!#REF!,1),0)</f>
        <v>0</v>
      </c>
      <c r="W409" t="e">
        <f>IF(samples!#REF!=0,"",samples!#REF!)</f>
        <v>#REF!</v>
      </c>
      <c r="X409">
        <f>IFERROR(SEARCH(search!$B$6,samples!#REF!,1),0)</f>
        <v>0</v>
      </c>
      <c r="Y409" t="e">
        <f>IF(samples!#REF!=0,"",samples!#REF!)</f>
        <v>#REF!</v>
      </c>
      <c r="Z409">
        <f>IFERROR(SEARCH(search!$B$6,samples!#REF!,1),0)</f>
        <v>0</v>
      </c>
      <c r="AA409" t="e">
        <f>IF(samples!#REF!=0,"",samples!#REF!)</f>
        <v>#REF!</v>
      </c>
      <c r="AB409">
        <f>IFERROR(SEARCH(search!$B$6,samples!#REF!,1),0)</f>
        <v>0</v>
      </c>
      <c r="AC409" t="e">
        <f>IF(samples!#REF!=0,"",samples!#REF!)</f>
        <v>#REF!</v>
      </c>
      <c r="AD409">
        <f>IFERROR(SEARCH(search!$B$6,samples!#REF!,1),0)</f>
        <v>0</v>
      </c>
    </row>
    <row r="410" spans="1:30">
      <c r="A410">
        <f t="shared" si="6"/>
        <v>0</v>
      </c>
      <c r="B410">
        <f>IF(SUM(D410,F410,H410,J410,L410,N410,P410,R410,T410,V410,X410,Z410,AB410,AD410)&gt;0,SUM($A$2:A410),0)</f>
        <v>0</v>
      </c>
      <c r="C410" t="e">
        <f>samples!#REF!</f>
        <v>#REF!</v>
      </c>
      <c r="D410">
        <f>IFERROR(SEARCH(search!$B$6,samples!#REF!,1),0)</f>
        <v>0</v>
      </c>
      <c r="E410" t="e">
        <f>IF(samples!#REF!=0,"",samples!#REF!)</f>
        <v>#REF!</v>
      </c>
      <c r="F410">
        <f>IFERROR(SEARCH(search!$B$6,samples!#REF!,1),0)</f>
        <v>0</v>
      </c>
      <c r="G410" t="e">
        <f>IF(samples!#REF!=0,"",samples!#REF!)</f>
        <v>#REF!</v>
      </c>
      <c r="H410">
        <f>IFERROR(SEARCH(search!$B$6,samples!#REF!,1),0)</f>
        <v>0</v>
      </c>
      <c r="I410" t="e">
        <f>IF(samples!#REF!=0,"",samples!#REF!)</f>
        <v>#REF!</v>
      </c>
      <c r="J410">
        <f>IFERROR(SEARCH(search!$B$6,samples!#REF!,1),0)</f>
        <v>0</v>
      </c>
      <c r="K410" t="e">
        <f>IF(samples!#REF!=0,"",samples!#REF!)</f>
        <v>#REF!</v>
      </c>
      <c r="L410">
        <f>IFERROR(SEARCH(search!$B$6,samples!#REF!,1),0)</f>
        <v>0</v>
      </c>
      <c r="M410" t="e">
        <f>IF(samples!#REF!=0,"",samples!#REF!)</f>
        <v>#REF!</v>
      </c>
      <c r="N410">
        <f>IFERROR(SEARCH(search!$B$6,samples!#REF!,1),0)</f>
        <v>0</v>
      </c>
      <c r="O410" t="e">
        <f>IF(samples!#REF!=0,"",samples!#REF!)</f>
        <v>#REF!</v>
      </c>
      <c r="P410">
        <f>IFERROR(SEARCH(search!$B$6,samples!#REF!,1),0)</f>
        <v>0</v>
      </c>
      <c r="Q410" t="e">
        <f>IF(samples!#REF!=0,"",samples!#REF!)</f>
        <v>#REF!</v>
      </c>
      <c r="R410">
        <f>IFERROR(SEARCH(search!$B$6,samples!#REF!,1),0)</f>
        <v>0</v>
      </c>
      <c r="S410" t="e">
        <f>IF(samples!#REF!=0,"",samples!#REF!)</f>
        <v>#REF!</v>
      </c>
      <c r="T410">
        <f>IFERROR(SEARCH(search!$B$6,samples!#REF!,1),0)</f>
        <v>0</v>
      </c>
      <c r="U410" t="e">
        <f>IF(samples!#REF!=0,"",samples!#REF!)</f>
        <v>#REF!</v>
      </c>
      <c r="V410">
        <f>IFERROR(SEARCH(search!$B$6,samples!#REF!,1),0)</f>
        <v>0</v>
      </c>
      <c r="W410" t="e">
        <f>IF(samples!#REF!=0,"",samples!#REF!)</f>
        <v>#REF!</v>
      </c>
      <c r="X410">
        <f>IFERROR(SEARCH(search!$B$6,samples!#REF!,1),0)</f>
        <v>0</v>
      </c>
      <c r="Y410" t="e">
        <f>IF(samples!#REF!=0,"",samples!#REF!)</f>
        <v>#REF!</v>
      </c>
      <c r="Z410">
        <f>IFERROR(SEARCH(search!$B$6,samples!#REF!,1),0)</f>
        <v>0</v>
      </c>
      <c r="AA410" t="e">
        <f>IF(samples!#REF!=0,"",samples!#REF!)</f>
        <v>#REF!</v>
      </c>
      <c r="AB410">
        <f>IFERROR(SEARCH(search!$B$6,samples!#REF!,1),0)</f>
        <v>0</v>
      </c>
      <c r="AC410" t="e">
        <f>IF(samples!#REF!=0,"",samples!#REF!)</f>
        <v>#REF!</v>
      </c>
      <c r="AD410">
        <f>IFERROR(SEARCH(search!$B$6,samples!#REF!,1),0)</f>
        <v>0</v>
      </c>
    </row>
    <row r="411" spans="1:30">
      <c r="A411">
        <f t="shared" si="6"/>
        <v>0</v>
      </c>
      <c r="B411">
        <f>IF(SUM(D411,F411,H411,J411,L411,N411,P411,R411,T411,V411,X411,Z411,AB411,AD411)&gt;0,SUM($A$2:A411),0)</f>
        <v>0</v>
      </c>
      <c r="C411" t="e">
        <f>samples!#REF!</f>
        <v>#REF!</v>
      </c>
      <c r="D411">
        <f>IFERROR(SEARCH(search!$B$6,samples!#REF!,1),0)</f>
        <v>0</v>
      </c>
      <c r="E411" t="e">
        <f>IF(samples!#REF!=0,"",samples!#REF!)</f>
        <v>#REF!</v>
      </c>
      <c r="F411">
        <f>IFERROR(SEARCH(search!$B$6,samples!#REF!,1),0)</f>
        <v>0</v>
      </c>
      <c r="G411" t="e">
        <f>IF(samples!#REF!=0,"",samples!#REF!)</f>
        <v>#REF!</v>
      </c>
      <c r="H411">
        <f>IFERROR(SEARCH(search!$B$6,samples!#REF!,1),0)</f>
        <v>0</v>
      </c>
      <c r="I411" t="e">
        <f>IF(samples!#REF!=0,"",samples!#REF!)</f>
        <v>#REF!</v>
      </c>
      <c r="J411">
        <f>IFERROR(SEARCH(search!$B$6,samples!#REF!,1),0)</f>
        <v>0</v>
      </c>
      <c r="K411" t="e">
        <f>IF(samples!#REF!=0,"",samples!#REF!)</f>
        <v>#REF!</v>
      </c>
      <c r="L411">
        <f>IFERROR(SEARCH(search!$B$6,samples!#REF!,1),0)</f>
        <v>0</v>
      </c>
      <c r="M411" t="e">
        <f>IF(samples!#REF!=0,"",samples!#REF!)</f>
        <v>#REF!</v>
      </c>
      <c r="N411">
        <f>IFERROR(SEARCH(search!$B$6,samples!#REF!,1),0)</f>
        <v>0</v>
      </c>
      <c r="O411" t="e">
        <f>IF(samples!#REF!=0,"",samples!#REF!)</f>
        <v>#REF!</v>
      </c>
      <c r="P411">
        <f>IFERROR(SEARCH(search!$B$6,samples!#REF!,1),0)</f>
        <v>0</v>
      </c>
      <c r="Q411" t="e">
        <f>IF(samples!#REF!=0,"",samples!#REF!)</f>
        <v>#REF!</v>
      </c>
      <c r="R411">
        <f>IFERROR(SEARCH(search!$B$6,samples!#REF!,1),0)</f>
        <v>0</v>
      </c>
      <c r="S411" t="e">
        <f>IF(samples!#REF!=0,"",samples!#REF!)</f>
        <v>#REF!</v>
      </c>
      <c r="T411">
        <f>IFERROR(SEARCH(search!$B$6,samples!#REF!,1),0)</f>
        <v>0</v>
      </c>
      <c r="U411" t="e">
        <f>IF(samples!#REF!=0,"",samples!#REF!)</f>
        <v>#REF!</v>
      </c>
      <c r="V411">
        <f>IFERROR(SEARCH(search!$B$6,samples!#REF!,1),0)</f>
        <v>0</v>
      </c>
      <c r="W411" t="e">
        <f>IF(samples!#REF!=0,"",samples!#REF!)</f>
        <v>#REF!</v>
      </c>
      <c r="X411">
        <f>IFERROR(SEARCH(search!$B$6,samples!#REF!,1),0)</f>
        <v>0</v>
      </c>
      <c r="Y411" t="e">
        <f>IF(samples!#REF!=0,"",samples!#REF!)</f>
        <v>#REF!</v>
      </c>
      <c r="Z411">
        <f>IFERROR(SEARCH(search!$B$6,samples!#REF!,1),0)</f>
        <v>0</v>
      </c>
      <c r="AA411" t="e">
        <f>IF(samples!#REF!=0,"",samples!#REF!)</f>
        <v>#REF!</v>
      </c>
      <c r="AB411">
        <f>IFERROR(SEARCH(search!$B$6,samples!#REF!,1),0)</f>
        <v>0</v>
      </c>
      <c r="AC411" t="e">
        <f>IF(samples!#REF!=0,"",samples!#REF!)</f>
        <v>#REF!</v>
      </c>
      <c r="AD411">
        <f>IFERROR(SEARCH(search!$B$6,samples!#REF!,1),0)</f>
        <v>0</v>
      </c>
    </row>
    <row r="412" spans="1:30">
      <c r="A412">
        <f t="shared" si="6"/>
        <v>0</v>
      </c>
      <c r="B412">
        <f>IF(SUM(D412,F412,H412,J412,L412,N412,P412,R412,T412,V412,X412,Z412,AB412,AD412)&gt;0,SUM($A$2:A412),0)</f>
        <v>0</v>
      </c>
      <c r="C412" t="e">
        <f>samples!#REF!</f>
        <v>#REF!</v>
      </c>
      <c r="D412">
        <f>IFERROR(SEARCH(search!$B$6,samples!#REF!,1),0)</f>
        <v>0</v>
      </c>
      <c r="E412" t="e">
        <f>IF(samples!#REF!=0,"",samples!#REF!)</f>
        <v>#REF!</v>
      </c>
      <c r="F412">
        <f>IFERROR(SEARCH(search!$B$6,samples!#REF!,1),0)</f>
        <v>0</v>
      </c>
      <c r="G412" t="e">
        <f>IF(samples!#REF!=0,"",samples!#REF!)</f>
        <v>#REF!</v>
      </c>
      <c r="H412">
        <f>IFERROR(SEARCH(search!$B$6,samples!#REF!,1),0)</f>
        <v>0</v>
      </c>
      <c r="I412" t="e">
        <f>IF(samples!#REF!=0,"",samples!#REF!)</f>
        <v>#REF!</v>
      </c>
      <c r="J412">
        <f>IFERROR(SEARCH(search!$B$6,samples!#REF!,1),0)</f>
        <v>0</v>
      </c>
      <c r="K412" t="e">
        <f>IF(samples!#REF!=0,"",samples!#REF!)</f>
        <v>#REF!</v>
      </c>
      <c r="L412">
        <f>IFERROR(SEARCH(search!$B$6,samples!#REF!,1),0)</f>
        <v>0</v>
      </c>
      <c r="M412" t="e">
        <f>IF(samples!#REF!=0,"",samples!#REF!)</f>
        <v>#REF!</v>
      </c>
      <c r="N412">
        <f>IFERROR(SEARCH(search!$B$6,samples!#REF!,1),0)</f>
        <v>0</v>
      </c>
      <c r="O412" t="e">
        <f>IF(samples!#REF!=0,"",samples!#REF!)</f>
        <v>#REF!</v>
      </c>
      <c r="P412">
        <f>IFERROR(SEARCH(search!$B$6,samples!#REF!,1),0)</f>
        <v>0</v>
      </c>
      <c r="Q412" t="e">
        <f>IF(samples!#REF!=0,"",samples!#REF!)</f>
        <v>#REF!</v>
      </c>
      <c r="R412">
        <f>IFERROR(SEARCH(search!$B$6,samples!#REF!,1),0)</f>
        <v>0</v>
      </c>
      <c r="S412" t="e">
        <f>IF(samples!#REF!=0,"",samples!#REF!)</f>
        <v>#REF!</v>
      </c>
      <c r="T412">
        <f>IFERROR(SEARCH(search!$B$6,samples!#REF!,1),0)</f>
        <v>0</v>
      </c>
      <c r="U412" t="e">
        <f>IF(samples!#REF!=0,"",samples!#REF!)</f>
        <v>#REF!</v>
      </c>
      <c r="V412">
        <f>IFERROR(SEARCH(search!$B$6,samples!#REF!,1),0)</f>
        <v>0</v>
      </c>
      <c r="W412" t="e">
        <f>IF(samples!#REF!=0,"",samples!#REF!)</f>
        <v>#REF!</v>
      </c>
      <c r="X412">
        <f>IFERROR(SEARCH(search!$B$6,samples!#REF!,1),0)</f>
        <v>0</v>
      </c>
      <c r="Y412" t="e">
        <f>IF(samples!#REF!=0,"",samples!#REF!)</f>
        <v>#REF!</v>
      </c>
      <c r="Z412">
        <f>IFERROR(SEARCH(search!$B$6,samples!#REF!,1),0)</f>
        <v>0</v>
      </c>
      <c r="AA412" t="e">
        <f>IF(samples!#REF!=0,"",samples!#REF!)</f>
        <v>#REF!</v>
      </c>
      <c r="AB412">
        <f>IFERROR(SEARCH(search!$B$6,samples!#REF!,1),0)</f>
        <v>0</v>
      </c>
      <c r="AC412" t="e">
        <f>IF(samples!#REF!=0,"",samples!#REF!)</f>
        <v>#REF!</v>
      </c>
      <c r="AD412">
        <f>IFERROR(SEARCH(search!$B$6,samples!#REF!,1),0)</f>
        <v>0</v>
      </c>
    </row>
    <row r="413" spans="1:30">
      <c r="A413">
        <f t="shared" si="6"/>
        <v>0</v>
      </c>
      <c r="B413">
        <f>IF(SUM(D413,F413,H413,J413,L413,N413,P413,R413,T413,V413,X413,Z413,AB413,AD413)&gt;0,SUM($A$2:A413),0)</f>
        <v>0</v>
      </c>
      <c r="C413" t="e">
        <f>samples!#REF!</f>
        <v>#REF!</v>
      </c>
      <c r="D413">
        <f>IFERROR(SEARCH(search!$B$6,samples!#REF!,1),0)</f>
        <v>0</v>
      </c>
      <c r="E413" t="e">
        <f>IF(samples!#REF!=0,"",samples!#REF!)</f>
        <v>#REF!</v>
      </c>
      <c r="F413">
        <f>IFERROR(SEARCH(search!$B$6,samples!#REF!,1),0)</f>
        <v>0</v>
      </c>
      <c r="G413" t="e">
        <f>IF(samples!#REF!=0,"",samples!#REF!)</f>
        <v>#REF!</v>
      </c>
      <c r="H413">
        <f>IFERROR(SEARCH(search!$B$6,samples!#REF!,1),0)</f>
        <v>0</v>
      </c>
      <c r="I413" t="e">
        <f>IF(samples!#REF!=0,"",samples!#REF!)</f>
        <v>#REF!</v>
      </c>
      <c r="J413">
        <f>IFERROR(SEARCH(search!$B$6,samples!#REF!,1),0)</f>
        <v>0</v>
      </c>
      <c r="K413" t="e">
        <f>IF(samples!#REF!=0,"",samples!#REF!)</f>
        <v>#REF!</v>
      </c>
      <c r="L413">
        <f>IFERROR(SEARCH(search!$B$6,samples!#REF!,1),0)</f>
        <v>0</v>
      </c>
      <c r="M413" t="e">
        <f>IF(samples!#REF!=0,"",samples!#REF!)</f>
        <v>#REF!</v>
      </c>
      <c r="N413">
        <f>IFERROR(SEARCH(search!$B$6,samples!#REF!,1),0)</f>
        <v>0</v>
      </c>
      <c r="O413" t="e">
        <f>IF(samples!#REF!=0,"",samples!#REF!)</f>
        <v>#REF!</v>
      </c>
      <c r="P413">
        <f>IFERROR(SEARCH(search!$B$6,samples!#REF!,1),0)</f>
        <v>0</v>
      </c>
      <c r="Q413" t="e">
        <f>IF(samples!#REF!=0,"",samples!#REF!)</f>
        <v>#REF!</v>
      </c>
      <c r="R413">
        <f>IFERROR(SEARCH(search!$B$6,samples!#REF!,1),0)</f>
        <v>0</v>
      </c>
      <c r="S413" t="e">
        <f>IF(samples!#REF!=0,"",samples!#REF!)</f>
        <v>#REF!</v>
      </c>
      <c r="T413">
        <f>IFERROR(SEARCH(search!$B$6,samples!#REF!,1),0)</f>
        <v>0</v>
      </c>
      <c r="U413" t="e">
        <f>IF(samples!#REF!=0,"",samples!#REF!)</f>
        <v>#REF!</v>
      </c>
      <c r="V413">
        <f>IFERROR(SEARCH(search!$B$6,samples!#REF!,1),0)</f>
        <v>0</v>
      </c>
      <c r="W413" t="e">
        <f>IF(samples!#REF!=0,"",samples!#REF!)</f>
        <v>#REF!</v>
      </c>
      <c r="X413">
        <f>IFERROR(SEARCH(search!$B$6,samples!#REF!,1),0)</f>
        <v>0</v>
      </c>
      <c r="Y413" t="e">
        <f>IF(samples!#REF!=0,"",samples!#REF!)</f>
        <v>#REF!</v>
      </c>
      <c r="Z413">
        <f>IFERROR(SEARCH(search!$B$6,samples!#REF!,1),0)</f>
        <v>0</v>
      </c>
      <c r="AA413" t="e">
        <f>IF(samples!#REF!=0,"",samples!#REF!)</f>
        <v>#REF!</v>
      </c>
      <c r="AB413">
        <f>IFERROR(SEARCH(search!$B$6,samples!#REF!,1),0)</f>
        <v>0</v>
      </c>
      <c r="AC413" t="e">
        <f>IF(samples!#REF!=0,"",samples!#REF!)</f>
        <v>#REF!</v>
      </c>
      <c r="AD413">
        <f>IFERROR(SEARCH(search!$B$6,samples!#REF!,1),0)</f>
        <v>0</v>
      </c>
    </row>
    <row r="414" spans="1:30">
      <c r="A414">
        <f t="shared" si="6"/>
        <v>0</v>
      </c>
      <c r="B414">
        <f>IF(SUM(D414,F414,H414,J414,L414,N414,P414,R414,T414,V414,X414,Z414,AB414,AD414)&gt;0,SUM($A$2:A414),0)</f>
        <v>0</v>
      </c>
      <c r="C414" t="e">
        <f>samples!#REF!</f>
        <v>#REF!</v>
      </c>
      <c r="D414">
        <f>IFERROR(SEARCH(search!$B$6,samples!#REF!,1),0)</f>
        <v>0</v>
      </c>
      <c r="E414" t="e">
        <f>IF(samples!#REF!=0,"",samples!#REF!)</f>
        <v>#REF!</v>
      </c>
      <c r="F414">
        <f>IFERROR(SEARCH(search!$B$6,samples!#REF!,1),0)</f>
        <v>0</v>
      </c>
      <c r="G414" t="e">
        <f>IF(samples!#REF!=0,"",samples!#REF!)</f>
        <v>#REF!</v>
      </c>
      <c r="H414">
        <f>IFERROR(SEARCH(search!$B$6,samples!#REF!,1),0)</f>
        <v>0</v>
      </c>
      <c r="I414" t="e">
        <f>IF(samples!#REF!=0,"",samples!#REF!)</f>
        <v>#REF!</v>
      </c>
      <c r="J414">
        <f>IFERROR(SEARCH(search!$B$6,samples!#REF!,1),0)</f>
        <v>0</v>
      </c>
      <c r="K414" t="e">
        <f>IF(samples!#REF!=0,"",samples!#REF!)</f>
        <v>#REF!</v>
      </c>
      <c r="L414">
        <f>IFERROR(SEARCH(search!$B$6,samples!#REF!,1),0)</f>
        <v>0</v>
      </c>
      <c r="M414" t="e">
        <f>IF(samples!#REF!=0,"",samples!#REF!)</f>
        <v>#REF!</v>
      </c>
      <c r="N414">
        <f>IFERROR(SEARCH(search!$B$6,samples!#REF!,1),0)</f>
        <v>0</v>
      </c>
      <c r="O414" t="e">
        <f>IF(samples!#REF!=0,"",samples!#REF!)</f>
        <v>#REF!</v>
      </c>
      <c r="P414">
        <f>IFERROR(SEARCH(search!$B$6,samples!#REF!,1),0)</f>
        <v>0</v>
      </c>
      <c r="Q414" t="e">
        <f>IF(samples!#REF!=0,"",samples!#REF!)</f>
        <v>#REF!</v>
      </c>
      <c r="R414">
        <f>IFERROR(SEARCH(search!$B$6,samples!#REF!,1),0)</f>
        <v>0</v>
      </c>
      <c r="S414" t="e">
        <f>IF(samples!#REF!=0,"",samples!#REF!)</f>
        <v>#REF!</v>
      </c>
      <c r="T414">
        <f>IFERROR(SEARCH(search!$B$6,samples!#REF!,1),0)</f>
        <v>0</v>
      </c>
      <c r="U414" t="e">
        <f>IF(samples!#REF!=0,"",samples!#REF!)</f>
        <v>#REF!</v>
      </c>
      <c r="V414">
        <f>IFERROR(SEARCH(search!$B$6,samples!#REF!,1),0)</f>
        <v>0</v>
      </c>
      <c r="W414" t="e">
        <f>IF(samples!#REF!=0,"",samples!#REF!)</f>
        <v>#REF!</v>
      </c>
      <c r="X414">
        <f>IFERROR(SEARCH(search!$B$6,samples!#REF!,1),0)</f>
        <v>0</v>
      </c>
      <c r="Y414" t="e">
        <f>IF(samples!#REF!=0,"",samples!#REF!)</f>
        <v>#REF!</v>
      </c>
      <c r="Z414">
        <f>IFERROR(SEARCH(search!$B$6,samples!#REF!,1),0)</f>
        <v>0</v>
      </c>
      <c r="AA414" t="e">
        <f>IF(samples!#REF!=0,"",samples!#REF!)</f>
        <v>#REF!</v>
      </c>
      <c r="AB414">
        <f>IFERROR(SEARCH(search!$B$6,samples!#REF!,1),0)</f>
        <v>0</v>
      </c>
      <c r="AC414" t="e">
        <f>IF(samples!#REF!=0,"",samples!#REF!)</f>
        <v>#REF!</v>
      </c>
      <c r="AD414">
        <f>IFERROR(SEARCH(search!$B$6,samples!#REF!,1),0)</f>
        <v>0</v>
      </c>
    </row>
    <row r="415" spans="1:30">
      <c r="A415">
        <f t="shared" si="6"/>
        <v>0</v>
      </c>
      <c r="B415">
        <f>IF(SUM(D415,F415,H415,J415,L415,N415,P415,R415,T415,V415,X415,Z415,AB415,AD415)&gt;0,SUM($A$2:A415),0)</f>
        <v>0</v>
      </c>
      <c r="C415" t="e">
        <f>samples!#REF!</f>
        <v>#REF!</v>
      </c>
      <c r="D415">
        <f>IFERROR(SEARCH(search!$B$6,samples!#REF!,1),0)</f>
        <v>0</v>
      </c>
      <c r="E415" t="e">
        <f>IF(samples!#REF!=0,"",samples!#REF!)</f>
        <v>#REF!</v>
      </c>
      <c r="F415">
        <f>IFERROR(SEARCH(search!$B$6,samples!#REF!,1),0)</f>
        <v>0</v>
      </c>
      <c r="G415" t="e">
        <f>IF(samples!#REF!=0,"",samples!#REF!)</f>
        <v>#REF!</v>
      </c>
      <c r="H415">
        <f>IFERROR(SEARCH(search!$B$6,samples!#REF!,1),0)</f>
        <v>0</v>
      </c>
      <c r="I415" t="e">
        <f>IF(samples!#REF!=0,"",samples!#REF!)</f>
        <v>#REF!</v>
      </c>
      <c r="J415">
        <f>IFERROR(SEARCH(search!$B$6,samples!#REF!,1),0)</f>
        <v>0</v>
      </c>
      <c r="K415" t="e">
        <f>IF(samples!#REF!=0,"",samples!#REF!)</f>
        <v>#REF!</v>
      </c>
      <c r="L415">
        <f>IFERROR(SEARCH(search!$B$6,samples!#REF!,1),0)</f>
        <v>0</v>
      </c>
      <c r="M415" t="e">
        <f>IF(samples!#REF!=0,"",samples!#REF!)</f>
        <v>#REF!</v>
      </c>
      <c r="N415">
        <f>IFERROR(SEARCH(search!$B$6,samples!#REF!,1),0)</f>
        <v>0</v>
      </c>
      <c r="O415" t="e">
        <f>IF(samples!#REF!=0,"",samples!#REF!)</f>
        <v>#REF!</v>
      </c>
      <c r="P415">
        <f>IFERROR(SEARCH(search!$B$6,samples!#REF!,1),0)</f>
        <v>0</v>
      </c>
      <c r="Q415" t="e">
        <f>IF(samples!#REF!=0,"",samples!#REF!)</f>
        <v>#REF!</v>
      </c>
      <c r="R415">
        <f>IFERROR(SEARCH(search!$B$6,samples!#REF!,1),0)</f>
        <v>0</v>
      </c>
      <c r="S415" t="e">
        <f>IF(samples!#REF!=0,"",samples!#REF!)</f>
        <v>#REF!</v>
      </c>
      <c r="T415">
        <f>IFERROR(SEARCH(search!$B$6,samples!#REF!,1),0)</f>
        <v>0</v>
      </c>
      <c r="U415" t="e">
        <f>IF(samples!#REF!=0,"",samples!#REF!)</f>
        <v>#REF!</v>
      </c>
      <c r="V415">
        <f>IFERROR(SEARCH(search!$B$6,samples!#REF!,1),0)</f>
        <v>0</v>
      </c>
      <c r="W415" t="e">
        <f>IF(samples!#REF!=0,"",samples!#REF!)</f>
        <v>#REF!</v>
      </c>
      <c r="X415">
        <f>IFERROR(SEARCH(search!$B$6,samples!#REF!,1),0)</f>
        <v>0</v>
      </c>
      <c r="Y415" t="e">
        <f>IF(samples!#REF!=0,"",samples!#REF!)</f>
        <v>#REF!</v>
      </c>
      <c r="Z415">
        <f>IFERROR(SEARCH(search!$B$6,samples!#REF!,1),0)</f>
        <v>0</v>
      </c>
      <c r="AA415" t="e">
        <f>IF(samples!#REF!=0,"",samples!#REF!)</f>
        <v>#REF!</v>
      </c>
      <c r="AB415">
        <f>IFERROR(SEARCH(search!$B$6,samples!#REF!,1),0)</f>
        <v>0</v>
      </c>
      <c r="AC415" t="e">
        <f>IF(samples!#REF!=0,"",samples!#REF!)</f>
        <v>#REF!</v>
      </c>
      <c r="AD415">
        <f>IFERROR(SEARCH(search!$B$6,samples!#REF!,1),0)</f>
        <v>0</v>
      </c>
    </row>
    <row r="416" spans="1:30">
      <c r="A416">
        <f t="shared" si="6"/>
        <v>0</v>
      </c>
      <c r="B416">
        <f>IF(SUM(D416,F416,H416,J416,L416,N416,P416,R416,T416,V416,X416,Z416,AB416,AD416)&gt;0,SUM($A$2:A416),0)</f>
        <v>0</v>
      </c>
      <c r="C416" t="e">
        <f>samples!#REF!</f>
        <v>#REF!</v>
      </c>
      <c r="D416">
        <f>IFERROR(SEARCH(search!$B$6,samples!#REF!,1),0)</f>
        <v>0</v>
      </c>
      <c r="E416" t="e">
        <f>IF(samples!#REF!=0,"",samples!#REF!)</f>
        <v>#REF!</v>
      </c>
      <c r="F416">
        <f>IFERROR(SEARCH(search!$B$6,samples!#REF!,1),0)</f>
        <v>0</v>
      </c>
      <c r="G416" t="e">
        <f>IF(samples!#REF!=0,"",samples!#REF!)</f>
        <v>#REF!</v>
      </c>
      <c r="H416">
        <f>IFERROR(SEARCH(search!$B$6,samples!#REF!,1),0)</f>
        <v>0</v>
      </c>
      <c r="I416" t="e">
        <f>IF(samples!#REF!=0,"",samples!#REF!)</f>
        <v>#REF!</v>
      </c>
      <c r="J416">
        <f>IFERROR(SEARCH(search!$B$6,samples!#REF!,1),0)</f>
        <v>0</v>
      </c>
      <c r="K416" t="e">
        <f>IF(samples!#REF!=0,"",samples!#REF!)</f>
        <v>#REF!</v>
      </c>
      <c r="L416">
        <f>IFERROR(SEARCH(search!$B$6,samples!#REF!,1),0)</f>
        <v>0</v>
      </c>
      <c r="M416" t="e">
        <f>IF(samples!#REF!=0,"",samples!#REF!)</f>
        <v>#REF!</v>
      </c>
      <c r="N416">
        <f>IFERROR(SEARCH(search!$B$6,samples!#REF!,1),0)</f>
        <v>0</v>
      </c>
      <c r="O416" t="e">
        <f>IF(samples!#REF!=0,"",samples!#REF!)</f>
        <v>#REF!</v>
      </c>
      <c r="P416">
        <f>IFERROR(SEARCH(search!$B$6,samples!#REF!,1),0)</f>
        <v>0</v>
      </c>
      <c r="Q416" t="e">
        <f>IF(samples!#REF!=0,"",samples!#REF!)</f>
        <v>#REF!</v>
      </c>
      <c r="R416">
        <f>IFERROR(SEARCH(search!$B$6,samples!#REF!,1),0)</f>
        <v>0</v>
      </c>
      <c r="S416" t="e">
        <f>IF(samples!#REF!=0,"",samples!#REF!)</f>
        <v>#REF!</v>
      </c>
      <c r="T416">
        <f>IFERROR(SEARCH(search!$B$6,samples!#REF!,1),0)</f>
        <v>0</v>
      </c>
      <c r="U416" t="e">
        <f>IF(samples!#REF!=0,"",samples!#REF!)</f>
        <v>#REF!</v>
      </c>
      <c r="V416">
        <f>IFERROR(SEARCH(search!$B$6,samples!#REF!,1),0)</f>
        <v>0</v>
      </c>
      <c r="W416" t="e">
        <f>IF(samples!#REF!=0,"",samples!#REF!)</f>
        <v>#REF!</v>
      </c>
      <c r="X416">
        <f>IFERROR(SEARCH(search!$B$6,samples!#REF!,1),0)</f>
        <v>0</v>
      </c>
      <c r="Y416" t="e">
        <f>IF(samples!#REF!=0,"",samples!#REF!)</f>
        <v>#REF!</v>
      </c>
      <c r="Z416">
        <f>IFERROR(SEARCH(search!$B$6,samples!#REF!,1),0)</f>
        <v>0</v>
      </c>
      <c r="AA416" t="e">
        <f>IF(samples!#REF!=0,"",samples!#REF!)</f>
        <v>#REF!</v>
      </c>
      <c r="AB416">
        <f>IFERROR(SEARCH(search!$B$6,samples!#REF!,1),0)</f>
        <v>0</v>
      </c>
      <c r="AC416" t="e">
        <f>IF(samples!#REF!=0,"",samples!#REF!)</f>
        <v>#REF!</v>
      </c>
      <c r="AD416">
        <f>IFERROR(SEARCH(search!$B$6,samples!#REF!,1),0)</f>
        <v>0</v>
      </c>
    </row>
    <row r="417" spans="1:30">
      <c r="A417">
        <f t="shared" si="6"/>
        <v>0</v>
      </c>
      <c r="B417">
        <f>IF(SUM(D417,F417,H417,J417,L417,N417,P417,R417,T417,V417,X417,Z417,AB417,AD417)&gt;0,SUM($A$2:A417),0)</f>
        <v>0</v>
      </c>
      <c r="C417" t="e">
        <f>samples!#REF!</f>
        <v>#REF!</v>
      </c>
      <c r="D417">
        <f>IFERROR(SEARCH(search!$B$6,samples!#REF!,1),0)</f>
        <v>0</v>
      </c>
      <c r="E417" t="e">
        <f>IF(samples!#REF!=0,"",samples!#REF!)</f>
        <v>#REF!</v>
      </c>
      <c r="F417">
        <f>IFERROR(SEARCH(search!$B$6,samples!#REF!,1),0)</f>
        <v>0</v>
      </c>
      <c r="G417" t="e">
        <f>IF(samples!#REF!=0,"",samples!#REF!)</f>
        <v>#REF!</v>
      </c>
      <c r="H417">
        <f>IFERROR(SEARCH(search!$B$6,samples!#REF!,1),0)</f>
        <v>0</v>
      </c>
      <c r="I417" t="e">
        <f>IF(samples!#REF!=0,"",samples!#REF!)</f>
        <v>#REF!</v>
      </c>
      <c r="J417">
        <f>IFERROR(SEARCH(search!$B$6,samples!#REF!,1),0)</f>
        <v>0</v>
      </c>
      <c r="K417" t="e">
        <f>IF(samples!#REF!=0,"",samples!#REF!)</f>
        <v>#REF!</v>
      </c>
      <c r="L417">
        <f>IFERROR(SEARCH(search!$B$6,samples!#REF!,1),0)</f>
        <v>0</v>
      </c>
      <c r="M417" t="e">
        <f>IF(samples!#REF!=0,"",samples!#REF!)</f>
        <v>#REF!</v>
      </c>
      <c r="N417">
        <f>IFERROR(SEARCH(search!$B$6,samples!#REF!,1),0)</f>
        <v>0</v>
      </c>
      <c r="O417" t="e">
        <f>IF(samples!#REF!=0,"",samples!#REF!)</f>
        <v>#REF!</v>
      </c>
      <c r="P417">
        <f>IFERROR(SEARCH(search!$B$6,samples!#REF!,1),0)</f>
        <v>0</v>
      </c>
      <c r="Q417" t="e">
        <f>IF(samples!#REF!=0,"",samples!#REF!)</f>
        <v>#REF!</v>
      </c>
      <c r="R417">
        <f>IFERROR(SEARCH(search!$B$6,samples!#REF!,1),0)</f>
        <v>0</v>
      </c>
      <c r="S417" t="e">
        <f>IF(samples!#REF!=0,"",samples!#REF!)</f>
        <v>#REF!</v>
      </c>
      <c r="T417">
        <f>IFERROR(SEARCH(search!$B$6,samples!#REF!,1),0)</f>
        <v>0</v>
      </c>
      <c r="U417" t="e">
        <f>IF(samples!#REF!=0,"",samples!#REF!)</f>
        <v>#REF!</v>
      </c>
      <c r="V417">
        <f>IFERROR(SEARCH(search!$B$6,samples!#REF!,1),0)</f>
        <v>0</v>
      </c>
      <c r="W417" t="e">
        <f>IF(samples!#REF!=0,"",samples!#REF!)</f>
        <v>#REF!</v>
      </c>
      <c r="X417">
        <f>IFERROR(SEARCH(search!$B$6,samples!#REF!,1),0)</f>
        <v>0</v>
      </c>
      <c r="Y417" t="e">
        <f>IF(samples!#REF!=0,"",samples!#REF!)</f>
        <v>#REF!</v>
      </c>
      <c r="Z417">
        <f>IFERROR(SEARCH(search!$B$6,samples!#REF!,1),0)</f>
        <v>0</v>
      </c>
      <c r="AA417" t="e">
        <f>IF(samples!#REF!=0,"",samples!#REF!)</f>
        <v>#REF!</v>
      </c>
      <c r="AB417">
        <f>IFERROR(SEARCH(search!$B$6,samples!#REF!,1),0)</f>
        <v>0</v>
      </c>
      <c r="AC417" t="e">
        <f>IF(samples!#REF!=0,"",samples!#REF!)</f>
        <v>#REF!</v>
      </c>
      <c r="AD417">
        <f>IFERROR(SEARCH(search!$B$6,samples!#REF!,1),0)</f>
        <v>0</v>
      </c>
    </row>
    <row r="418" spans="1:30">
      <c r="A418">
        <f t="shared" si="6"/>
        <v>0</v>
      </c>
      <c r="B418">
        <f>IF(SUM(D418,F418,H418,J418,L418,N418,P418,R418,T418,V418,X418,Z418,AB418,AD418)&gt;0,SUM($A$2:A418),0)</f>
        <v>0</v>
      </c>
      <c r="C418" t="e">
        <f>samples!#REF!</f>
        <v>#REF!</v>
      </c>
      <c r="D418">
        <f>IFERROR(SEARCH(search!$B$6,samples!#REF!,1),0)</f>
        <v>0</v>
      </c>
      <c r="E418" t="e">
        <f>IF(samples!#REF!=0,"",samples!#REF!)</f>
        <v>#REF!</v>
      </c>
      <c r="F418">
        <f>IFERROR(SEARCH(search!$B$6,samples!#REF!,1),0)</f>
        <v>0</v>
      </c>
      <c r="G418" t="e">
        <f>IF(samples!#REF!=0,"",samples!#REF!)</f>
        <v>#REF!</v>
      </c>
      <c r="H418">
        <f>IFERROR(SEARCH(search!$B$6,samples!#REF!,1),0)</f>
        <v>0</v>
      </c>
      <c r="I418" t="e">
        <f>IF(samples!#REF!=0,"",samples!#REF!)</f>
        <v>#REF!</v>
      </c>
      <c r="J418">
        <f>IFERROR(SEARCH(search!$B$6,samples!#REF!,1),0)</f>
        <v>0</v>
      </c>
      <c r="K418" t="e">
        <f>IF(samples!#REF!=0,"",samples!#REF!)</f>
        <v>#REF!</v>
      </c>
      <c r="L418">
        <f>IFERROR(SEARCH(search!$B$6,samples!#REF!,1),0)</f>
        <v>0</v>
      </c>
      <c r="M418" t="e">
        <f>IF(samples!#REF!=0,"",samples!#REF!)</f>
        <v>#REF!</v>
      </c>
      <c r="N418">
        <f>IFERROR(SEARCH(search!$B$6,samples!#REF!,1),0)</f>
        <v>0</v>
      </c>
      <c r="O418" t="e">
        <f>IF(samples!#REF!=0,"",samples!#REF!)</f>
        <v>#REF!</v>
      </c>
      <c r="P418">
        <f>IFERROR(SEARCH(search!$B$6,samples!#REF!,1),0)</f>
        <v>0</v>
      </c>
      <c r="Q418" t="e">
        <f>IF(samples!#REF!=0,"",samples!#REF!)</f>
        <v>#REF!</v>
      </c>
      <c r="R418">
        <f>IFERROR(SEARCH(search!$B$6,samples!#REF!,1),0)</f>
        <v>0</v>
      </c>
      <c r="S418" t="e">
        <f>IF(samples!#REF!=0,"",samples!#REF!)</f>
        <v>#REF!</v>
      </c>
      <c r="T418">
        <f>IFERROR(SEARCH(search!$B$6,samples!#REF!,1),0)</f>
        <v>0</v>
      </c>
      <c r="U418" t="e">
        <f>IF(samples!#REF!=0,"",samples!#REF!)</f>
        <v>#REF!</v>
      </c>
      <c r="V418">
        <f>IFERROR(SEARCH(search!$B$6,samples!#REF!,1),0)</f>
        <v>0</v>
      </c>
      <c r="W418" t="e">
        <f>IF(samples!#REF!=0,"",samples!#REF!)</f>
        <v>#REF!</v>
      </c>
      <c r="X418">
        <f>IFERROR(SEARCH(search!$B$6,samples!#REF!,1),0)</f>
        <v>0</v>
      </c>
      <c r="Y418" t="e">
        <f>IF(samples!#REF!=0,"",samples!#REF!)</f>
        <v>#REF!</v>
      </c>
      <c r="Z418">
        <f>IFERROR(SEARCH(search!$B$6,samples!#REF!,1),0)</f>
        <v>0</v>
      </c>
      <c r="AA418" t="e">
        <f>IF(samples!#REF!=0,"",samples!#REF!)</f>
        <v>#REF!</v>
      </c>
      <c r="AB418">
        <f>IFERROR(SEARCH(search!$B$6,samples!#REF!,1),0)</f>
        <v>0</v>
      </c>
      <c r="AC418" t="e">
        <f>IF(samples!#REF!=0,"",samples!#REF!)</f>
        <v>#REF!</v>
      </c>
      <c r="AD418">
        <f>IFERROR(SEARCH(search!$B$6,samples!#REF!,1),0)</f>
        <v>0</v>
      </c>
    </row>
    <row r="419" spans="1:30">
      <c r="A419">
        <f t="shared" si="6"/>
        <v>0</v>
      </c>
      <c r="B419">
        <f>IF(SUM(D419,F419,H419,J419,L419,N419,P419,R419,T419,V419,X419,Z419,AB419,AD419)&gt;0,SUM($A$2:A419),0)</f>
        <v>0</v>
      </c>
      <c r="C419" t="e">
        <f>samples!#REF!</f>
        <v>#REF!</v>
      </c>
      <c r="D419">
        <f>IFERROR(SEARCH(search!$B$6,samples!#REF!,1),0)</f>
        <v>0</v>
      </c>
      <c r="E419" t="e">
        <f>IF(samples!#REF!=0,"",samples!#REF!)</f>
        <v>#REF!</v>
      </c>
      <c r="F419">
        <f>IFERROR(SEARCH(search!$B$6,samples!#REF!,1),0)</f>
        <v>0</v>
      </c>
      <c r="G419" t="e">
        <f>IF(samples!#REF!=0,"",samples!#REF!)</f>
        <v>#REF!</v>
      </c>
      <c r="H419">
        <f>IFERROR(SEARCH(search!$B$6,samples!#REF!,1),0)</f>
        <v>0</v>
      </c>
      <c r="I419" t="e">
        <f>IF(samples!#REF!=0,"",samples!#REF!)</f>
        <v>#REF!</v>
      </c>
      <c r="J419">
        <f>IFERROR(SEARCH(search!$B$6,samples!#REF!,1),0)</f>
        <v>0</v>
      </c>
      <c r="K419" t="e">
        <f>IF(samples!#REF!=0,"",samples!#REF!)</f>
        <v>#REF!</v>
      </c>
      <c r="L419">
        <f>IFERROR(SEARCH(search!$B$6,samples!#REF!,1),0)</f>
        <v>0</v>
      </c>
      <c r="M419" t="e">
        <f>IF(samples!#REF!=0,"",samples!#REF!)</f>
        <v>#REF!</v>
      </c>
      <c r="N419">
        <f>IFERROR(SEARCH(search!$B$6,samples!#REF!,1),0)</f>
        <v>0</v>
      </c>
      <c r="O419" t="e">
        <f>IF(samples!#REF!=0,"",samples!#REF!)</f>
        <v>#REF!</v>
      </c>
      <c r="P419">
        <f>IFERROR(SEARCH(search!$B$6,samples!#REF!,1),0)</f>
        <v>0</v>
      </c>
      <c r="Q419" t="e">
        <f>IF(samples!#REF!=0,"",samples!#REF!)</f>
        <v>#REF!</v>
      </c>
      <c r="R419">
        <f>IFERROR(SEARCH(search!$B$6,samples!#REF!,1),0)</f>
        <v>0</v>
      </c>
      <c r="S419" t="e">
        <f>IF(samples!#REF!=0,"",samples!#REF!)</f>
        <v>#REF!</v>
      </c>
      <c r="T419">
        <f>IFERROR(SEARCH(search!$B$6,samples!#REF!,1),0)</f>
        <v>0</v>
      </c>
      <c r="U419" t="e">
        <f>IF(samples!#REF!=0,"",samples!#REF!)</f>
        <v>#REF!</v>
      </c>
      <c r="V419">
        <f>IFERROR(SEARCH(search!$B$6,samples!#REF!,1),0)</f>
        <v>0</v>
      </c>
      <c r="W419" t="e">
        <f>IF(samples!#REF!=0,"",samples!#REF!)</f>
        <v>#REF!</v>
      </c>
      <c r="X419">
        <f>IFERROR(SEARCH(search!$B$6,samples!#REF!,1),0)</f>
        <v>0</v>
      </c>
      <c r="Y419" t="e">
        <f>IF(samples!#REF!=0,"",samples!#REF!)</f>
        <v>#REF!</v>
      </c>
      <c r="Z419">
        <f>IFERROR(SEARCH(search!$B$6,samples!#REF!,1),0)</f>
        <v>0</v>
      </c>
      <c r="AA419" t="e">
        <f>IF(samples!#REF!=0,"",samples!#REF!)</f>
        <v>#REF!</v>
      </c>
      <c r="AB419">
        <f>IFERROR(SEARCH(search!$B$6,samples!#REF!,1),0)</f>
        <v>0</v>
      </c>
      <c r="AC419" t="e">
        <f>IF(samples!#REF!=0,"",samples!#REF!)</f>
        <v>#REF!</v>
      </c>
      <c r="AD419">
        <f>IFERROR(SEARCH(search!$B$6,samples!#REF!,1),0)</f>
        <v>0</v>
      </c>
    </row>
    <row r="420" spans="1:30">
      <c r="A420">
        <f t="shared" si="6"/>
        <v>0</v>
      </c>
      <c r="B420">
        <f>IF(SUM(D420,F420,H420,J420,L420,N420,P420,R420,T420,V420,X420,Z420,AB420,AD420)&gt;0,SUM($A$2:A420),0)</f>
        <v>0</v>
      </c>
      <c r="C420" t="e">
        <f>samples!#REF!</f>
        <v>#REF!</v>
      </c>
      <c r="D420">
        <f>IFERROR(SEARCH(search!$B$6,samples!#REF!,1),0)</f>
        <v>0</v>
      </c>
      <c r="E420" t="e">
        <f>IF(samples!#REF!=0,"",samples!#REF!)</f>
        <v>#REF!</v>
      </c>
      <c r="F420">
        <f>IFERROR(SEARCH(search!$B$6,samples!#REF!,1),0)</f>
        <v>0</v>
      </c>
      <c r="G420" t="e">
        <f>IF(samples!#REF!=0,"",samples!#REF!)</f>
        <v>#REF!</v>
      </c>
      <c r="H420">
        <f>IFERROR(SEARCH(search!$B$6,samples!#REF!,1),0)</f>
        <v>0</v>
      </c>
      <c r="I420" t="e">
        <f>IF(samples!#REF!=0,"",samples!#REF!)</f>
        <v>#REF!</v>
      </c>
      <c r="J420">
        <f>IFERROR(SEARCH(search!$B$6,samples!#REF!,1),0)</f>
        <v>0</v>
      </c>
      <c r="K420" t="e">
        <f>IF(samples!#REF!=0,"",samples!#REF!)</f>
        <v>#REF!</v>
      </c>
      <c r="L420">
        <f>IFERROR(SEARCH(search!$B$6,samples!#REF!,1),0)</f>
        <v>0</v>
      </c>
      <c r="M420" t="e">
        <f>IF(samples!#REF!=0,"",samples!#REF!)</f>
        <v>#REF!</v>
      </c>
      <c r="N420">
        <f>IFERROR(SEARCH(search!$B$6,samples!#REF!,1),0)</f>
        <v>0</v>
      </c>
      <c r="O420" t="e">
        <f>IF(samples!#REF!=0,"",samples!#REF!)</f>
        <v>#REF!</v>
      </c>
      <c r="P420">
        <f>IFERROR(SEARCH(search!$B$6,samples!#REF!,1),0)</f>
        <v>0</v>
      </c>
      <c r="Q420" t="e">
        <f>IF(samples!#REF!=0,"",samples!#REF!)</f>
        <v>#REF!</v>
      </c>
      <c r="R420">
        <f>IFERROR(SEARCH(search!$B$6,samples!#REF!,1),0)</f>
        <v>0</v>
      </c>
      <c r="S420" t="e">
        <f>IF(samples!#REF!=0,"",samples!#REF!)</f>
        <v>#REF!</v>
      </c>
      <c r="T420">
        <f>IFERROR(SEARCH(search!$B$6,samples!#REF!,1),0)</f>
        <v>0</v>
      </c>
      <c r="U420" t="e">
        <f>IF(samples!#REF!=0,"",samples!#REF!)</f>
        <v>#REF!</v>
      </c>
      <c r="V420">
        <f>IFERROR(SEARCH(search!$B$6,samples!#REF!,1),0)</f>
        <v>0</v>
      </c>
      <c r="W420" t="e">
        <f>IF(samples!#REF!=0,"",samples!#REF!)</f>
        <v>#REF!</v>
      </c>
      <c r="X420">
        <f>IFERROR(SEARCH(search!$B$6,samples!#REF!,1),0)</f>
        <v>0</v>
      </c>
      <c r="Y420" t="e">
        <f>IF(samples!#REF!=0,"",samples!#REF!)</f>
        <v>#REF!</v>
      </c>
      <c r="Z420">
        <f>IFERROR(SEARCH(search!$B$6,samples!#REF!,1),0)</f>
        <v>0</v>
      </c>
      <c r="AA420" t="e">
        <f>IF(samples!#REF!=0,"",samples!#REF!)</f>
        <v>#REF!</v>
      </c>
      <c r="AB420">
        <f>IFERROR(SEARCH(search!$B$6,samples!#REF!,1),0)</f>
        <v>0</v>
      </c>
      <c r="AC420" t="e">
        <f>IF(samples!#REF!=0,"",samples!#REF!)</f>
        <v>#REF!</v>
      </c>
      <c r="AD420">
        <f>IFERROR(SEARCH(search!$B$6,samples!#REF!,1),0)</f>
        <v>0</v>
      </c>
    </row>
    <row r="421" spans="1:30">
      <c r="A421">
        <f t="shared" si="6"/>
        <v>0</v>
      </c>
      <c r="B421">
        <f>IF(SUM(D421,F421,H421,J421,L421,N421,P421,R421,T421,V421,X421,Z421,AB421,AD421)&gt;0,SUM($A$2:A421),0)</f>
        <v>0</v>
      </c>
      <c r="C421" t="e">
        <f>samples!#REF!</f>
        <v>#REF!</v>
      </c>
      <c r="D421">
        <f>IFERROR(SEARCH(search!$B$6,samples!#REF!,1),0)</f>
        <v>0</v>
      </c>
      <c r="E421" t="e">
        <f>IF(samples!#REF!=0,"",samples!#REF!)</f>
        <v>#REF!</v>
      </c>
      <c r="F421">
        <f>IFERROR(SEARCH(search!$B$6,samples!#REF!,1),0)</f>
        <v>0</v>
      </c>
      <c r="G421" t="e">
        <f>IF(samples!#REF!=0,"",samples!#REF!)</f>
        <v>#REF!</v>
      </c>
      <c r="H421">
        <f>IFERROR(SEARCH(search!$B$6,samples!#REF!,1),0)</f>
        <v>0</v>
      </c>
      <c r="I421" t="e">
        <f>IF(samples!#REF!=0,"",samples!#REF!)</f>
        <v>#REF!</v>
      </c>
      <c r="J421">
        <f>IFERROR(SEARCH(search!$B$6,samples!#REF!,1),0)</f>
        <v>0</v>
      </c>
      <c r="K421" t="e">
        <f>IF(samples!#REF!=0,"",samples!#REF!)</f>
        <v>#REF!</v>
      </c>
      <c r="L421">
        <f>IFERROR(SEARCH(search!$B$6,samples!#REF!,1),0)</f>
        <v>0</v>
      </c>
      <c r="M421" t="e">
        <f>IF(samples!#REF!=0,"",samples!#REF!)</f>
        <v>#REF!</v>
      </c>
      <c r="N421">
        <f>IFERROR(SEARCH(search!$B$6,samples!#REF!,1),0)</f>
        <v>0</v>
      </c>
      <c r="O421" t="e">
        <f>IF(samples!#REF!=0,"",samples!#REF!)</f>
        <v>#REF!</v>
      </c>
      <c r="P421">
        <f>IFERROR(SEARCH(search!$B$6,samples!#REF!,1),0)</f>
        <v>0</v>
      </c>
      <c r="Q421" t="e">
        <f>IF(samples!#REF!=0,"",samples!#REF!)</f>
        <v>#REF!</v>
      </c>
      <c r="R421">
        <f>IFERROR(SEARCH(search!$B$6,samples!#REF!,1),0)</f>
        <v>0</v>
      </c>
      <c r="S421" t="e">
        <f>IF(samples!#REF!=0,"",samples!#REF!)</f>
        <v>#REF!</v>
      </c>
      <c r="T421">
        <f>IFERROR(SEARCH(search!$B$6,samples!#REF!,1),0)</f>
        <v>0</v>
      </c>
      <c r="U421" t="e">
        <f>IF(samples!#REF!=0,"",samples!#REF!)</f>
        <v>#REF!</v>
      </c>
      <c r="V421">
        <f>IFERROR(SEARCH(search!$B$6,samples!#REF!,1),0)</f>
        <v>0</v>
      </c>
      <c r="W421" t="e">
        <f>IF(samples!#REF!=0,"",samples!#REF!)</f>
        <v>#REF!</v>
      </c>
      <c r="X421">
        <f>IFERROR(SEARCH(search!$B$6,samples!#REF!,1),0)</f>
        <v>0</v>
      </c>
      <c r="Y421" t="e">
        <f>IF(samples!#REF!=0,"",samples!#REF!)</f>
        <v>#REF!</v>
      </c>
      <c r="Z421">
        <f>IFERROR(SEARCH(search!$B$6,samples!#REF!,1),0)</f>
        <v>0</v>
      </c>
      <c r="AA421" t="e">
        <f>IF(samples!#REF!=0,"",samples!#REF!)</f>
        <v>#REF!</v>
      </c>
      <c r="AB421">
        <f>IFERROR(SEARCH(search!$B$6,samples!#REF!,1),0)</f>
        <v>0</v>
      </c>
      <c r="AC421" t="e">
        <f>IF(samples!#REF!=0,"",samples!#REF!)</f>
        <v>#REF!</v>
      </c>
      <c r="AD421">
        <f>IFERROR(SEARCH(search!$B$6,samples!#REF!,1),0)</f>
        <v>0</v>
      </c>
    </row>
    <row r="422" spans="1:30">
      <c r="A422">
        <f t="shared" si="6"/>
        <v>0</v>
      </c>
      <c r="B422">
        <f>IF(SUM(D422,F422,H422,J422,L422,N422,P422,R422,T422,V422,X422,Z422,AB422,AD422)&gt;0,SUM($A$2:A422),0)</f>
        <v>0</v>
      </c>
      <c r="C422" t="e">
        <f>samples!#REF!</f>
        <v>#REF!</v>
      </c>
      <c r="D422">
        <f>IFERROR(SEARCH(search!$B$6,samples!#REF!,1),0)</f>
        <v>0</v>
      </c>
      <c r="E422" t="e">
        <f>IF(samples!#REF!=0,"",samples!#REF!)</f>
        <v>#REF!</v>
      </c>
      <c r="F422">
        <f>IFERROR(SEARCH(search!$B$6,samples!#REF!,1),0)</f>
        <v>0</v>
      </c>
      <c r="G422" t="e">
        <f>IF(samples!#REF!=0,"",samples!#REF!)</f>
        <v>#REF!</v>
      </c>
      <c r="H422">
        <f>IFERROR(SEARCH(search!$B$6,samples!#REF!,1),0)</f>
        <v>0</v>
      </c>
      <c r="I422" t="e">
        <f>IF(samples!#REF!=0,"",samples!#REF!)</f>
        <v>#REF!</v>
      </c>
      <c r="J422">
        <f>IFERROR(SEARCH(search!$B$6,samples!#REF!,1),0)</f>
        <v>0</v>
      </c>
      <c r="K422" t="e">
        <f>IF(samples!#REF!=0,"",samples!#REF!)</f>
        <v>#REF!</v>
      </c>
      <c r="L422">
        <f>IFERROR(SEARCH(search!$B$6,samples!#REF!,1),0)</f>
        <v>0</v>
      </c>
      <c r="M422" t="e">
        <f>IF(samples!#REF!=0,"",samples!#REF!)</f>
        <v>#REF!</v>
      </c>
      <c r="N422">
        <f>IFERROR(SEARCH(search!$B$6,samples!#REF!,1),0)</f>
        <v>0</v>
      </c>
      <c r="O422" t="e">
        <f>IF(samples!#REF!=0,"",samples!#REF!)</f>
        <v>#REF!</v>
      </c>
      <c r="P422">
        <f>IFERROR(SEARCH(search!$B$6,samples!#REF!,1),0)</f>
        <v>0</v>
      </c>
      <c r="Q422" t="e">
        <f>IF(samples!#REF!=0,"",samples!#REF!)</f>
        <v>#REF!</v>
      </c>
      <c r="R422">
        <f>IFERROR(SEARCH(search!$B$6,samples!#REF!,1),0)</f>
        <v>0</v>
      </c>
      <c r="S422" t="e">
        <f>IF(samples!#REF!=0,"",samples!#REF!)</f>
        <v>#REF!</v>
      </c>
      <c r="T422">
        <f>IFERROR(SEARCH(search!$B$6,samples!#REF!,1),0)</f>
        <v>0</v>
      </c>
      <c r="U422" t="e">
        <f>IF(samples!#REF!=0,"",samples!#REF!)</f>
        <v>#REF!</v>
      </c>
      <c r="V422">
        <f>IFERROR(SEARCH(search!$B$6,samples!#REF!,1),0)</f>
        <v>0</v>
      </c>
      <c r="W422" t="e">
        <f>IF(samples!#REF!=0,"",samples!#REF!)</f>
        <v>#REF!</v>
      </c>
      <c r="X422">
        <f>IFERROR(SEARCH(search!$B$6,samples!#REF!,1),0)</f>
        <v>0</v>
      </c>
      <c r="Y422" t="e">
        <f>IF(samples!#REF!=0,"",samples!#REF!)</f>
        <v>#REF!</v>
      </c>
      <c r="Z422">
        <f>IFERROR(SEARCH(search!$B$6,samples!#REF!,1),0)</f>
        <v>0</v>
      </c>
      <c r="AA422" t="e">
        <f>IF(samples!#REF!=0,"",samples!#REF!)</f>
        <v>#REF!</v>
      </c>
      <c r="AB422">
        <f>IFERROR(SEARCH(search!$B$6,samples!#REF!,1),0)</f>
        <v>0</v>
      </c>
      <c r="AC422" t="e">
        <f>IF(samples!#REF!=0,"",samples!#REF!)</f>
        <v>#REF!</v>
      </c>
      <c r="AD422">
        <f>IFERROR(SEARCH(search!$B$6,samples!#REF!,1),0)</f>
        <v>0</v>
      </c>
    </row>
    <row r="423" spans="1:30">
      <c r="A423">
        <f t="shared" si="6"/>
        <v>0</v>
      </c>
      <c r="B423">
        <f>IF(SUM(D423,F423,H423,J423,L423,N423,P423,R423,T423,V423,X423,Z423,AB423,AD423)&gt;0,SUM($A$2:A423),0)</f>
        <v>0</v>
      </c>
      <c r="C423" t="e">
        <f>samples!#REF!</f>
        <v>#REF!</v>
      </c>
      <c r="D423">
        <f>IFERROR(SEARCH(search!$B$6,samples!#REF!,1),0)</f>
        <v>0</v>
      </c>
      <c r="E423" t="e">
        <f>IF(samples!#REF!=0,"",samples!#REF!)</f>
        <v>#REF!</v>
      </c>
      <c r="F423">
        <f>IFERROR(SEARCH(search!$B$6,samples!#REF!,1),0)</f>
        <v>0</v>
      </c>
      <c r="G423" t="e">
        <f>IF(samples!#REF!=0,"",samples!#REF!)</f>
        <v>#REF!</v>
      </c>
      <c r="H423">
        <f>IFERROR(SEARCH(search!$B$6,samples!#REF!,1),0)</f>
        <v>0</v>
      </c>
      <c r="I423" t="e">
        <f>IF(samples!#REF!=0,"",samples!#REF!)</f>
        <v>#REF!</v>
      </c>
      <c r="J423">
        <f>IFERROR(SEARCH(search!$B$6,samples!#REF!,1),0)</f>
        <v>0</v>
      </c>
      <c r="K423" t="e">
        <f>IF(samples!#REF!=0,"",samples!#REF!)</f>
        <v>#REF!</v>
      </c>
      <c r="L423">
        <f>IFERROR(SEARCH(search!$B$6,samples!#REF!,1),0)</f>
        <v>0</v>
      </c>
      <c r="M423" t="e">
        <f>IF(samples!#REF!=0,"",samples!#REF!)</f>
        <v>#REF!</v>
      </c>
      <c r="N423">
        <f>IFERROR(SEARCH(search!$B$6,samples!#REF!,1),0)</f>
        <v>0</v>
      </c>
      <c r="O423" t="e">
        <f>IF(samples!#REF!=0,"",samples!#REF!)</f>
        <v>#REF!</v>
      </c>
      <c r="P423">
        <f>IFERROR(SEARCH(search!$B$6,samples!#REF!,1),0)</f>
        <v>0</v>
      </c>
      <c r="Q423" t="e">
        <f>IF(samples!#REF!=0,"",samples!#REF!)</f>
        <v>#REF!</v>
      </c>
      <c r="R423">
        <f>IFERROR(SEARCH(search!$B$6,samples!#REF!,1),0)</f>
        <v>0</v>
      </c>
      <c r="S423" t="e">
        <f>IF(samples!#REF!=0,"",samples!#REF!)</f>
        <v>#REF!</v>
      </c>
      <c r="T423">
        <f>IFERROR(SEARCH(search!$B$6,samples!#REF!,1),0)</f>
        <v>0</v>
      </c>
      <c r="U423" t="e">
        <f>IF(samples!#REF!=0,"",samples!#REF!)</f>
        <v>#REF!</v>
      </c>
      <c r="V423">
        <f>IFERROR(SEARCH(search!$B$6,samples!#REF!,1),0)</f>
        <v>0</v>
      </c>
      <c r="W423" t="e">
        <f>IF(samples!#REF!=0,"",samples!#REF!)</f>
        <v>#REF!</v>
      </c>
      <c r="X423">
        <f>IFERROR(SEARCH(search!$B$6,samples!#REF!,1),0)</f>
        <v>0</v>
      </c>
      <c r="Y423" t="e">
        <f>IF(samples!#REF!=0,"",samples!#REF!)</f>
        <v>#REF!</v>
      </c>
      <c r="Z423">
        <f>IFERROR(SEARCH(search!$B$6,samples!#REF!,1),0)</f>
        <v>0</v>
      </c>
      <c r="AA423" t="e">
        <f>IF(samples!#REF!=0,"",samples!#REF!)</f>
        <v>#REF!</v>
      </c>
      <c r="AB423">
        <f>IFERROR(SEARCH(search!$B$6,samples!#REF!,1),0)</f>
        <v>0</v>
      </c>
      <c r="AC423" t="e">
        <f>IF(samples!#REF!=0,"",samples!#REF!)</f>
        <v>#REF!</v>
      </c>
      <c r="AD423">
        <f>IFERROR(SEARCH(search!$B$6,samples!#REF!,1),0)</f>
        <v>0</v>
      </c>
    </row>
    <row r="424" spans="1:30">
      <c r="A424">
        <f t="shared" si="6"/>
        <v>0</v>
      </c>
      <c r="B424">
        <f>IF(SUM(D424,F424,H424,J424,L424,N424,P424,R424,T424,V424,X424,Z424,AB424,AD424)&gt;0,SUM($A$2:A424),0)</f>
        <v>0</v>
      </c>
      <c r="C424" t="e">
        <f>samples!#REF!</f>
        <v>#REF!</v>
      </c>
      <c r="D424">
        <f>IFERROR(SEARCH(search!$B$6,samples!#REF!,1),0)</f>
        <v>0</v>
      </c>
      <c r="E424" t="e">
        <f>IF(samples!#REF!=0,"",samples!#REF!)</f>
        <v>#REF!</v>
      </c>
      <c r="F424">
        <f>IFERROR(SEARCH(search!$B$6,samples!#REF!,1),0)</f>
        <v>0</v>
      </c>
      <c r="G424" t="e">
        <f>IF(samples!#REF!=0,"",samples!#REF!)</f>
        <v>#REF!</v>
      </c>
      <c r="H424">
        <f>IFERROR(SEARCH(search!$B$6,samples!#REF!,1),0)</f>
        <v>0</v>
      </c>
      <c r="I424" t="e">
        <f>IF(samples!#REF!=0,"",samples!#REF!)</f>
        <v>#REF!</v>
      </c>
      <c r="J424">
        <f>IFERROR(SEARCH(search!$B$6,samples!#REF!,1),0)</f>
        <v>0</v>
      </c>
      <c r="K424" t="e">
        <f>IF(samples!#REF!=0,"",samples!#REF!)</f>
        <v>#REF!</v>
      </c>
      <c r="L424">
        <f>IFERROR(SEARCH(search!$B$6,samples!#REF!,1),0)</f>
        <v>0</v>
      </c>
      <c r="M424" t="e">
        <f>IF(samples!#REF!=0,"",samples!#REF!)</f>
        <v>#REF!</v>
      </c>
      <c r="N424">
        <f>IFERROR(SEARCH(search!$B$6,samples!#REF!,1),0)</f>
        <v>0</v>
      </c>
      <c r="O424" t="e">
        <f>IF(samples!#REF!=0,"",samples!#REF!)</f>
        <v>#REF!</v>
      </c>
      <c r="P424">
        <f>IFERROR(SEARCH(search!$B$6,samples!#REF!,1),0)</f>
        <v>0</v>
      </c>
      <c r="Q424" t="e">
        <f>IF(samples!#REF!=0,"",samples!#REF!)</f>
        <v>#REF!</v>
      </c>
      <c r="R424">
        <f>IFERROR(SEARCH(search!$B$6,samples!#REF!,1),0)</f>
        <v>0</v>
      </c>
      <c r="S424" t="e">
        <f>IF(samples!#REF!=0,"",samples!#REF!)</f>
        <v>#REF!</v>
      </c>
      <c r="T424">
        <f>IFERROR(SEARCH(search!$B$6,samples!#REF!,1),0)</f>
        <v>0</v>
      </c>
      <c r="U424" t="e">
        <f>IF(samples!#REF!=0,"",samples!#REF!)</f>
        <v>#REF!</v>
      </c>
      <c r="V424">
        <f>IFERROR(SEARCH(search!$B$6,samples!#REF!,1),0)</f>
        <v>0</v>
      </c>
      <c r="W424" t="e">
        <f>IF(samples!#REF!=0,"",samples!#REF!)</f>
        <v>#REF!</v>
      </c>
      <c r="X424">
        <f>IFERROR(SEARCH(search!$B$6,samples!#REF!,1),0)</f>
        <v>0</v>
      </c>
      <c r="Y424" t="e">
        <f>IF(samples!#REF!=0,"",samples!#REF!)</f>
        <v>#REF!</v>
      </c>
      <c r="Z424">
        <f>IFERROR(SEARCH(search!$B$6,samples!#REF!,1),0)</f>
        <v>0</v>
      </c>
      <c r="AA424" t="e">
        <f>IF(samples!#REF!=0,"",samples!#REF!)</f>
        <v>#REF!</v>
      </c>
      <c r="AB424">
        <f>IFERROR(SEARCH(search!$B$6,samples!#REF!,1),0)</f>
        <v>0</v>
      </c>
      <c r="AC424" t="e">
        <f>IF(samples!#REF!=0,"",samples!#REF!)</f>
        <v>#REF!</v>
      </c>
      <c r="AD424">
        <f>IFERROR(SEARCH(search!$B$6,samples!#REF!,1),0)</f>
        <v>0</v>
      </c>
    </row>
    <row r="425" spans="1:30">
      <c r="A425">
        <f t="shared" si="6"/>
        <v>0</v>
      </c>
      <c r="B425">
        <f>IF(SUM(D425,F425,H425,J425,L425,N425,P425,R425,T425,V425,X425,Z425,AB425,AD425)&gt;0,SUM($A$2:A425),0)</f>
        <v>0</v>
      </c>
      <c r="C425" t="e">
        <f>samples!#REF!</f>
        <v>#REF!</v>
      </c>
      <c r="D425">
        <f>IFERROR(SEARCH(search!$B$6,samples!#REF!,1),0)</f>
        <v>0</v>
      </c>
      <c r="E425" t="e">
        <f>IF(samples!#REF!=0,"",samples!#REF!)</f>
        <v>#REF!</v>
      </c>
      <c r="F425">
        <f>IFERROR(SEARCH(search!$B$6,samples!#REF!,1),0)</f>
        <v>0</v>
      </c>
      <c r="G425" t="e">
        <f>IF(samples!#REF!=0,"",samples!#REF!)</f>
        <v>#REF!</v>
      </c>
      <c r="H425">
        <f>IFERROR(SEARCH(search!$B$6,samples!#REF!,1),0)</f>
        <v>0</v>
      </c>
      <c r="I425" t="e">
        <f>IF(samples!#REF!=0,"",samples!#REF!)</f>
        <v>#REF!</v>
      </c>
      <c r="J425">
        <f>IFERROR(SEARCH(search!$B$6,samples!#REF!,1),0)</f>
        <v>0</v>
      </c>
      <c r="K425" t="e">
        <f>IF(samples!#REF!=0,"",samples!#REF!)</f>
        <v>#REF!</v>
      </c>
      <c r="L425">
        <f>IFERROR(SEARCH(search!$B$6,samples!#REF!,1),0)</f>
        <v>0</v>
      </c>
      <c r="M425" t="e">
        <f>IF(samples!#REF!=0,"",samples!#REF!)</f>
        <v>#REF!</v>
      </c>
      <c r="N425">
        <f>IFERROR(SEARCH(search!$B$6,samples!#REF!,1),0)</f>
        <v>0</v>
      </c>
      <c r="O425" t="e">
        <f>IF(samples!#REF!=0,"",samples!#REF!)</f>
        <v>#REF!</v>
      </c>
      <c r="P425">
        <f>IFERROR(SEARCH(search!$B$6,samples!#REF!,1),0)</f>
        <v>0</v>
      </c>
      <c r="Q425" t="e">
        <f>IF(samples!#REF!=0,"",samples!#REF!)</f>
        <v>#REF!</v>
      </c>
      <c r="R425">
        <f>IFERROR(SEARCH(search!$B$6,samples!#REF!,1),0)</f>
        <v>0</v>
      </c>
      <c r="S425" t="e">
        <f>IF(samples!#REF!=0,"",samples!#REF!)</f>
        <v>#REF!</v>
      </c>
      <c r="T425">
        <f>IFERROR(SEARCH(search!$B$6,samples!#REF!,1),0)</f>
        <v>0</v>
      </c>
      <c r="U425" t="e">
        <f>IF(samples!#REF!=0,"",samples!#REF!)</f>
        <v>#REF!</v>
      </c>
      <c r="V425">
        <f>IFERROR(SEARCH(search!$B$6,samples!#REF!,1),0)</f>
        <v>0</v>
      </c>
      <c r="W425" t="e">
        <f>IF(samples!#REF!=0,"",samples!#REF!)</f>
        <v>#REF!</v>
      </c>
      <c r="X425">
        <f>IFERROR(SEARCH(search!$B$6,samples!#REF!,1),0)</f>
        <v>0</v>
      </c>
      <c r="Y425" t="e">
        <f>IF(samples!#REF!=0,"",samples!#REF!)</f>
        <v>#REF!</v>
      </c>
      <c r="Z425">
        <f>IFERROR(SEARCH(search!$B$6,samples!#REF!,1),0)</f>
        <v>0</v>
      </c>
      <c r="AA425" t="e">
        <f>IF(samples!#REF!=0,"",samples!#REF!)</f>
        <v>#REF!</v>
      </c>
      <c r="AB425">
        <f>IFERROR(SEARCH(search!$B$6,samples!#REF!,1),0)</f>
        <v>0</v>
      </c>
      <c r="AC425" t="e">
        <f>IF(samples!#REF!=0,"",samples!#REF!)</f>
        <v>#REF!</v>
      </c>
      <c r="AD425">
        <f>IFERROR(SEARCH(search!$B$6,samples!#REF!,1),0)</f>
        <v>0</v>
      </c>
    </row>
    <row r="426" spans="1:30">
      <c r="A426">
        <f t="shared" si="6"/>
        <v>0</v>
      </c>
      <c r="B426">
        <f>IF(SUM(D426,F426,H426,J426,L426,N426,P426,R426,T426,V426,X426,Z426,AB426,AD426)&gt;0,SUM($A$2:A426),0)</f>
        <v>0</v>
      </c>
      <c r="C426" t="e">
        <f>samples!#REF!</f>
        <v>#REF!</v>
      </c>
      <c r="D426">
        <f>IFERROR(SEARCH(search!$B$6,samples!#REF!,1),0)</f>
        <v>0</v>
      </c>
      <c r="E426" t="e">
        <f>IF(samples!#REF!=0,"",samples!#REF!)</f>
        <v>#REF!</v>
      </c>
      <c r="F426">
        <f>IFERROR(SEARCH(search!$B$6,samples!#REF!,1),0)</f>
        <v>0</v>
      </c>
      <c r="G426" t="e">
        <f>IF(samples!#REF!=0,"",samples!#REF!)</f>
        <v>#REF!</v>
      </c>
      <c r="H426">
        <f>IFERROR(SEARCH(search!$B$6,samples!#REF!,1),0)</f>
        <v>0</v>
      </c>
      <c r="I426" t="e">
        <f>IF(samples!#REF!=0,"",samples!#REF!)</f>
        <v>#REF!</v>
      </c>
      <c r="J426">
        <f>IFERROR(SEARCH(search!$B$6,samples!#REF!,1),0)</f>
        <v>0</v>
      </c>
      <c r="K426" t="e">
        <f>IF(samples!#REF!=0,"",samples!#REF!)</f>
        <v>#REF!</v>
      </c>
      <c r="L426">
        <f>IFERROR(SEARCH(search!$B$6,samples!#REF!,1),0)</f>
        <v>0</v>
      </c>
      <c r="M426" t="e">
        <f>IF(samples!#REF!=0,"",samples!#REF!)</f>
        <v>#REF!</v>
      </c>
      <c r="N426">
        <f>IFERROR(SEARCH(search!$B$6,samples!#REF!,1),0)</f>
        <v>0</v>
      </c>
      <c r="O426" t="e">
        <f>IF(samples!#REF!=0,"",samples!#REF!)</f>
        <v>#REF!</v>
      </c>
      <c r="P426">
        <f>IFERROR(SEARCH(search!$B$6,samples!#REF!,1),0)</f>
        <v>0</v>
      </c>
      <c r="Q426" t="e">
        <f>IF(samples!#REF!=0,"",samples!#REF!)</f>
        <v>#REF!</v>
      </c>
      <c r="R426">
        <f>IFERROR(SEARCH(search!$B$6,samples!#REF!,1),0)</f>
        <v>0</v>
      </c>
      <c r="S426" t="e">
        <f>IF(samples!#REF!=0,"",samples!#REF!)</f>
        <v>#REF!</v>
      </c>
      <c r="T426">
        <f>IFERROR(SEARCH(search!$B$6,samples!#REF!,1),0)</f>
        <v>0</v>
      </c>
      <c r="U426" t="e">
        <f>IF(samples!#REF!=0,"",samples!#REF!)</f>
        <v>#REF!</v>
      </c>
      <c r="V426">
        <f>IFERROR(SEARCH(search!$B$6,samples!#REF!,1),0)</f>
        <v>0</v>
      </c>
      <c r="W426" t="e">
        <f>IF(samples!#REF!=0,"",samples!#REF!)</f>
        <v>#REF!</v>
      </c>
      <c r="X426">
        <f>IFERROR(SEARCH(search!$B$6,samples!#REF!,1),0)</f>
        <v>0</v>
      </c>
      <c r="Y426" t="e">
        <f>IF(samples!#REF!=0,"",samples!#REF!)</f>
        <v>#REF!</v>
      </c>
      <c r="Z426">
        <f>IFERROR(SEARCH(search!$B$6,samples!#REF!,1),0)</f>
        <v>0</v>
      </c>
      <c r="AA426" t="e">
        <f>IF(samples!#REF!=0,"",samples!#REF!)</f>
        <v>#REF!</v>
      </c>
      <c r="AB426">
        <f>IFERROR(SEARCH(search!$B$6,samples!#REF!,1),0)</f>
        <v>0</v>
      </c>
      <c r="AC426" t="e">
        <f>IF(samples!#REF!=0,"",samples!#REF!)</f>
        <v>#REF!</v>
      </c>
      <c r="AD426">
        <f>IFERROR(SEARCH(search!$B$6,samples!#REF!,1),0)</f>
        <v>0</v>
      </c>
    </row>
    <row r="427" spans="1:30">
      <c r="A427">
        <f t="shared" si="6"/>
        <v>0</v>
      </c>
      <c r="B427">
        <f>IF(SUM(D427,F427,H427,J427,L427,N427,P427,R427,T427,V427,X427,Z427,AB427,AD427)&gt;0,SUM($A$2:A427),0)</f>
        <v>0</v>
      </c>
      <c r="C427" t="e">
        <f>samples!#REF!</f>
        <v>#REF!</v>
      </c>
      <c r="D427">
        <f>IFERROR(SEARCH(search!$B$6,samples!#REF!,1),0)</f>
        <v>0</v>
      </c>
      <c r="E427" t="e">
        <f>IF(samples!#REF!=0,"",samples!#REF!)</f>
        <v>#REF!</v>
      </c>
      <c r="F427">
        <f>IFERROR(SEARCH(search!$B$6,samples!#REF!,1),0)</f>
        <v>0</v>
      </c>
      <c r="G427" t="e">
        <f>IF(samples!#REF!=0,"",samples!#REF!)</f>
        <v>#REF!</v>
      </c>
      <c r="H427">
        <f>IFERROR(SEARCH(search!$B$6,samples!#REF!,1),0)</f>
        <v>0</v>
      </c>
      <c r="I427" t="e">
        <f>IF(samples!#REF!=0,"",samples!#REF!)</f>
        <v>#REF!</v>
      </c>
      <c r="J427">
        <f>IFERROR(SEARCH(search!$B$6,samples!#REF!,1),0)</f>
        <v>0</v>
      </c>
      <c r="K427" t="e">
        <f>IF(samples!#REF!=0,"",samples!#REF!)</f>
        <v>#REF!</v>
      </c>
      <c r="L427">
        <f>IFERROR(SEARCH(search!$B$6,samples!#REF!,1),0)</f>
        <v>0</v>
      </c>
      <c r="M427" t="e">
        <f>IF(samples!#REF!=0,"",samples!#REF!)</f>
        <v>#REF!</v>
      </c>
      <c r="N427">
        <f>IFERROR(SEARCH(search!$B$6,samples!#REF!,1),0)</f>
        <v>0</v>
      </c>
      <c r="O427" t="e">
        <f>IF(samples!#REF!=0,"",samples!#REF!)</f>
        <v>#REF!</v>
      </c>
      <c r="P427">
        <f>IFERROR(SEARCH(search!$B$6,samples!#REF!,1),0)</f>
        <v>0</v>
      </c>
      <c r="Q427" t="e">
        <f>IF(samples!#REF!=0,"",samples!#REF!)</f>
        <v>#REF!</v>
      </c>
      <c r="R427">
        <f>IFERROR(SEARCH(search!$B$6,samples!#REF!,1),0)</f>
        <v>0</v>
      </c>
      <c r="S427" t="e">
        <f>IF(samples!#REF!=0,"",samples!#REF!)</f>
        <v>#REF!</v>
      </c>
      <c r="T427">
        <f>IFERROR(SEARCH(search!$B$6,samples!#REF!,1),0)</f>
        <v>0</v>
      </c>
      <c r="U427" t="e">
        <f>IF(samples!#REF!=0,"",samples!#REF!)</f>
        <v>#REF!</v>
      </c>
      <c r="V427">
        <f>IFERROR(SEARCH(search!$B$6,samples!#REF!,1),0)</f>
        <v>0</v>
      </c>
      <c r="W427" t="e">
        <f>IF(samples!#REF!=0,"",samples!#REF!)</f>
        <v>#REF!</v>
      </c>
      <c r="X427">
        <f>IFERROR(SEARCH(search!$B$6,samples!#REF!,1),0)</f>
        <v>0</v>
      </c>
      <c r="Y427" t="e">
        <f>IF(samples!#REF!=0,"",samples!#REF!)</f>
        <v>#REF!</v>
      </c>
      <c r="Z427">
        <f>IFERROR(SEARCH(search!$B$6,samples!#REF!,1),0)</f>
        <v>0</v>
      </c>
      <c r="AA427" t="e">
        <f>IF(samples!#REF!=0,"",samples!#REF!)</f>
        <v>#REF!</v>
      </c>
      <c r="AB427">
        <f>IFERROR(SEARCH(search!$B$6,samples!#REF!,1),0)</f>
        <v>0</v>
      </c>
      <c r="AC427" t="e">
        <f>IF(samples!#REF!=0,"",samples!#REF!)</f>
        <v>#REF!</v>
      </c>
      <c r="AD427">
        <f>IFERROR(SEARCH(search!$B$6,samples!#REF!,1),0)</f>
        <v>0</v>
      </c>
    </row>
    <row r="428" spans="1:30">
      <c r="A428">
        <f t="shared" si="6"/>
        <v>0</v>
      </c>
      <c r="B428">
        <f>IF(SUM(D428,F428,H428,J428,L428,N428,P428,R428,T428,V428,X428,Z428,AB428,AD428)&gt;0,SUM($A$2:A428),0)</f>
        <v>0</v>
      </c>
      <c r="C428" t="e">
        <f>samples!#REF!</f>
        <v>#REF!</v>
      </c>
      <c r="D428">
        <f>IFERROR(SEARCH(search!$B$6,samples!#REF!,1),0)</f>
        <v>0</v>
      </c>
      <c r="E428" t="e">
        <f>IF(samples!#REF!=0,"",samples!#REF!)</f>
        <v>#REF!</v>
      </c>
      <c r="F428">
        <f>IFERROR(SEARCH(search!$B$6,samples!#REF!,1),0)</f>
        <v>0</v>
      </c>
      <c r="G428" t="e">
        <f>IF(samples!#REF!=0,"",samples!#REF!)</f>
        <v>#REF!</v>
      </c>
      <c r="H428">
        <f>IFERROR(SEARCH(search!$B$6,samples!#REF!,1),0)</f>
        <v>0</v>
      </c>
      <c r="I428" t="e">
        <f>IF(samples!#REF!=0,"",samples!#REF!)</f>
        <v>#REF!</v>
      </c>
      <c r="J428">
        <f>IFERROR(SEARCH(search!$B$6,samples!#REF!,1),0)</f>
        <v>0</v>
      </c>
      <c r="K428" t="e">
        <f>IF(samples!#REF!=0,"",samples!#REF!)</f>
        <v>#REF!</v>
      </c>
      <c r="L428">
        <f>IFERROR(SEARCH(search!$B$6,samples!#REF!,1),0)</f>
        <v>0</v>
      </c>
      <c r="M428" t="e">
        <f>IF(samples!#REF!=0,"",samples!#REF!)</f>
        <v>#REF!</v>
      </c>
      <c r="N428">
        <f>IFERROR(SEARCH(search!$B$6,samples!#REF!,1),0)</f>
        <v>0</v>
      </c>
      <c r="O428" t="e">
        <f>IF(samples!#REF!=0,"",samples!#REF!)</f>
        <v>#REF!</v>
      </c>
      <c r="P428">
        <f>IFERROR(SEARCH(search!$B$6,samples!#REF!,1),0)</f>
        <v>0</v>
      </c>
      <c r="Q428" t="e">
        <f>IF(samples!#REF!=0,"",samples!#REF!)</f>
        <v>#REF!</v>
      </c>
      <c r="R428">
        <f>IFERROR(SEARCH(search!$B$6,samples!#REF!,1),0)</f>
        <v>0</v>
      </c>
      <c r="S428" t="e">
        <f>IF(samples!#REF!=0,"",samples!#REF!)</f>
        <v>#REF!</v>
      </c>
      <c r="T428">
        <f>IFERROR(SEARCH(search!$B$6,samples!#REF!,1),0)</f>
        <v>0</v>
      </c>
      <c r="U428" t="e">
        <f>IF(samples!#REF!=0,"",samples!#REF!)</f>
        <v>#REF!</v>
      </c>
      <c r="V428">
        <f>IFERROR(SEARCH(search!$B$6,samples!#REF!,1),0)</f>
        <v>0</v>
      </c>
      <c r="W428" t="e">
        <f>IF(samples!#REF!=0,"",samples!#REF!)</f>
        <v>#REF!</v>
      </c>
      <c r="X428">
        <f>IFERROR(SEARCH(search!$B$6,samples!#REF!,1),0)</f>
        <v>0</v>
      </c>
      <c r="Y428" t="e">
        <f>IF(samples!#REF!=0,"",samples!#REF!)</f>
        <v>#REF!</v>
      </c>
      <c r="Z428">
        <f>IFERROR(SEARCH(search!$B$6,samples!#REF!,1),0)</f>
        <v>0</v>
      </c>
      <c r="AA428" t="e">
        <f>IF(samples!#REF!=0,"",samples!#REF!)</f>
        <v>#REF!</v>
      </c>
      <c r="AB428">
        <f>IFERROR(SEARCH(search!$B$6,samples!#REF!,1),0)</f>
        <v>0</v>
      </c>
      <c r="AC428" t="e">
        <f>IF(samples!#REF!=0,"",samples!#REF!)</f>
        <v>#REF!</v>
      </c>
      <c r="AD428">
        <f>IFERROR(SEARCH(search!$B$6,samples!#REF!,1),0)</f>
        <v>0</v>
      </c>
    </row>
    <row r="429" spans="1:30">
      <c r="A429">
        <f t="shared" si="6"/>
        <v>0</v>
      </c>
      <c r="B429">
        <f>IF(SUM(D429,F429,H429,J429,L429,N429,P429,R429,T429,V429,X429,Z429,AB429,AD429)&gt;0,SUM($A$2:A429),0)</f>
        <v>0</v>
      </c>
      <c r="C429" t="e">
        <f>samples!#REF!</f>
        <v>#REF!</v>
      </c>
      <c r="D429">
        <f>IFERROR(SEARCH(search!$B$6,samples!#REF!,1),0)</f>
        <v>0</v>
      </c>
      <c r="E429" t="e">
        <f>IF(samples!#REF!=0,"",samples!#REF!)</f>
        <v>#REF!</v>
      </c>
      <c r="F429">
        <f>IFERROR(SEARCH(search!$B$6,samples!#REF!,1),0)</f>
        <v>0</v>
      </c>
      <c r="G429" t="e">
        <f>IF(samples!#REF!=0,"",samples!#REF!)</f>
        <v>#REF!</v>
      </c>
      <c r="H429">
        <f>IFERROR(SEARCH(search!$B$6,samples!#REF!,1),0)</f>
        <v>0</v>
      </c>
      <c r="I429" t="e">
        <f>IF(samples!#REF!=0,"",samples!#REF!)</f>
        <v>#REF!</v>
      </c>
      <c r="J429">
        <f>IFERROR(SEARCH(search!$B$6,samples!#REF!,1),0)</f>
        <v>0</v>
      </c>
      <c r="K429" t="e">
        <f>IF(samples!#REF!=0,"",samples!#REF!)</f>
        <v>#REF!</v>
      </c>
      <c r="L429">
        <f>IFERROR(SEARCH(search!$B$6,samples!#REF!,1),0)</f>
        <v>0</v>
      </c>
      <c r="M429" t="e">
        <f>IF(samples!#REF!=0,"",samples!#REF!)</f>
        <v>#REF!</v>
      </c>
      <c r="N429">
        <f>IFERROR(SEARCH(search!$B$6,samples!#REF!,1),0)</f>
        <v>0</v>
      </c>
      <c r="O429" t="e">
        <f>IF(samples!#REF!=0,"",samples!#REF!)</f>
        <v>#REF!</v>
      </c>
      <c r="P429">
        <f>IFERROR(SEARCH(search!$B$6,samples!#REF!,1),0)</f>
        <v>0</v>
      </c>
      <c r="Q429" t="e">
        <f>IF(samples!#REF!=0,"",samples!#REF!)</f>
        <v>#REF!</v>
      </c>
      <c r="R429">
        <f>IFERROR(SEARCH(search!$B$6,samples!#REF!,1),0)</f>
        <v>0</v>
      </c>
      <c r="S429" t="e">
        <f>IF(samples!#REF!=0,"",samples!#REF!)</f>
        <v>#REF!</v>
      </c>
      <c r="T429">
        <f>IFERROR(SEARCH(search!$B$6,samples!#REF!,1),0)</f>
        <v>0</v>
      </c>
      <c r="U429" t="e">
        <f>IF(samples!#REF!=0,"",samples!#REF!)</f>
        <v>#REF!</v>
      </c>
      <c r="V429">
        <f>IFERROR(SEARCH(search!$B$6,samples!#REF!,1),0)</f>
        <v>0</v>
      </c>
      <c r="W429" t="e">
        <f>IF(samples!#REF!=0,"",samples!#REF!)</f>
        <v>#REF!</v>
      </c>
      <c r="X429">
        <f>IFERROR(SEARCH(search!$B$6,samples!#REF!,1),0)</f>
        <v>0</v>
      </c>
      <c r="Y429" t="e">
        <f>IF(samples!#REF!=0,"",samples!#REF!)</f>
        <v>#REF!</v>
      </c>
      <c r="Z429">
        <f>IFERROR(SEARCH(search!$B$6,samples!#REF!,1),0)</f>
        <v>0</v>
      </c>
      <c r="AA429" t="e">
        <f>IF(samples!#REF!=0,"",samples!#REF!)</f>
        <v>#REF!</v>
      </c>
      <c r="AB429">
        <f>IFERROR(SEARCH(search!$B$6,samples!#REF!,1),0)</f>
        <v>0</v>
      </c>
      <c r="AC429" t="e">
        <f>IF(samples!#REF!=0,"",samples!#REF!)</f>
        <v>#REF!</v>
      </c>
      <c r="AD429">
        <f>IFERROR(SEARCH(search!$B$6,samples!#REF!,1),0)</f>
        <v>0</v>
      </c>
    </row>
    <row r="430" spans="1:30">
      <c r="A430">
        <f t="shared" si="6"/>
        <v>0</v>
      </c>
      <c r="B430">
        <f>IF(SUM(D430,F430,H430,J430,L430,N430,P430,R430,T430,V430,X430,Z430,AB430,AD430)&gt;0,SUM($A$2:A430),0)</f>
        <v>0</v>
      </c>
      <c r="C430" t="e">
        <f>samples!#REF!</f>
        <v>#REF!</v>
      </c>
      <c r="D430">
        <f>IFERROR(SEARCH(search!$B$6,samples!#REF!,1),0)</f>
        <v>0</v>
      </c>
      <c r="E430" t="e">
        <f>IF(samples!#REF!=0,"",samples!#REF!)</f>
        <v>#REF!</v>
      </c>
      <c r="F430">
        <f>IFERROR(SEARCH(search!$B$6,samples!#REF!,1),0)</f>
        <v>0</v>
      </c>
      <c r="G430" t="e">
        <f>IF(samples!#REF!=0,"",samples!#REF!)</f>
        <v>#REF!</v>
      </c>
      <c r="H430">
        <f>IFERROR(SEARCH(search!$B$6,samples!#REF!,1),0)</f>
        <v>0</v>
      </c>
      <c r="I430" t="e">
        <f>IF(samples!#REF!=0,"",samples!#REF!)</f>
        <v>#REF!</v>
      </c>
      <c r="J430">
        <f>IFERROR(SEARCH(search!$B$6,samples!#REF!,1),0)</f>
        <v>0</v>
      </c>
      <c r="K430" t="e">
        <f>IF(samples!#REF!=0,"",samples!#REF!)</f>
        <v>#REF!</v>
      </c>
      <c r="L430">
        <f>IFERROR(SEARCH(search!$B$6,samples!#REF!,1),0)</f>
        <v>0</v>
      </c>
      <c r="M430" t="e">
        <f>IF(samples!#REF!=0,"",samples!#REF!)</f>
        <v>#REF!</v>
      </c>
      <c r="N430">
        <f>IFERROR(SEARCH(search!$B$6,samples!#REF!,1),0)</f>
        <v>0</v>
      </c>
      <c r="O430" t="e">
        <f>IF(samples!#REF!=0,"",samples!#REF!)</f>
        <v>#REF!</v>
      </c>
      <c r="P430">
        <f>IFERROR(SEARCH(search!$B$6,samples!#REF!,1),0)</f>
        <v>0</v>
      </c>
      <c r="Q430" t="e">
        <f>IF(samples!#REF!=0,"",samples!#REF!)</f>
        <v>#REF!</v>
      </c>
      <c r="R430">
        <f>IFERROR(SEARCH(search!$B$6,samples!#REF!,1),0)</f>
        <v>0</v>
      </c>
      <c r="S430" t="e">
        <f>IF(samples!#REF!=0,"",samples!#REF!)</f>
        <v>#REF!</v>
      </c>
      <c r="T430">
        <f>IFERROR(SEARCH(search!$B$6,samples!#REF!,1),0)</f>
        <v>0</v>
      </c>
      <c r="U430" t="e">
        <f>IF(samples!#REF!=0,"",samples!#REF!)</f>
        <v>#REF!</v>
      </c>
      <c r="V430">
        <f>IFERROR(SEARCH(search!$B$6,samples!#REF!,1),0)</f>
        <v>0</v>
      </c>
      <c r="W430" t="e">
        <f>IF(samples!#REF!=0,"",samples!#REF!)</f>
        <v>#REF!</v>
      </c>
      <c r="X430">
        <f>IFERROR(SEARCH(search!$B$6,samples!#REF!,1),0)</f>
        <v>0</v>
      </c>
      <c r="Y430" t="e">
        <f>IF(samples!#REF!=0,"",samples!#REF!)</f>
        <v>#REF!</v>
      </c>
      <c r="Z430">
        <f>IFERROR(SEARCH(search!$B$6,samples!#REF!,1),0)</f>
        <v>0</v>
      </c>
      <c r="AA430" t="e">
        <f>IF(samples!#REF!=0,"",samples!#REF!)</f>
        <v>#REF!</v>
      </c>
      <c r="AB430">
        <f>IFERROR(SEARCH(search!$B$6,samples!#REF!,1),0)</f>
        <v>0</v>
      </c>
      <c r="AC430" t="e">
        <f>IF(samples!#REF!=0,"",samples!#REF!)</f>
        <v>#REF!</v>
      </c>
      <c r="AD430">
        <f>IFERROR(SEARCH(search!$B$6,samples!#REF!,1),0)</f>
        <v>0</v>
      </c>
    </row>
    <row r="431" spans="1:30">
      <c r="A431">
        <f t="shared" si="6"/>
        <v>0</v>
      </c>
      <c r="B431">
        <f>IF(SUM(D431,F431,H431,J431,L431,N431,P431,R431,T431,V431,X431,Z431,AB431,AD431)&gt;0,SUM($A$2:A431),0)</f>
        <v>0</v>
      </c>
      <c r="C431" t="e">
        <f>samples!#REF!</f>
        <v>#REF!</v>
      </c>
      <c r="D431">
        <f>IFERROR(SEARCH(search!$B$6,samples!#REF!,1),0)</f>
        <v>0</v>
      </c>
      <c r="E431" t="e">
        <f>IF(samples!#REF!=0,"",samples!#REF!)</f>
        <v>#REF!</v>
      </c>
      <c r="F431">
        <f>IFERROR(SEARCH(search!$B$6,samples!#REF!,1),0)</f>
        <v>0</v>
      </c>
      <c r="G431" t="e">
        <f>IF(samples!#REF!=0,"",samples!#REF!)</f>
        <v>#REF!</v>
      </c>
      <c r="H431">
        <f>IFERROR(SEARCH(search!$B$6,samples!#REF!,1),0)</f>
        <v>0</v>
      </c>
      <c r="I431" t="e">
        <f>IF(samples!#REF!=0,"",samples!#REF!)</f>
        <v>#REF!</v>
      </c>
      <c r="J431">
        <f>IFERROR(SEARCH(search!$B$6,samples!#REF!,1),0)</f>
        <v>0</v>
      </c>
      <c r="K431" t="e">
        <f>IF(samples!#REF!=0,"",samples!#REF!)</f>
        <v>#REF!</v>
      </c>
      <c r="L431">
        <f>IFERROR(SEARCH(search!$B$6,samples!#REF!,1),0)</f>
        <v>0</v>
      </c>
      <c r="M431" t="e">
        <f>IF(samples!#REF!=0,"",samples!#REF!)</f>
        <v>#REF!</v>
      </c>
      <c r="N431">
        <f>IFERROR(SEARCH(search!$B$6,samples!#REF!,1),0)</f>
        <v>0</v>
      </c>
      <c r="O431" t="e">
        <f>IF(samples!#REF!=0,"",samples!#REF!)</f>
        <v>#REF!</v>
      </c>
      <c r="P431">
        <f>IFERROR(SEARCH(search!$B$6,samples!#REF!,1),0)</f>
        <v>0</v>
      </c>
      <c r="Q431" t="e">
        <f>IF(samples!#REF!=0,"",samples!#REF!)</f>
        <v>#REF!</v>
      </c>
      <c r="R431">
        <f>IFERROR(SEARCH(search!$B$6,samples!#REF!,1),0)</f>
        <v>0</v>
      </c>
      <c r="S431" t="e">
        <f>IF(samples!#REF!=0,"",samples!#REF!)</f>
        <v>#REF!</v>
      </c>
      <c r="T431">
        <f>IFERROR(SEARCH(search!$B$6,samples!#REF!,1),0)</f>
        <v>0</v>
      </c>
      <c r="U431" t="e">
        <f>IF(samples!#REF!=0,"",samples!#REF!)</f>
        <v>#REF!</v>
      </c>
      <c r="V431">
        <f>IFERROR(SEARCH(search!$B$6,samples!#REF!,1),0)</f>
        <v>0</v>
      </c>
      <c r="W431" t="e">
        <f>IF(samples!#REF!=0,"",samples!#REF!)</f>
        <v>#REF!</v>
      </c>
      <c r="X431">
        <f>IFERROR(SEARCH(search!$B$6,samples!#REF!,1),0)</f>
        <v>0</v>
      </c>
      <c r="Y431" t="e">
        <f>IF(samples!#REF!=0,"",samples!#REF!)</f>
        <v>#REF!</v>
      </c>
      <c r="Z431">
        <f>IFERROR(SEARCH(search!$B$6,samples!#REF!,1),0)</f>
        <v>0</v>
      </c>
      <c r="AA431" t="e">
        <f>IF(samples!#REF!=0,"",samples!#REF!)</f>
        <v>#REF!</v>
      </c>
      <c r="AB431">
        <f>IFERROR(SEARCH(search!$B$6,samples!#REF!,1),0)</f>
        <v>0</v>
      </c>
      <c r="AC431" t="e">
        <f>IF(samples!#REF!=0,"",samples!#REF!)</f>
        <v>#REF!</v>
      </c>
      <c r="AD431">
        <f>IFERROR(SEARCH(search!$B$6,samples!#REF!,1),0)</f>
        <v>0</v>
      </c>
    </row>
    <row r="432" spans="1:30">
      <c r="A432">
        <f t="shared" si="6"/>
        <v>0</v>
      </c>
      <c r="B432">
        <f>IF(SUM(D432,F432,H432,J432,L432,N432,P432,R432,T432,V432,X432,Z432,AB432,AD432)&gt;0,SUM($A$2:A432),0)</f>
        <v>0</v>
      </c>
      <c r="C432" t="e">
        <f>samples!#REF!</f>
        <v>#REF!</v>
      </c>
      <c r="D432">
        <f>IFERROR(SEARCH(search!$B$6,samples!#REF!,1),0)</f>
        <v>0</v>
      </c>
      <c r="E432" t="e">
        <f>IF(samples!#REF!=0,"",samples!#REF!)</f>
        <v>#REF!</v>
      </c>
      <c r="F432">
        <f>IFERROR(SEARCH(search!$B$6,samples!#REF!,1),0)</f>
        <v>0</v>
      </c>
      <c r="G432" t="e">
        <f>IF(samples!#REF!=0,"",samples!#REF!)</f>
        <v>#REF!</v>
      </c>
      <c r="H432">
        <f>IFERROR(SEARCH(search!$B$6,samples!#REF!,1),0)</f>
        <v>0</v>
      </c>
      <c r="I432" t="e">
        <f>IF(samples!#REF!=0,"",samples!#REF!)</f>
        <v>#REF!</v>
      </c>
      <c r="J432">
        <f>IFERROR(SEARCH(search!$B$6,samples!#REF!,1),0)</f>
        <v>0</v>
      </c>
      <c r="K432" t="e">
        <f>IF(samples!#REF!=0,"",samples!#REF!)</f>
        <v>#REF!</v>
      </c>
      <c r="L432">
        <f>IFERROR(SEARCH(search!$B$6,samples!#REF!,1),0)</f>
        <v>0</v>
      </c>
      <c r="M432" t="e">
        <f>IF(samples!#REF!=0,"",samples!#REF!)</f>
        <v>#REF!</v>
      </c>
      <c r="N432">
        <f>IFERROR(SEARCH(search!$B$6,samples!#REF!,1),0)</f>
        <v>0</v>
      </c>
      <c r="O432" t="e">
        <f>IF(samples!#REF!=0,"",samples!#REF!)</f>
        <v>#REF!</v>
      </c>
      <c r="P432">
        <f>IFERROR(SEARCH(search!$B$6,samples!#REF!,1),0)</f>
        <v>0</v>
      </c>
      <c r="Q432" t="e">
        <f>IF(samples!#REF!=0,"",samples!#REF!)</f>
        <v>#REF!</v>
      </c>
      <c r="R432">
        <f>IFERROR(SEARCH(search!$B$6,samples!#REF!,1),0)</f>
        <v>0</v>
      </c>
      <c r="S432" t="e">
        <f>IF(samples!#REF!=0,"",samples!#REF!)</f>
        <v>#REF!</v>
      </c>
      <c r="T432">
        <f>IFERROR(SEARCH(search!$B$6,samples!#REF!,1),0)</f>
        <v>0</v>
      </c>
      <c r="U432" t="e">
        <f>IF(samples!#REF!=0,"",samples!#REF!)</f>
        <v>#REF!</v>
      </c>
      <c r="V432">
        <f>IFERROR(SEARCH(search!$B$6,samples!#REF!,1),0)</f>
        <v>0</v>
      </c>
      <c r="W432" t="e">
        <f>IF(samples!#REF!=0,"",samples!#REF!)</f>
        <v>#REF!</v>
      </c>
      <c r="X432">
        <f>IFERROR(SEARCH(search!$B$6,samples!#REF!,1),0)</f>
        <v>0</v>
      </c>
      <c r="Y432" t="e">
        <f>IF(samples!#REF!=0,"",samples!#REF!)</f>
        <v>#REF!</v>
      </c>
      <c r="Z432">
        <f>IFERROR(SEARCH(search!$B$6,samples!#REF!,1),0)</f>
        <v>0</v>
      </c>
      <c r="AA432" t="e">
        <f>IF(samples!#REF!=0,"",samples!#REF!)</f>
        <v>#REF!</v>
      </c>
      <c r="AB432">
        <f>IFERROR(SEARCH(search!$B$6,samples!#REF!,1),0)</f>
        <v>0</v>
      </c>
      <c r="AC432" t="e">
        <f>IF(samples!#REF!=0,"",samples!#REF!)</f>
        <v>#REF!</v>
      </c>
      <c r="AD432">
        <f>IFERROR(SEARCH(search!$B$6,samples!#REF!,1),0)</f>
        <v>0</v>
      </c>
    </row>
    <row r="433" spans="1:30">
      <c r="A433">
        <f t="shared" si="6"/>
        <v>0</v>
      </c>
      <c r="B433">
        <f>IF(SUM(D433,F433,H433,J433,L433,N433,P433,R433,T433,V433,X433,Z433,AB433,AD433)&gt;0,SUM($A$2:A433),0)</f>
        <v>0</v>
      </c>
      <c r="C433" t="e">
        <f>samples!#REF!</f>
        <v>#REF!</v>
      </c>
      <c r="D433">
        <f>IFERROR(SEARCH(search!$B$6,samples!#REF!,1),0)</f>
        <v>0</v>
      </c>
      <c r="E433" t="e">
        <f>IF(samples!#REF!=0,"",samples!#REF!)</f>
        <v>#REF!</v>
      </c>
      <c r="F433">
        <f>IFERROR(SEARCH(search!$B$6,samples!#REF!,1),0)</f>
        <v>0</v>
      </c>
      <c r="G433" t="e">
        <f>IF(samples!#REF!=0,"",samples!#REF!)</f>
        <v>#REF!</v>
      </c>
      <c r="H433">
        <f>IFERROR(SEARCH(search!$B$6,samples!#REF!,1),0)</f>
        <v>0</v>
      </c>
      <c r="I433" t="e">
        <f>IF(samples!#REF!=0,"",samples!#REF!)</f>
        <v>#REF!</v>
      </c>
      <c r="J433">
        <f>IFERROR(SEARCH(search!$B$6,samples!#REF!,1),0)</f>
        <v>0</v>
      </c>
      <c r="K433" t="e">
        <f>IF(samples!#REF!=0,"",samples!#REF!)</f>
        <v>#REF!</v>
      </c>
      <c r="L433">
        <f>IFERROR(SEARCH(search!$B$6,samples!#REF!,1),0)</f>
        <v>0</v>
      </c>
      <c r="M433" t="e">
        <f>IF(samples!#REF!=0,"",samples!#REF!)</f>
        <v>#REF!</v>
      </c>
      <c r="N433">
        <f>IFERROR(SEARCH(search!$B$6,samples!#REF!,1),0)</f>
        <v>0</v>
      </c>
      <c r="O433" t="e">
        <f>IF(samples!#REF!=0,"",samples!#REF!)</f>
        <v>#REF!</v>
      </c>
      <c r="P433">
        <f>IFERROR(SEARCH(search!$B$6,samples!#REF!,1),0)</f>
        <v>0</v>
      </c>
      <c r="Q433" t="e">
        <f>IF(samples!#REF!=0,"",samples!#REF!)</f>
        <v>#REF!</v>
      </c>
      <c r="R433">
        <f>IFERROR(SEARCH(search!$B$6,samples!#REF!,1),0)</f>
        <v>0</v>
      </c>
      <c r="S433" t="e">
        <f>IF(samples!#REF!=0,"",samples!#REF!)</f>
        <v>#REF!</v>
      </c>
      <c r="T433">
        <f>IFERROR(SEARCH(search!$B$6,samples!#REF!,1),0)</f>
        <v>0</v>
      </c>
      <c r="U433" t="e">
        <f>IF(samples!#REF!=0,"",samples!#REF!)</f>
        <v>#REF!</v>
      </c>
      <c r="V433">
        <f>IFERROR(SEARCH(search!$B$6,samples!#REF!,1),0)</f>
        <v>0</v>
      </c>
      <c r="W433" t="e">
        <f>IF(samples!#REF!=0,"",samples!#REF!)</f>
        <v>#REF!</v>
      </c>
      <c r="X433">
        <f>IFERROR(SEARCH(search!$B$6,samples!#REF!,1),0)</f>
        <v>0</v>
      </c>
      <c r="Y433" t="e">
        <f>IF(samples!#REF!=0,"",samples!#REF!)</f>
        <v>#REF!</v>
      </c>
      <c r="Z433">
        <f>IFERROR(SEARCH(search!$B$6,samples!#REF!,1),0)</f>
        <v>0</v>
      </c>
      <c r="AA433" t="e">
        <f>IF(samples!#REF!=0,"",samples!#REF!)</f>
        <v>#REF!</v>
      </c>
      <c r="AB433">
        <f>IFERROR(SEARCH(search!$B$6,samples!#REF!,1),0)</f>
        <v>0</v>
      </c>
      <c r="AC433" t="e">
        <f>IF(samples!#REF!=0,"",samples!#REF!)</f>
        <v>#REF!</v>
      </c>
      <c r="AD433">
        <f>IFERROR(SEARCH(search!$B$6,samples!#REF!,1),0)</f>
        <v>0</v>
      </c>
    </row>
    <row r="434" spans="1:30">
      <c r="A434">
        <f t="shared" si="6"/>
        <v>0</v>
      </c>
      <c r="B434">
        <f>IF(SUM(D434,F434,H434,J434,L434,N434,P434,R434,T434,V434,X434,Z434,AB434,AD434)&gt;0,SUM($A$2:A434),0)</f>
        <v>0</v>
      </c>
      <c r="C434" t="e">
        <f>samples!#REF!</f>
        <v>#REF!</v>
      </c>
      <c r="D434">
        <f>IFERROR(SEARCH(search!$B$6,samples!#REF!,1),0)</f>
        <v>0</v>
      </c>
      <c r="E434" t="e">
        <f>IF(samples!#REF!=0,"",samples!#REF!)</f>
        <v>#REF!</v>
      </c>
      <c r="F434">
        <f>IFERROR(SEARCH(search!$B$6,samples!#REF!,1),0)</f>
        <v>0</v>
      </c>
      <c r="G434" t="e">
        <f>IF(samples!#REF!=0,"",samples!#REF!)</f>
        <v>#REF!</v>
      </c>
      <c r="H434">
        <f>IFERROR(SEARCH(search!$B$6,samples!#REF!,1),0)</f>
        <v>0</v>
      </c>
      <c r="I434" t="e">
        <f>IF(samples!#REF!=0,"",samples!#REF!)</f>
        <v>#REF!</v>
      </c>
      <c r="J434">
        <f>IFERROR(SEARCH(search!$B$6,samples!#REF!,1),0)</f>
        <v>0</v>
      </c>
      <c r="K434" t="e">
        <f>IF(samples!#REF!=0,"",samples!#REF!)</f>
        <v>#REF!</v>
      </c>
      <c r="L434">
        <f>IFERROR(SEARCH(search!$B$6,samples!#REF!,1),0)</f>
        <v>0</v>
      </c>
      <c r="M434" t="e">
        <f>IF(samples!#REF!=0,"",samples!#REF!)</f>
        <v>#REF!</v>
      </c>
      <c r="N434">
        <f>IFERROR(SEARCH(search!$B$6,samples!#REF!,1),0)</f>
        <v>0</v>
      </c>
      <c r="O434" t="e">
        <f>IF(samples!#REF!=0,"",samples!#REF!)</f>
        <v>#REF!</v>
      </c>
      <c r="P434">
        <f>IFERROR(SEARCH(search!$B$6,samples!#REF!,1),0)</f>
        <v>0</v>
      </c>
      <c r="Q434" t="e">
        <f>IF(samples!#REF!=0,"",samples!#REF!)</f>
        <v>#REF!</v>
      </c>
      <c r="R434">
        <f>IFERROR(SEARCH(search!$B$6,samples!#REF!,1),0)</f>
        <v>0</v>
      </c>
      <c r="S434" t="e">
        <f>IF(samples!#REF!=0,"",samples!#REF!)</f>
        <v>#REF!</v>
      </c>
      <c r="T434">
        <f>IFERROR(SEARCH(search!$B$6,samples!#REF!,1),0)</f>
        <v>0</v>
      </c>
      <c r="U434" t="e">
        <f>IF(samples!#REF!=0,"",samples!#REF!)</f>
        <v>#REF!</v>
      </c>
      <c r="V434">
        <f>IFERROR(SEARCH(search!$B$6,samples!#REF!,1),0)</f>
        <v>0</v>
      </c>
      <c r="W434" t="e">
        <f>IF(samples!#REF!=0,"",samples!#REF!)</f>
        <v>#REF!</v>
      </c>
      <c r="X434">
        <f>IFERROR(SEARCH(search!$B$6,samples!#REF!,1),0)</f>
        <v>0</v>
      </c>
      <c r="Y434" t="e">
        <f>IF(samples!#REF!=0,"",samples!#REF!)</f>
        <v>#REF!</v>
      </c>
      <c r="Z434">
        <f>IFERROR(SEARCH(search!$B$6,samples!#REF!,1),0)</f>
        <v>0</v>
      </c>
      <c r="AA434" t="e">
        <f>IF(samples!#REF!=0,"",samples!#REF!)</f>
        <v>#REF!</v>
      </c>
      <c r="AB434">
        <f>IFERROR(SEARCH(search!$B$6,samples!#REF!,1),0)</f>
        <v>0</v>
      </c>
      <c r="AC434" t="e">
        <f>IF(samples!#REF!=0,"",samples!#REF!)</f>
        <v>#REF!</v>
      </c>
      <c r="AD434">
        <f>IFERROR(SEARCH(search!$B$6,samples!#REF!,1),0)</f>
        <v>0</v>
      </c>
    </row>
    <row r="435" spans="1:30">
      <c r="A435">
        <f t="shared" si="6"/>
        <v>0</v>
      </c>
      <c r="B435">
        <f>IF(SUM(D435,F435,H435,J435,L435,N435,P435,R435,T435,V435,X435,Z435,AB435,AD435)&gt;0,SUM($A$2:A435),0)</f>
        <v>0</v>
      </c>
      <c r="C435" t="e">
        <f>samples!#REF!</f>
        <v>#REF!</v>
      </c>
      <c r="D435">
        <f>IFERROR(SEARCH(search!$B$6,samples!#REF!,1),0)</f>
        <v>0</v>
      </c>
      <c r="E435" t="e">
        <f>IF(samples!#REF!=0,"",samples!#REF!)</f>
        <v>#REF!</v>
      </c>
      <c r="F435">
        <f>IFERROR(SEARCH(search!$B$6,samples!#REF!,1),0)</f>
        <v>0</v>
      </c>
      <c r="G435" t="e">
        <f>IF(samples!#REF!=0,"",samples!#REF!)</f>
        <v>#REF!</v>
      </c>
      <c r="H435">
        <f>IFERROR(SEARCH(search!$B$6,samples!#REF!,1),0)</f>
        <v>0</v>
      </c>
      <c r="I435" t="e">
        <f>IF(samples!#REF!=0,"",samples!#REF!)</f>
        <v>#REF!</v>
      </c>
      <c r="J435">
        <f>IFERROR(SEARCH(search!$B$6,samples!#REF!,1),0)</f>
        <v>0</v>
      </c>
      <c r="K435" t="e">
        <f>IF(samples!#REF!=0,"",samples!#REF!)</f>
        <v>#REF!</v>
      </c>
      <c r="L435">
        <f>IFERROR(SEARCH(search!$B$6,samples!#REF!,1),0)</f>
        <v>0</v>
      </c>
      <c r="M435" t="e">
        <f>IF(samples!#REF!=0,"",samples!#REF!)</f>
        <v>#REF!</v>
      </c>
      <c r="N435">
        <f>IFERROR(SEARCH(search!$B$6,samples!#REF!,1),0)</f>
        <v>0</v>
      </c>
      <c r="O435" t="e">
        <f>IF(samples!#REF!=0,"",samples!#REF!)</f>
        <v>#REF!</v>
      </c>
      <c r="P435">
        <f>IFERROR(SEARCH(search!$B$6,samples!#REF!,1),0)</f>
        <v>0</v>
      </c>
      <c r="Q435" t="e">
        <f>IF(samples!#REF!=0,"",samples!#REF!)</f>
        <v>#REF!</v>
      </c>
      <c r="R435">
        <f>IFERROR(SEARCH(search!$B$6,samples!#REF!,1),0)</f>
        <v>0</v>
      </c>
      <c r="S435" t="e">
        <f>IF(samples!#REF!=0,"",samples!#REF!)</f>
        <v>#REF!</v>
      </c>
      <c r="T435">
        <f>IFERROR(SEARCH(search!$B$6,samples!#REF!,1),0)</f>
        <v>0</v>
      </c>
      <c r="U435" t="e">
        <f>IF(samples!#REF!=0,"",samples!#REF!)</f>
        <v>#REF!</v>
      </c>
      <c r="V435">
        <f>IFERROR(SEARCH(search!$B$6,samples!#REF!,1),0)</f>
        <v>0</v>
      </c>
      <c r="W435" t="e">
        <f>IF(samples!#REF!=0,"",samples!#REF!)</f>
        <v>#REF!</v>
      </c>
      <c r="X435">
        <f>IFERROR(SEARCH(search!$B$6,samples!#REF!,1),0)</f>
        <v>0</v>
      </c>
      <c r="Y435" t="e">
        <f>IF(samples!#REF!=0,"",samples!#REF!)</f>
        <v>#REF!</v>
      </c>
      <c r="Z435">
        <f>IFERROR(SEARCH(search!$B$6,samples!#REF!,1),0)</f>
        <v>0</v>
      </c>
      <c r="AA435" t="e">
        <f>IF(samples!#REF!=0,"",samples!#REF!)</f>
        <v>#REF!</v>
      </c>
      <c r="AB435">
        <f>IFERROR(SEARCH(search!$B$6,samples!#REF!,1),0)</f>
        <v>0</v>
      </c>
      <c r="AC435" t="e">
        <f>IF(samples!#REF!=0,"",samples!#REF!)</f>
        <v>#REF!</v>
      </c>
      <c r="AD435">
        <f>IFERROR(SEARCH(search!$B$6,samples!#REF!,1),0)</f>
        <v>0</v>
      </c>
    </row>
    <row r="436" spans="1:30">
      <c r="A436">
        <f t="shared" si="6"/>
        <v>0</v>
      </c>
      <c r="B436">
        <f>IF(SUM(D436,F436,H436,J436,L436,N436,P436,R436,T436,V436,X436,Z436,AB436,AD436)&gt;0,SUM($A$2:A436),0)</f>
        <v>0</v>
      </c>
      <c r="C436" t="e">
        <f>samples!#REF!</f>
        <v>#REF!</v>
      </c>
      <c r="D436">
        <f>IFERROR(SEARCH(search!$B$6,samples!#REF!,1),0)</f>
        <v>0</v>
      </c>
      <c r="E436" t="e">
        <f>IF(samples!#REF!=0,"",samples!#REF!)</f>
        <v>#REF!</v>
      </c>
      <c r="F436">
        <f>IFERROR(SEARCH(search!$B$6,samples!#REF!,1),0)</f>
        <v>0</v>
      </c>
      <c r="G436" t="e">
        <f>IF(samples!#REF!=0,"",samples!#REF!)</f>
        <v>#REF!</v>
      </c>
      <c r="H436">
        <f>IFERROR(SEARCH(search!$B$6,samples!#REF!,1),0)</f>
        <v>0</v>
      </c>
      <c r="I436" t="e">
        <f>IF(samples!#REF!=0,"",samples!#REF!)</f>
        <v>#REF!</v>
      </c>
      <c r="J436">
        <f>IFERROR(SEARCH(search!$B$6,samples!#REF!,1),0)</f>
        <v>0</v>
      </c>
      <c r="K436" t="e">
        <f>IF(samples!#REF!=0,"",samples!#REF!)</f>
        <v>#REF!</v>
      </c>
      <c r="L436">
        <f>IFERROR(SEARCH(search!$B$6,samples!#REF!,1),0)</f>
        <v>0</v>
      </c>
      <c r="M436" t="e">
        <f>IF(samples!#REF!=0,"",samples!#REF!)</f>
        <v>#REF!</v>
      </c>
      <c r="N436">
        <f>IFERROR(SEARCH(search!$B$6,samples!#REF!,1),0)</f>
        <v>0</v>
      </c>
      <c r="O436" t="e">
        <f>IF(samples!#REF!=0,"",samples!#REF!)</f>
        <v>#REF!</v>
      </c>
      <c r="P436">
        <f>IFERROR(SEARCH(search!$B$6,samples!#REF!,1),0)</f>
        <v>0</v>
      </c>
      <c r="Q436" t="e">
        <f>IF(samples!#REF!=0,"",samples!#REF!)</f>
        <v>#REF!</v>
      </c>
      <c r="R436">
        <f>IFERROR(SEARCH(search!$B$6,samples!#REF!,1),0)</f>
        <v>0</v>
      </c>
      <c r="S436" t="e">
        <f>IF(samples!#REF!=0,"",samples!#REF!)</f>
        <v>#REF!</v>
      </c>
      <c r="T436">
        <f>IFERROR(SEARCH(search!$B$6,samples!#REF!,1),0)</f>
        <v>0</v>
      </c>
      <c r="U436" t="e">
        <f>IF(samples!#REF!=0,"",samples!#REF!)</f>
        <v>#REF!</v>
      </c>
      <c r="V436">
        <f>IFERROR(SEARCH(search!$B$6,samples!#REF!,1),0)</f>
        <v>0</v>
      </c>
      <c r="W436" t="e">
        <f>IF(samples!#REF!=0,"",samples!#REF!)</f>
        <v>#REF!</v>
      </c>
      <c r="X436">
        <f>IFERROR(SEARCH(search!$B$6,samples!#REF!,1),0)</f>
        <v>0</v>
      </c>
      <c r="Y436" t="e">
        <f>IF(samples!#REF!=0,"",samples!#REF!)</f>
        <v>#REF!</v>
      </c>
      <c r="Z436">
        <f>IFERROR(SEARCH(search!$B$6,samples!#REF!,1),0)</f>
        <v>0</v>
      </c>
      <c r="AA436" t="e">
        <f>IF(samples!#REF!=0,"",samples!#REF!)</f>
        <v>#REF!</v>
      </c>
      <c r="AB436">
        <f>IFERROR(SEARCH(search!$B$6,samples!#REF!,1),0)</f>
        <v>0</v>
      </c>
      <c r="AC436" t="e">
        <f>IF(samples!#REF!=0,"",samples!#REF!)</f>
        <v>#REF!</v>
      </c>
      <c r="AD436">
        <f>IFERROR(SEARCH(search!$B$6,samples!#REF!,1),0)</f>
        <v>0</v>
      </c>
    </row>
    <row r="437" spans="1:30">
      <c r="A437">
        <f t="shared" si="6"/>
        <v>0</v>
      </c>
      <c r="B437">
        <f>IF(SUM(D437,F437,H437,J437,L437,N437,P437,R437,T437,V437,X437,Z437,AB437,AD437)&gt;0,SUM($A$2:A437),0)</f>
        <v>0</v>
      </c>
      <c r="C437" t="e">
        <f>samples!#REF!</f>
        <v>#REF!</v>
      </c>
      <c r="D437">
        <f>IFERROR(SEARCH(search!$B$6,samples!#REF!,1),0)</f>
        <v>0</v>
      </c>
      <c r="E437" t="e">
        <f>IF(samples!#REF!=0,"",samples!#REF!)</f>
        <v>#REF!</v>
      </c>
      <c r="F437">
        <f>IFERROR(SEARCH(search!$B$6,samples!#REF!,1),0)</f>
        <v>0</v>
      </c>
      <c r="G437" t="e">
        <f>IF(samples!#REF!=0,"",samples!#REF!)</f>
        <v>#REF!</v>
      </c>
      <c r="H437">
        <f>IFERROR(SEARCH(search!$B$6,samples!#REF!,1),0)</f>
        <v>0</v>
      </c>
      <c r="I437" t="e">
        <f>IF(samples!#REF!=0,"",samples!#REF!)</f>
        <v>#REF!</v>
      </c>
      <c r="J437">
        <f>IFERROR(SEARCH(search!$B$6,samples!#REF!,1),0)</f>
        <v>0</v>
      </c>
      <c r="K437" t="e">
        <f>IF(samples!#REF!=0,"",samples!#REF!)</f>
        <v>#REF!</v>
      </c>
      <c r="L437">
        <f>IFERROR(SEARCH(search!$B$6,samples!#REF!,1),0)</f>
        <v>0</v>
      </c>
      <c r="M437" t="e">
        <f>IF(samples!#REF!=0,"",samples!#REF!)</f>
        <v>#REF!</v>
      </c>
      <c r="N437">
        <f>IFERROR(SEARCH(search!$B$6,samples!#REF!,1),0)</f>
        <v>0</v>
      </c>
      <c r="O437" t="e">
        <f>IF(samples!#REF!=0,"",samples!#REF!)</f>
        <v>#REF!</v>
      </c>
      <c r="P437">
        <f>IFERROR(SEARCH(search!$B$6,samples!#REF!,1),0)</f>
        <v>0</v>
      </c>
      <c r="Q437" t="e">
        <f>IF(samples!#REF!=0,"",samples!#REF!)</f>
        <v>#REF!</v>
      </c>
      <c r="R437">
        <f>IFERROR(SEARCH(search!$B$6,samples!#REF!,1),0)</f>
        <v>0</v>
      </c>
      <c r="S437" t="e">
        <f>IF(samples!#REF!=0,"",samples!#REF!)</f>
        <v>#REF!</v>
      </c>
      <c r="T437">
        <f>IFERROR(SEARCH(search!$B$6,samples!#REF!,1),0)</f>
        <v>0</v>
      </c>
      <c r="U437" t="e">
        <f>IF(samples!#REF!=0,"",samples!#REF!)</f>
        <v>#REF!</v>
      </c>
      <c r="V437">
        <f>IFERROR(SEARCH(search!$B$6,samples!#REF!,1),0)</f>
        <v>0</v>
      </c>
      <c r="W437" t="e">
        <f>IF(samples!#REF!=0,"",samples!#REF!)</f>
        <v>#REF!</v>
      </c>
      <c r="X437">
        <f>IFERROR(SEARCH(search!$B$6,samples!#REF!,1),0)</f>
        <v>0</v>
      </c>
      <c r="Y437" t="e">
        <f>IF(samples!#REF!=0,"",samples!#REF!)</f>
        <v>#REF!</v>
      </c>
      <c r="Z437">
        <f>IFERROR(SEARCH(search!$B$6,samples!#REF!,1),0)</f>
        <v>0</v>
      </c>
      <c r="AA437" t="e">
        <f>IF(samples!#REF!=0,"",samples!#REF!)</f>
        <v>#REF!</v>
      </c>
      <c r="AB437">
        <f>IFERROR(SEARCH(search!$B$6,samples!#REF!,1),0)</f>
        <v>0</v>
      </c>
      <c r="AC437" t="e">
        <f>IF(samples!#REF!=0,"",samples!#REF!)</f>
        <v>#REF!</v>
      </c>
      <c r="AD437">
        <f>IFERROR(SEARCH(search!$B$6,samples!#REF!,1),0)</f>
        <v>0</v>
      </c>
    </row>
    <row r="438" spans="1:30">
      <c r="A438">
        <f t="shared" si="6"/>
        <v>0</v>
      </c>
      <c r="B438">
        <f>IF(SUM(D438,F438,H438,J438,L438,N438,P438,R438,T438,V438,X438,Z438,AB438,AD438)&gt;0,SUM($A$2:A438),0)</f>
        <v>0</v>
      </c>
      <c r="C438" t="e">
        <f>samples!#REF!</f>
        <v>#REF!</v>
      </c>
      <c r="D438">
        <f>IFERROR(SEARCH(search!$B$6,samples!#REF!,1),0)</f>
        <v>0</v>
      </c>
      <c r="E438" t="e">
        <f>IF(samples!#REF!=0,"",samples!#REF!)</f>
        <v>#REF!</v>
      </c>
      <c r="F438">
        <f>IFERROR(SEARCH(search!$B$6,samples!#REF!,1),0)</f>
        <v>0</v>
      </c>
      <c r="G438" t="e">
        <f>IF(samples!#REF!=0,"",samples!#REF!)</f>
        <v>#REF!</v>
      </c>
      <c r="H438">
        <f>IFERROR(SEARCH(search!$B$6,samples!#REF!,1),0)</f>
        <v>0</v>
      </c>
      <c r="I438" t="e">
        <f>IF(samples!#REF!=0,"",samples!#REF!)</f>
        <v>#REF!</v>
      </c>
      <c r="J438">
        <f>IFERROR(SEARCH(search!$B$6,samples!#REF!,1),0)</f>
        <v>0</v>
      </c>
      <c r="K438" t="e">
        <f>IF(samples!#REF!=0,"",samples!#REF!)</f>
        <v>#REF!</v>
      </c>
      <c r="L438">
        <f>IFERROR(SEARCH(search!$B$6,samples!#REF!,1),0)</f>
        <v>0</v>
      </c>
      <c r="M438" t="e">
        <f>IF(samples!#REF!=0,"",samples!#REF!)</f>
        <v>#REF!</v>
      </c>
      <c r="N438">
        <f>IFERROR(SEARCH(search!$B$6,samples!#REF!,1),0)</f>
        <v>0</v>
      </c>
      <c r="O438" t="e">
        <f>IF(samples!#REF!=0,"",samples!#REF!)</f>
        <v>#REF!</v>
      </c>
      <c r="P438">
        <f>IFERROR(SEARCH(search!$B$6,samples!#REF!,1),0)</f>
        <v>0</v>
      </c>
      <c r="Q438" t="e">
        <f>IF(samples!#REF!=0,"",samples!#REF!)</f>
        <v>#REF!</v>
      </c>
      <c r="R438">
        <f>IFERROR(SEARCH(search!$B$6,samples!#REF!,1),0)</f>
        <v>0</v>
      </c>
      <c r="S438" t="e">
        <f>IF(samples!#REF!=0,"",samples!#REF!)</f>
        <v>#REF!</v>
      </c>
      <c r="T438">
        <f>IFERROR(SEARCH(search!$B$6,samples!#REF!,1),0)</f>
        <v>0</v>
      </c>
      <c r="U438" t="e">
        <f>IF(samples!#REF!=0,"",samples!#REF!)</f>
        <v>#REF!</v>
      </c>
      <c r="V438">
        <f>IFERROR(SEARCH(search!$B$6,samples!#REF!,1),0)</f>
        <v>0</v>
      </c>
      <c r="W438" t="e">
        <f>IF(samples!#REF!=0,"",samples!#REF!)</f>
        <v>#REF!</v>
      </c>
      <c r="X438">
        <f>IFERROR(SEARCH(search!$B$6,samples!#REF!,1),0)</f>
        <v>0</v>
      </c>
      <c r="Y438" t="e">
        <f>IF(samples!#REF!=0,"",samples!#REF!)</f>
        <v>#REF!</v>
      </c>
      <c r="Z438">
        <f>IFERROR(SEARCH(search!$B$6,samples!#REF!,1),0)</f>
        <v>0</v>
      </c>
      <c r="AA438" t="e">
        <f>IF(samples!#REF!=0,"",samples!#REF!)</f>
        <v>#REF!</v>
      </c>
      <c r="AB438">
        <f>IFERROR(SEARCH(search!$B$6,samples!#REF!,1),0)</f>
        <v>0</v>
      </c>
      <c r="AC438" t="e">
        <f>IF(samples!#REF!=0,"",samples!#REF!)</f>
        <v>#REF!</v>
      </c>
      <c r="AD438">
        <f>IFERROR(SEARCH(search!$B$6,samples!#REF!,1),0)</f>
        <v>0</v>
      </c>
    </row>
    <row r="439" spans="1:30">
      <c r="A439">
        <f t="shared" si="6"/>
        <v>0</v>
      </c>
      <c r="B439">
        <f>IF(SUM(D439,F439,H439,J439,L439,N439,P439,R439,T439,V439,X439,Z439,AB439,AD439)&gt;0,SUM($A$2:A439),0)</f>
        <v>0</v>
      </c>
      <c r="C439" t="e">
        <f>samples!#REF!</f>
        <v>#REF!</v>
      </c>
      <c r="D439">
        <f>IFERROR(SEARCH(search!$B$6,samples!#REF!,1),0)</f>
        <v>0</v>
      </c>
      <c r="E439" t="e">
        <f>IF(samples!#REF!=0,"",samples!#REF!)</f>
        <v>#REF!</v>
      </c>
      <c r="F439">
        <f>IFERROR(SEARCH(search!$B$6,samples!#REF!,1),0)</f>
        <v>0</v>
      </c>
      <c r="G439" t="e">
        <f>IF(samples!#REF!=0,"",samples!#REF!)</f>
        <v>#REF!</v>
      </c>
      <c r="H439">
        <f>IFERROR(SEARCH(search!$B$6,samples!#REF!,1),0)</f>
        <v>0</v>
      </c>
      <c r="I439" t="e">
        <f>IF(samples!#REF!=0,"",samples!#REF!)</f>
        <v>#REF!</v>
      </c>
      <c r="J439">
        <f>IFERROR(SEARCH(search!$B$6,samples!#REF!,1),0)</f>
        <v>0</v>
      </c>
      <c r="K439" t="e">
        <f>IF(samples!#REF!=0,"",samples!#REF!)</f>
        <v>#REF!</v>
      </c>
      <c r="L439">
        <f>IFERROR(SEARCH(search!$B$6,samples!#REF!,1),0)</f>
        <v>0</v>
      </c>
      <c r="M439" t="e">
        <f>IF(samples!#REF!=0,"",samples!#REF!)</f>
        <v>#REF!</v>
      </c>
      <c r="N439">
        <f>IFERROR(SEARCH(search!$B$6,samples!#REF!,1),0)</f>
        <v>0</v>
      </c>
      <c r="O439" t="e">
        <f>IF(samples!#REF!=0,"",samples!#REF!)</f>
        <v>#REF!</v>
      </c>
      <c r="P439">
        <f>IFERROR(SEARCH(search!$B$6,samples!#REF!,1),0)</f>
        <v>0</v>
      </c>
      <c r="Q439" t="e">
        <f>IF(samples!#REF!=0,"",samples!#REF!)</f>
        <v>#REF!</v>
      </c>
      <c r="R439">
        <f>IFERROR(SEARCH(search!$B$6,samples!#REF!,1),0)</f>
        <v>0</v>
      </c>
      <c r="S439" t="e">
        <f>IF(samples!#REF!=0,"",samples!#REF!)</f>
        <v>#REF!</v>
      </c>
      <c r="T439">
        <f>IFERROR(SEARCH(search!$B$6,samples!#REF!,1),0)</f>
        <v>0</v>
      </c>
      <c r="U439" t="e">
        <f>IF(samples!#REF!=0,"",samples!#REF!)</f>
        <v>#REF!</v>
      </c>
      <c r="V439">
        <f>IFERROR(SEARCH(search!$B$6,samples!#REF!,1),0)</f>
        <v>0</v>
      </c>
      <c r="W439" t="e">
        <f>IF(samples!#REF!=0,"",samples!#REF!)</f>
        <v>#REF!</v>
      </c>
      <c r="X439">
        <f>IFERROR(SEARCH(search!$B$6,samples!#REF!,1),0)</f>
        <v>0</v>
      </c>
      <c r="Y439" t="e">
        <f>IF(samples!#REF!=0,"",samples!#REF!)</f>
        <v>#REF!</v>
      </c>
      <c r="Z439">
        <f>IFERROR(SEARCH(search!$B$6,samples!#REF!,1),0)</f>
        <v>0</v>
      </c>
      <c r="AA439" t="e">
        <f>IF(samples!#REF!=0,"",samples!#REF!)</f>
        <v>#REF!</v>
      </c>
      <c r="AB439">
        <f>IFERROR(SEARCH(search!$B$6,samples!#REF!,1),0)</f>
        <v>0</v>
      </c>
      <c r="AC439" t="e">
        <f>IF(samples!#REF!=0,"",samples!#REF!)</f>
        <v>#REF!</v>
      </c>
      <c r="AD439">
        <f>IFERROR(SEARCH(search!$B$6,samples!#REF!,1),0)</f>
        <v>0</v>
      </c>
    </row>
    <row r="440" spans="1:30">
      <c r="A440">
        <f t="shared" si="6"/>
        <v>0</v>
      </c>
      <c r="B440">
        <f>IF(SUM(D440,F440,H440,J440,L440,N440,P440,R440,T440,V440,X440,Z440,AB440,AD440)&gt;0,SUM($A$2:A440),0)</f>
        <v>0</v>
      </c>
      <c r="C440" t="e">
        <f>samples!#REF!</f>
        <v>#REF!</v>
      </c>
      <c r="D440">
        <f>IFERROR(SEARCH(search!$B$6,samples!#REF!,1),0)</f>
        <v>0</v>
      </c>
      <c r="E440" t="e">
        <f>IF(samples!#REF!=0,"",samples!#REF!)</f>
        <v>#REF!</v>
      </c>
      <c r="F440">
        <f>IFERROR(SEARCH(search!$B$6,samples!#REF!,1),0)</f>
        <v>0</v>
      </c>
      <c r="G440" t="e">
        <f>IF(samples!#REF!=0,"",samples!#REF!)</f>
        <v>#REF!</v>
      </c>
      <c r="H440">
        <f>IFERROR(SEARCH(search!$B$6,samples!#REF!,1),0)</f>
        <v>0</v>
      </c>
      <c r="I440" t="e">
        <f>IF(samples!#REF!=0,"",samples!#REF!)</f>
        <v>#REF!</v>
      </c>
      <c r="J440">
        <f>IFERROR(SEARCH(search!$B$6,samples!#REF!,1),0)</f>
        <v>0</v>
      </c>
      <c r="K440" t="e">
        <f>IF(samples!#REF!=0,"",samples!#REF!)</f>
        <v>#REF!</v>
      </c>
      <c r="L440">
        <f>IFERROR(SEARCH(search!$B$6,samples!#REF!,1),0)</f>
        <v>0</v>
      </c>
      <c r="M440" t="e">
        <f>IF(samples!#REF!=0,"",samples!#REF!)</f>
        <v>#REF!</v>
      </c>
      <c r="N440">
        <f>IFERROR(SEARCH(search!$B$6,samples!#REF!,1),0)</f>
        <v>0</v>
      </c>
      <c r="O440" t="e">
        <f>IF(samples!#REF!=0,"",samples!#REF!)</f>
        <v>#REF!</v>
      </c>
      <c r="P440">
        <f>IFERROR(SEARCH(search!$B$6,samples!#REF!,1),0)</f>
        <v>0</v>
      </c>
      <c r="Q440" t="e">
        <f>IF(samples!#REF!=0,"",samples!#REF!)</f>
        <v>#REF!</v>
      </c>
      <c r="R440">
        <f>IFERROR(SEARCH(search!$B$6,samples!#REF!,1),0)</f>
        <v>0</v>
      </c>
      <c r="S440" t="e">
        <f>IF(samples!#REF!=0,"",samples!#REF!)</f>
        <v>#REF!</v>
      </c>
      <c r="T440">
        <f>IFERROR(SEARCH(search!$B$6,samples!#REF!,1),0)</f>
        <v>0</v>
      </c>
      <c r="U440" t="e">
        <f>IF(samples!#REF!=0,"",samples!#REF!)</f>
        <v>#REF!</v>
      </c>
      <c r="V440">
        <f>IFERROR(SEARCH(search!$B$6,samples!#REF!,1),0)</f>
        <v>0</v>
      </c>
      <c r="W440" t="e">
        <f>IF(samples!#REF!=0,"",samples!#REF!)</f>
        <v>#REF!</v>
      </c>
      <c r="X440">
        <f>IFERROR(SEARCH(search!$B$6,samples!#REF!,1),0)</f>
        <v>0</v>
      </c>
      <c r="Y440" t="e">
        <f>IF(samples!#REF!=0,"",samples!#REF!)</f>
        <v>#REF!</v>
      </c>
      <c r="Z440">
        <f>IFERROR(SEARCH(search!$B$6,samples!#REF!,1),0)</f>
        <v>0</v>
      </c>
      <c r="AA440" t="e">
        <f>IF(samples!#REF!=0,"",samples!#REF!)</f>
        <v>#REF!</v>
      </c>
      <c r="AB440">
        <f>IFERROR(SEARCH(search!$B$6,samples!#REF!,1),0)</f>
        <v>0</v>
      </c>
      <c r="AC440" t="e">
        <f>IF(samples!#REF!=0,"",samples!#REF!)</f>
        <v>#REF!</v>
      </c>
      <c r="AD440">
        <f>IFERROR(SEARCH(search!$B$6,samples!#REF!,1),0)</f>
        <v>0</v>
      </c>
    </row>
    <row r="441" spans="1:30">
      <c r="A441">
        <f t="shared" si="6"/>
        <v>0</v>
      </c>
      <c r="B441">
        <f>IF(SUM(D441,F441,H441,J441,L441,N441,P441,R441,T441,V441,X441,Z441,AB441,AD441)&gt;0,SUM($A$2:A441),0)</f>
        <v>0</v>
      </c>
      <c r="C441" t="e">
        <f>samples!#REF!</f>
        <v>#REF!</v>
      </c>
      <c r="D441">
        <f>IFERROR(SEARCH(search!$B$6,samples!#REF!,1),0)</f>
        <v>0</v>
      </c>
      <c r="E441" t="e">
        <f>IF(samples!#REF!=0,"",samples!#REF!)</f>
        <v>#REF!</v>
      </c>
      <c r="F441">
        <f>IFERROR(SEARCH(search!$B$6,samples!#REF!,1),0)</f>
        <v>0</v>
      </c>
      <c r="G441" t="e">
        <f>IF(samples!#REF!=0,"",samples!#REF!)</f>
        <v>#REF!</v>
      </c>
      <c r="H441">
        <f>IFERROR(SEARCH(search!$B$6,samples!#REF!,1),0)</f>
        <v>0</v>
      </c>
      <c r="I441" t="e">
        <f>IF(samples!#REF!=0,"",samples!#REF!)</f>
        <v>#REF!</v>
      </c>
      <c r="J441">
        <f>IFERROR(SEARCH(search!$B$6,samples!#REF!,1),0)</f>
        <v>0</v>
      </c>
      <c r="K441" t="e">
        <f>IF(samples!#REF!=0,"",samples!#REF!)</f>
        <v>#REF!</v>
      </c>
      <c r="L441">
        <f>IFERROR(SEARCH(search!$B$6,samples!#REF!,1),0)</f>
        <v>0</v>
      </c>
      <c r="M441" t="e">
        <f>IF(samples!#REF!=0,"",samples!#REF!)</f>
        <v>#REF!</v>
      </c>
      <c r="N441">
        <f>IFERROR(SEARCH(search!$B$6,samples!#REF!,1),0)</f>
        <v>0</v>
      </c>
      <c r="O441" t="e">
        <f>IF(samples!#REF!=0,"",samples!#REF!)</f>
        <v>#REF!</v>
      </c>
      <c r="P441">
        <f>IFERROR(SEARCH(search!$B$6,samples!#REF!,1),0)</f>
        <v>0</v>
      </c>
      <c r="Q441" t="e">
        <f>IF(samples!#REF!=0,"",samples!#REF!)</f>
        <v>#REF!</v>
      </c>
      <c r="R441">
        <f>IFERROR(SEARCH(search!$B$6,samples!#REF!,1),0)</f>
        <v>0</v>
      </c>
      <c r="S441" t="e">
        <f>IF(samples!#REF!=0,"",samples!#REF!)</f>
        <v>#REF!</v>
      </c>
      <c r="T441">
        <f>IFERROR(SEARCH(search!$B$6,samples!#REF!,1),0)</f>
        <v>0</v>
      </c>
      <c r="U441" t="e">
        <f>IF(samples!#REF!=0,"",samples!#REF!)</f>
        <v>#REF!</v>
      </c>
      <c r="V441">
        <f>IFERROR(SEARCH(search!$B$6,samples!#REF!,1),0)</f>
        <v>0</v>
      </c>
      <c r="W441" t="e">
        <f>IF(samples!#REF!=0,"",samples!#REF!)</f>
        <v>#REF!</v>
      </c>
      <c r="X441">
        <f>IFERROR(SEARCH(search!$B$6,samples!#REF!,1),0)</f>
        <v>0</v>
      </c>
      <c r="Y441" t="e">
        <f>IF(samples!#REF!=0,"",samples!#REF!)</f>
        <v>#REF!</v>
      </c>
      <c r="Z441">
        <f>IFERROR(SEARCH(search!$B$6,samples!#REF!,1),0)</f>
        <v>0</v>
      </c>
      <c r="AA441" t="e">
        <f>IF(samples!#REF!=0,"",samples!#REF!)</f>
        <v>#REF!</v>
      </c>
      <c r="AB441">
        <f>IFERROR(SEARCH(search!$B$6,samples!#REF!,1),0)</f>
        <v>0</v>
      </c>
      <c r="AC441" t="e">
        <f>IF(samples!#REF!=0,"",samples!#REF!)</f>
        <v>#REF!</v>
      </c>
      <c r="AD441">
        <f>IFERROR(SEARCH(search!$B$6,samples!#REF!,1),0)</f>
        <v>0</v>
      </c>
    </row>
    <row r="442" spans="1:30">
      <c r="A442">
        <f t="shared" si="6"/>
        <v>0</v>
      </c>
      <c r="B442">
        <f>IF(SUM(D442,F442,H442,J442,L442,N442,P442,R442,T442,V442,X442,Z442,AB442,AD442)&gt;0,SUM($A$2:A442),0)</f>
        <v>0</v>
      </c>
      <c r="C442" t="e">
        <f>samples!#REF!</f>
        <v>#REF!</v>
      </c>
      <c r="D442">
        <f>IFERROR(SEARCH(search!$B$6,samples!#REF!,1),0)</f>
        <v>0</v>
      </c>
      <c r="E442" t="e">
        <f>IF(samples!#REF!=0,"",samples!#REF!)</f>
        <v>#REF!</v>
      </c>
      <c r="F442">
        <f>IFERROR(SEARCH(search!$B$6,samples!#REF!,1),0)</f>
        <v>0</v>
      </c>
      <c r="G442" t="e">
        <f>IF(samples!#REF!=0,"",samples!#REF!)</f>
        <v>#REF!</v>
      </c>
      <c r="H442">
        <f>IFERROR(SEARCH(search!$B$6,samples!#REF!,1),0)</f>
        <v>0</v>
      </c>
      <c r="I442" t="e">
        <f>IF(samples!#REF!=0,"",samples!#REF!)</f>
        <v>#REF!</v>
      </c>
      <c r="J442">
        <f>IFERROR(SEARCH(search!$B$6,samples!#REF!,1),0)</f>
        <v>0</v>
      </c>
      <c r="K442" t="e">
        <f>IF(samples!#REF!=0,"",samples!#REF!)</f>
        <v>#REF!</v>
      </c>
      <c r="L442">
        <f>IFERROR(SEARCH(search!$B$6,samples!#REF!,1),0)</f>
        <v>0</v>
      </c>
      <c r="M442" t="e">
        <f>IF(samples!#REF!=0,"",samples!#REF!)</f>
        <v>#REF!</v>
      </c>
      <c r="N442">
        <f>IFERROR(SEARCH(search!$B$6,samples!#REF!,1),0)</f>
        <v>0</v>
      </c>
      <c r="O442" t="e">
        <f>IF(samples!#REF!=0,"",samples!#REF!)</f>
        <v>#REF!</v>
      </c>
      <c r="P442">
        <f>IFERROR(SEARCH(search!$B$6,samples!#REF!,1),0)</f>
        <v>0</v>
      </c>
      <c r="Q442" t="e">
        <f>IF(samples!#REF!=0,"",samples!#REF!)</f>
        <v>#REF!</v>
      </c>
      <c r="R442">
        <f>IFERROR(SEARCH(search!$B$6,samples!#REF!,1),0)</f>
        <v>0</v>
      </c>
      <c r="S442" t="e">
        <f>IF(samples!#REF!=0,"",samples!#REF!)</f>
        <v>#REF!</v>
      </c>
      <c r="T442">
        <f>IFERROR(SEARCH(search!$B$6,samples!#REF!,1),0)</f>
        <v>0</v>
      </c>
      <c r="U442" t="e">
        <f>IF(samples!#REF!=0,"",samples!#REF!)</f>
        <v>#REF!</v>
      </c>
      <c r="V442">
        <f>IFERROR(SEARCH(search!$B$6,samples!#REF!,1),0)</f>
        <v>0</v>
      </c>
      <c r="W442" t="e">
        <f>IF(samples!#REF!=0,"",samples!#REF!)</f>
        <v>#REF!</v>
      </c>
      <c r="X442">
        <f>IFERROR(SEARCH(search!$B$6,samples!#REF!,1),0)</f>
        <v>0</v>
      </c>
      <c r="Y442" t="e">
        <f>IF(samples!#REF!=0,"",samples!#REF!)</f>
        <v>#REF!</v>
      </c>
      <c r="Z442">
        <f>IFERROR(SEARCH(search!$B$6,samples!#REF!,1),0)</f>
        <v>0</v>
      </c>
      <c r="AA442" t="e">
        <f>IF(samples!#REF!=0,"",samples!#REF!)</f>
        <v>#REF!</v>
      </c>
      <c r="AB442">
        <f>IFERROR(SEARCH(search!$B$6,samples!#REF!,1),0)</f>
        <v>0</v>
      </c>
      <c r="AC442" t="e">
        <f>IF(samples!#REF!=0,"",samples!#REF!)</f>
        <v>#REF!</v>
      </c>
      <c r="AD442">
        <f>IFERROR(SEARCH(search!$B$6,samples!#REF!,1),0)</f>
        <v>0</v>
      </c>
    </row>
    <row r="443" spans="1:30">
      <c r="A443">
        <f t="shared" si="6"/>
        <v>0</v>
      </c>
      <c r="B443">
        <f>IF(SUM(D443,F443,H443,J443,L443,N443,P443,R443,T443,V443,X443,Z443,AB443,AD443)&gt;0,SUM($A$2:A443),0)</f>
        <v>0</v>
      </c>
      <c r="C443" t="e">
        <f>samples!#REF!</f>
        <v>#REF!</v>
      </c>
      <c r="D443">
        <f>IFERROR(SEARCH(search!$B$6,samples!#REF!,1),0)</f>
        <v>0</v>
      </c>
      <c r="E443" t="e">
        <f>IF(samples!#REF!=0,"",samples!#REF!)</f>
        <v>#REF!</v>
      </c>
      <c r="F443">
        <f>IFERROR(SEARCH(search!$B$6,samples!#REF!,1),0)</f>
        <v>0</v>
      </c>
      <c r="G443" t="e">
        <f>IF(samples!#REF!=0,"",samples!#REF!)</f>
        <v>#REF!</v>
      </c>
      <c r="H443">
        <f>IFERROR(SEARCH(search!$B$6,samples!#REF!,1),0)</f>
        <v>0</v>
      </c>
      <c r="I443" t="e">
        <f>IF(samples!#REF!=0,"",samples!#REF!)</f>
        <v>#REF!</v>
      </c>
      <c r="J443">
        <f>IFERROR(SEARCH(search!$B$6,samples!#REF!,1),0)</f>
        <v>0</v>
      </c>
      <c r="K443" t="e">
        <f>IF(samples!#REF!=0,"",samples!#REF!)</f>
        <v>#REF!</v>
      </c>
      <c r="L443">
        <f>IFERROR(SEARCH(search!$B$6,samples!#REF!,1),0)</f>
        <v>0</v>
      </c>
      <c r="M443" t="e">
        <f>IF(samples!#REF!=0,"",samples!#REF!)</f>
        <v>#REF!</v>
      </c>
      <c r="N443">
        <f>IFERROR(SEARCH(search!$B$6,samples!#REF!,1),0)</f>
        <v>0</v>
      </c>
      <c r="O443" t="e">
        <f>IF(samples!#REF!=0,"",samples!#REF!)</f>
        <v>#REF!</v>
      </c>
      <c r="P443">
        <f>IFERROR(SEARCH(search!$B$6,samples!#REF!,1),0)</f>
        <v>0</v>
      </c>
      <c r="Q443" t="e">
        <f>IF(samples!#REF!=0,"",samples!#REF!)</f>
        <v>#REF!</v>
      </c>
      <c r="R443">
        <f>IFERROR(SEARCH(search!$B$6,samples!#REF!,1),0)</f>
        <v>0</v>
      </c>
      <c r="S443" t="e">
        <f>IF(samples!#REF!=0,"",samples!#REF!)</f>
        <v>#REF!</v>
      </c>
      <c r="T443">
        <f>IFERROR(SEARCH(search!$B$6,samples!#REF!,1),0)</f>
        <v>0</v>
      </c>
      <c r="U443" t="e">
        <f>IF(samples!#REF!=0,"",samples!#REF!)</f>
        <v>#REF!</v>
      </c>
      <c r="V443">
        <f>IFERROR(SEARCH(search!$B$6,samples!#REF!,1),0)</f>
        <v>0</v>
      </c>
      <c r="W443" t="e">
        <f>IF(samples!#REF!=0,"",samples!#REF!)</f>
        <v>#REF!</v>
      </c>
      <c r="X443">
        <f>IFERROR(SEARCH(search!$B$6,samples!#REF!,1),0)</f>
        <v>0</v>
      </c>
      <c r="Y443" t="e">
        <f>IF(samples!#REF!=0,"",samples!#REF!)</f>
        <v>#REF!</v>
      </c>
      <c r="Z443">
        <f>IFERROR(SEARCH(search!$B$6,samples!#REF!,1),0)</f>
        <v>0</v>
      </c>
      <c r="AA443" t="e">
        <f>IF(samples!#REF!=0,"",samples!#REF!)</f>
        <v>#REF!</v>
      </c>
      <c r="AB443">
        <f>IFERROR(SEARCH(search!$B$6,samples!#REF!,1),0)</f>
        <v>0</v>
      </c>
      <c r="AC443" t="e">
        <f>IF(samples!#REF!=0,"",samples!#REF!)</f>
        <v>#REF!</v>
      </c>
      <c r="AD443">
        <f>IFERROR(SEARCH(search!$B$6,samples!#REF!,1),0)</f>
        <v>0</v>
      </c>
    </row>
    <row r="444" spans="1:30">
      <c r="A444">
        <f t="shared" si="6"/>
        <v>0</v>
      </c>
      <c r="B444">
        <f>IF(SUM(D444,F444,H444,J444,L444,N444,P444,R444,T444,V444,X444,Z444,AB444,AD444)&gt;0,SUM($A$2:A444),0)</f>
        <v>0</v>
      </c>
      <c r="C444" t="e">
        <f>samples!#REF!</f>
        <v>#REF!</v>
      </c>
      <c r="D444">
        <f>IFERROR(SEARCH(search!$B$6,samples!#REF!,1),0)</f>
        <v>0</v>
      </c>
      <c r="E444" t="e">
        <f>IF(samples!#REF!=0,"",samples!#REF!)</f>
        <v>#REF!</v>
      </c>
      <c r="F444">
        <f>IFERROR(SEARCH(search!$B$6,samples!#REF!,1),0)</f>
        <v>0</v>
      </c>
      <c r="G444" t="e">
        <f>IF(samples!#REF!=0,"",samples!#REF!)</f>
        <v>#REF!</v>
      </c>
      <c r="H444">
        <f>IFERROR(SEARCH(search!$B$6,samples!#REF!,1),0)</f>
        <v>0</v>
      </c>
      <c r="I444" t="e">
        <f>IF(samples!#REF!=0,"",samples!#REF!)</f>
        <v>#REF!</v>
      </c>
      <c r="J444">
        <f>IFERROR(SEARCH(search!$B$6,samples!#REF!,1),0)</f>
        <v>0</v>
      </c>
      <c r="K444" t="e">
        <f>IF(samples!#REF!=0,"",samples!#REF!)</f>
        <v>#REF!</v>
      </c>
      <c r="L444">
        <f>IFERROR(SEARCH(search!$B$6,samples!#REF!,1),0)</f>
        <v>0</v>
      </c>
      <c r="M444" t="e">
        <f>IF(samples!#REF!=0,"",samples!#REF!)</f>
        <v>#REF!</v>
      </c>
      <c r="N444">
        <f>IFERROR(SEARCH(search!$B$6,samples!#REF!,1),0)</f>
        <v>0</v>
      </c>
      <c r="O444" t="e">
        <f>IF(samples!#REF!=0,"",samples!#REF!)</f>
        <v>#REF!</v>
      </c>
      <c r="P444">
        <f>IFERROR(SEARCH(search!$B$6,samples!#REF!,1),0)</f>
        <v>0</v>
      </c>
      <c r="Q444" t="e">
        <f>IF(samples!#REF!=0,"",samples!#REF!)</f>
        <v>#REF!</v>
      </c>
      <c r="R444">
        <f>IFERROR(SEARCH(search!$B$6,samples!#REF!,1),0)</f>
        <v>0</v>
      </c>
      <c r="S444" t="e">
        <f>IF(samples!#REF!=0,"",samples!#REF!)</f>
        <v>#REF!</v>
      </c>
      <c r="T444">
        <f>IFERROR(SEARCH(search!$B$6,samples!#REF!,1),0)</f>
        <v>0</v>
      </c>
      <c r="U444" t="e">
        <f>IF(samples!#REF!=0,"",samples!#REF!)</f>
        <v>#REF!</v>
      </c>
      <c r="V444">
        <f>IFERROR(SEARCH(search!$B$6,samples!#REF!,1),0)</f>
        <v>0</v>
      </c>
      <c r="W444" t="e">
        <f>IF(samples!#REF!=0,"",samples!#REF!)</f>
        <v>#REF!</v>
      </c>
      <c r="X444">
        <f>IFERROR(SEARCH(search!$B$6,samples!#REF!,1),0)</f>
        <v>0</v>
      </c>
      <c r="Y444" t="e">
        <f>IF(samples!#REF!=0,"",samples!#REF!)</f>
        <v>#REF!</v>
      </c>
      <c r="Z444">
        <f>IFERROR(SEARCH(search!$B$6,samples!#REF!,1),0)</f>
        <v>0</v>
      </c>
      <c r="AA444" t="e">
        <f>IF(samples!#REF!=0,"",samples!#REF!)</f>
        <v>#REF!</v>
      </c>
      <c r="AB444">
        <f>IFERROR(SEARCH(search!$B$6,samples!#REF!,1),0)</f>
        <v>0</v>
      </c>
      <c r="AC444" t="e">
        <f>IF(samples!#REF!=0,"",samples!#REF!)</f>
        <v>#REF!</v>
      </c>
      <c r="AD444">
        <f>IFERROR(SEARCH(search!$B$6,samples!#REF!,1),0)</f>
        <v>0</v>
      </c>
    </row>
    <row r="445" spans="1:30">
      <c r="A445">
        <f t="shared" si="6"/>
        <v>0</v>
      </c>
      <c r="B445">
        <f>IF(SUM(D445,F445,H445,J445,L445,N445,P445,R445,T445,V445,X445,Z445,AB445,AD445)&gt;0,SUM($A$2:A445),0)</f>
        <v>0</v>
      </c>
      <c r="C445" t="e">
        <f>samples!#REF!</f>
        <v>#REF!</v>
      </c>
      <c r="D445">
        <f>IFERROR(SEARCH(search!$B$6,samples!#REF!,1),0)</f>
        <v>0</v>
      </c>
      <c r="E445" t="e">
        <f>IF(samples!#REF!=0,"",samples!#REF!)</f>
        <v>#REF!</v>
      </c>
      <c r="F445">
        <f>IFERROR(SEARCH(search!$B$6,samples!#REF!,1),0)</f>
        <v>0</v>
      </c>
      <c r="G445" t="e">
        <f>IF(samples!#REF!=0,"",samples!#REF!)</f>
        <v>#REF!</v>
      </c>
      <c r="H445">
        <f>IFERROR(SEARCH(search!$B$6,samples!#REF!,1),0)</f>
        <v>0</v>
      </c>
      <c r="I445" t="e">
        <f>IF(samples!#REF!=0,"",samples!#REF!)</f>
        <v>#REF!</v>
      </c>
      <c r="J445">
        <f>IFERROR(SEARCH(search!$B$6,samples!#REF!,1),0)</f>
        <v>0</v>
      </c>
      <c r="K445" t="e">
        <f>IF(samples!#REF!=0,"",samples!#REF!)</f>
        <v>#REF!</v>
      </c>
      <c r="L445">
        <f>IFERROR(SEARCH(search!$B$6,samples!#REF!,1),0)</f>
        <v>0</v>
      </c>
      <c r="M445" t="e">
        <f>IF(samples!#REF!=0,"",samples!#REF!)</f>
        <v>#REF!</v>
      </c>
      <c r="N445">
        <f>IFERROR(SEARCH(search!$B$6,samples!#REF!,1),0)</f>
        <v>0</v>
      </c>
      <c r="O445" t="e">
        <f>IF(samples!#REF!=0,"",samples!#REF!)</f>
        <v>#REF!</v>
      </c>
      <c r="P445">
        <f>IFERROR(SEARCH(search!$B$6,samples!#REF!,1),0)</f>
        <v>0</v>
      </c>
      <c r="Q445" t="e">
        <f>IF(samples!#REF!=0,"",samples!#REF!)</f>
        <v>#REF!</v>
      </c>
      <c r="R445">
        <f>IFERROR(SEARCH(search!$B$6,samples!#REF!,1),0)</f>
        <v>0</v>
      </c>
      <c r="S445" t="e">
        <f>IF(samples!#REF!=0,"",samples!#REF!)</f>
        <v>#REF!</v>
      </c>
      <c r="T445">
        <f>IFERROR(SEARCH(search!$B$6,samples!#REF!,1),0)</f>
        <v>0</v>
      </c>
      <c r="U445" t="e">
        <f>IF(samples!#REF!=0,"",samples!#REF!)</f>
        <v>#REF!</v>
      </c>
      <c r="V445">
        <f>IFERROR(SEARCH(search!$B$6,samples!#REF!,1),0)</f>
        <v>0</v>
      </c>
      <c r="W445" t="e">
        <f>IF(samples!#REF!=0,"",samples!#REF!)</f>
        <v>#REF!</v>
      </c>
      <c r="X445">
        <f>IFERROR(SEARCH(search!$B$6,samples!#REF!,1),0)</f>
        <v>0</v>
      </c>
      <c r="Y445" t="e">
        <f>IF(samples!#REF!=0,"",samples!#REF!)</f>
        <v>#REF!</v>
      </c>
      <c r="Z445">
        <f>IFERROR(SEARCH(search!$B$6,samples!#REF!,1),0)</f>
        <v>0</v>
      </c>
      <c r="AA445" t="e">
        <f>IF(samples!#REF!=0,"",samples!#REF!)</f>
        <v>#REF!</v>
      </c>
      <c r="AB445">
        <f>IFERROR(SEARCH(search!$B$6,samples!#REF!,1),0)</f>
        <v>0</v>
      </c>
      <c r="AC445" t="e">
        <f>IF(samples!#REF!=0,"",samples!#REF!)</f>
        <v>#REF!</v>
      </c>
      <c r="AD445">
        <f>IFERROR(SEARCH(search!$B$6,samples!#REF!,1),0)</f>
        <v>0</v>
      </c>
    </row>
    <row r="446" spans="1:30">
      <c r="A446">
        <f t="shared" si="6"/>
        <v>0</v>
      </c>
      <c r="B446">
        <f>IF(SUM(D446,F446,H446,J446,L446,N446,P446,R446,T446,V446,X446,Z446,AB446,AD446)&gt;0,SUM($A$2:A446),0)</f>
        <v>0</v>
      </c>
      <c r="C446" t="e">
        <f>samples!#REF!</f>
        <v>#REF!</v>
      </c>
      <c r="D446">
        <f>IFERROR(SEARCH(search!$B$6,samples!#REF!,1),0)</f>
        <v>0</v>
      </c>
      <c r="E446" t="e">
        <f>IF(samples!#REF!=0,"",samples!#REF!)</f>
        <v>#REF!</v>
      </c>
      <c r="F446">
        <f>IFERROR(SEARCH(search!$B$6,samples!#REF!,1),0)</f>
        <v>0</v>
      </c>
      <c r="G446" t="e">
        <f>IF(samples!#REF!=0,"",samples!#REF!)</f>
        <v>#REF!</v>
      </c>
      <c r="H446">
        <f>IFERROR(SEARCH(search!$B$6,samples!#REF!,1),0)</f>
        <v>0</v>
      </c>
      <c r="I446" t="e">
        <f>IF(samples!#REF!=0,"",samples!#REF!)</f>
        <v>#REF!</v>
      </c>
      <c r="J446">
        <f>IFERROR(SEARCH(search!$B$6,samples!#REF!,1),0)</f>
        <v>0</v>
      </c>
      <c r="K446" t="e">
        <f>IF(samples!#REF!=0,"",samples!#REF!)</f>
        <v>#REF!</v>
      </c>
      <c r="L446">
        <f>IFERROR(SEARCH(search!$B$6,samples!#REF!,1),0)</f>
        <v>0</v>
      </c>
      <c r="M446" t="e">
        <f>IF(samples!#REF!=0,"",samples!#REF!)</f>
        <v>#REF!</v>
      </c>
      <c r="N446">
        <f>IFERROR(SEARCH(search!$B$6,samples!#REF!,1),0)</f>
        <v>0</v>
      </c>
      <c r="O446" t="e">
        <f>IF(samples!#REF!=0,"",samples!#REF!)</f>
        <v>#REF!</v>
      </c>
      <c r="P446">
        <f>IFERROR(SEARCH(search!$B$6,samples!#REF!,1),0)</f>
        <v>0</v>
      </c>
      <c r="Q446" t="e">
        <f>IF(samples!#REF!=0,"",samples!#REF!)</f>
        <v>#REF!</v>
      </c>
      <c r="R446">
        <f>IFERROR(SEARCH(search!$B$6,samples!#REF!,1),0)</f>
        <v>0</v>
      </c>
      <c r="S446" t="e">
        <f>IF(samples!#REF!=0,"",samples!#REF!)</f>
        <v>#REF!</v>
      </c>
      <c r="T446">
        <f>IFERROR(SEARCH(search!$B$6,samples!#REF!,1),0)</f>
        <v>0</v>
      </c>
      <c r="U446" t="e">
        <f>IF(samples!#REF!=0,"",samples!#REF!)</f>
        <v>#REF!</v>
      </c>
      <c r="V446">
        <f>IFERROR(SEARCH(search!$B$6,samples!#REF!,1),0)</f>
        <v>0</v>
      </c>
      <c r="W446" t="e">
        <f>IF(samples!#REF!=0,"",samples!#REF!)</f>
        <v>#REF!</v>
      </c>
      <c r="X446">
        <f>IFERROR(SEARCH(search!$B$6,samples!#REF!,1),0)</f>
        <v>0</v>
      </c>
      <c r="Y446" t="e">
        <f>IF(samples!#REF!=0,"",samples!#REF!)</f>
        <v>#REF!</v>
      </c>
      <c r="Z446">
        <f>IFERROR(SEARCH(search!$B$6,samples!#REF!,1),0)</f>
        <v>0</v>
      </c>
      <c r="AA446" t="e">
        <f>IF(samples!#REF!=0,"",samples!#REF!)</f>
        <v>#REF!</v>
      </c>
      <c r="AB446">
        <f>IFERROR(SEARCH(search!$B$6,samples!#REF!,1),0)</f>
        <v>0</v>
      </c>
      <c r="AC446" t="e">
        <f>IF(samples!#REF!=0,"",samples!#REF!)</f>
        <v>#REF!</v>
      </c>
      <c r="AD446">
        <f>IFERROR(SEARCH(search!$B$6,samples!#REF!,1),0)</f>
        <v>0</v>
      </c>
    </row>
    <row r="447" spans="1:30">
      <c r="A447">
        <f t="shared" si="6"/>
        <v>0</v>
      </c>
      <c r="B447">
        <f>IF(SUM(D447,F447,H447,J447,L447,N447,P447,R447,T447,V447,X447,Z447,AB447,AD447)&gt;0,SUM($A$2:A447),0)</f>
        <v>0</v>
      </c>
      <c r="C447" t="e">
        <f>samples!#REF!</f>
        <v>#REF!</v>
      </c>
      <c r="D447">
        <f>IFERROR(SEARCH(search!$B$6,samples!#REF!,1),0)</f>
        <v>0</v>
      </c>
      <c r="E447" t="e">
        <f>IF(samples!#REF!=0,"",samples!#REF!)</f>
        <v>#REF!</v>
      </c>
      <c r="F447">
        <f>IFERROR(SEARCH(search!$B$6,samples!#REF!,1),0)</f>
        <v>0</v>
      </c>
      <c r="G447" t="e">
        <f>IF(samples!#REF!=0,"",samples!#REF!)</f>
        <v>#REF!</v>
      </c>
      <c r="H447">
        <f>IFERROR(SEARCH(search!$B$6,samples!#REF!,1),0)</f>
        <v>0</v>
      </c>
      <c r="I447" t="e">
        <f>IF(samples!#REF!=0,"",samples!#REF!)</f>
        <v>#REF!</v>
      </c>
      <c r="J447">
        <f>IFERROR(SEARCH(search!$B$6,samples!#REF!,1),0)</f>
        <v>0</v>
      </c>
      <c r="K447" t="e">
        <f>IF(samples!#REF!=0,"",samples!#REF!)</f>
        <v>#REF!</v>
      </c>
      <c r="L447">
        <f>IFERROR(SEARCH(search!$B$6,samples!#REF!,1),0)</f>
        <v>0</v>
      </c>
      <c r="M447" t="e">
        <f>IF(samples!#REF!=0,"",samples!#REF!)</f>
        <v>#REF!</v>
      </c>
      <c r="N447">
        <f>IFERROR(SEARCH(search!$B$6,samples!#REF!,1),0)</f>
        <v>0</v>
      </c>
      <c r="O447" t="e">
        <f>IF(samples!#REF!=0,"",samples!#REF!)</f>
        <v>#REF!</v>
      </c>
      <c r="P447">
        <f>IFERROR(SEARCH(search!$B$6,samples!#REF!,1),0)</f>
        <v>0</v>
      </c>
      <c r="Q447" t="e">
        <f>IF(samples!#REF!=0,"",samples!#REF!)</f>
        <v>#REF!</v>
      </c>
      <c r="R447">
        <f>IFERROR(SEARCH(search!$B$6,samples!#REF!,1),0)</f>
        <v>0</v>
      </c>
      <c r="S447" t="e">
        <f>IF(samples!#REF!=0,"",samples!#REF!)</f>
        <v>#REF!</v>
      </c>
      <c r="T447">
        <f>IFERROR(SEARCH(search!$B$6,samples!#REF!,1),0)</f>
        <v>0</v>
      </c>
      <c r="U447" t="e">
        <f>IF(samples!#REF!=0,"",samples!#REF!)</f>
        <v>#REF!</v>
      </c>
      <c r="V447">
        <f>IFERROR(SEARCH(search!$B$6,samples!#REF!,1),0)</f>
        <v>0</v>
      </c>
      <c r="W447" t="e">
        <f>IF(samples!#REF!=0,"",samples!#REF!)</f>
        <v>#REF!</v>
      </c>
      <c r="X447">
        <f>IFERROR(SEARCH(search!$B$6,samples!#REF!,1),0)</f>
        <v>0</v>
      </c>
      <c r="Y447" t="e">
        <f>IF(samples!#REF!=0,"",samples!#REF!)</f>
        <v>#REF!</v>
      </c>
      <c r="Z447">
        <f>IFERROR(SEARCH(search!$B$6,samples!#REF!,1),0)</f>
        <v>0</v>
      </c>
      <c r="AA447" t="e">
        <f>IF(samples!#REF!=0,"",samples!#REF!)</f>
        <v>#REF!</v>
      </c>
      <c r="AB447">
        <f>IFERROR(SEARCH(search!$B$6,samples!#REF!,1),0)</f>
        <v>0</v>
      </c>
      <c r="AC447" t="e">
        <f>IF(samples!#REF!=0,"",samples!#REF!)</f>
        <v>#REF!</v>
      </c>
      <c r="AD447">
        <f>IFERROR(SEARCH(search!$B$6,samples!#REF!,1),0)</f>
        <v>0</v>
      </c>
    </row>
    <row r="448" spans="1:30">
      <c r="A448">
        <f t="shared" si="6"/>
        <v>0</v>
      </c>
      <c r="B448">
        <f>IF(SUM(D448,F448,H448,J448,L448,N448,P448,R448,T448,V448,X448,Z448,AB448,AD448)&gt;0,SUM($A$2:A448),0)</f>
        <v>0</v>
      </c>
      <c r="C448" t="e">
        <f>samples!#REF!</f>
        <v>#REF!</v>
      </c>
      <c r="D448">
        <f>IFERROR(SEARCH(search!$B$6,samples!#REF!,1),0)</f>
        <v>0</v>
      </c>
      <c r="E448" t="e">
        <f>IF(samples!#REF!=0,"",samples!#REF!)</f>
        <v>#REF!</v>
      </c>
      <c r="F448">
        <f>IFERROR(SEARCH(search!$B$6,samples!#REF!,1),0)</f>
        <v>0</v>
      </c>
      <c r="G448" t="e">
        <f>IF(samples!#REF!=0,"",samples!#REF!)</f>
        <v>#REF!</v>
      </c>
      <c r="H448">
        <f>IFERROR(SEARCH(search!$B$6,samples!#REF!,1),0)</f>
        <v>0</v>
      </c>
      <c r="I448" t="e">
        <f>IF(samples!#REF!=0,"",samples!#REF!)</f>
        <v>#REF!</v>
      </c>
      <c r="J448">
        <f>IFERROR(SEARCH(search!$B$6,samples!#REF!,1),0)</f>
        <v>0</v>
      </c>
      <c r="K448" t="e">
        <f>IF(samples!#REF!=0,"",samples!#REF!)</f>
        <v>#REF!</v>
      </c>
      <c r="L448">
        <f>IFERROR(SEARCH(search!$B$6,samples!#REF!,1),0)</f>
        <v>0</v>
      </c>
      <c r="M448" t="e">
        <f>IF(samples!#REF!=0,"",samples!#REF!)</f>
        <v>#REF!</v>
      </c>
      <c r="N448">
        <f>IFERROR(SEARCH(search!$B$6,samples!#REF!,1),0)</f>
        <v>0</v>
      </c>
      <c r="O448" t="e">
        <f>IF(samples!#REF!=0,"",samples!#REF!)</f>
        <v>#REF!</v>
      </c>
      <c r="P448">
        <f>IFERROR(SEARCH(search!$B$6,samples!#REF!,1),0)</f>
        <v>0</v>
      </c>
      <c r="Q448" t="e">
        <f>IF(samples!#REF!=0,"",samples!#REF!)</f>
        <v>#REF!</v>
      </c>
      <c r="R448">
        <f>IFERROR(SEARCH(search!$B$6,samples!#REF!,1),0)</f>
        <v>0</v>
      </c>
      <c r="S448" t="e">
        <f>IF(samples!#REF!=0,"",samples!#REF!)</f>
        <v>#REF!</v>
      </c>
      <c r="T448">
        <f>IFERROR(SEARCH(search!$B$6,samples!#REF!,1),0)</f>
        <v>0</v>
      </c>
      <c r="U448" t="e">
        <f>IF(samples!#REF!=0,"",samples!#REF!)</f>
        <v>#REF!</v>
      </c>
      <c r="V448">
        <f>IFERROR(SEARCH(search!$B$6,samples!#REF!,1),0)</f>
        <v>0</v>
      </c>
      <c r="W448" t="e">
        <f>IF(samples!#REF!=0,"",samples!#REF!)</f>
        <v>#REF!</v>
      </c>
      <c r="X448">
        <f>IFERROR(SEARCH(search!$B$6,samples!#REF!,1),0)</f>
        <v>0</v>
      </c>
      <c r="Y448" t="e">
        <f>IF(samples!#REF!=0,"",samples!#REF!)</f>
        <v>#REF!</v>
      </c>
      <c r="Z448">
        <f>IFERROR(SEARCH(search!$B$6,samples!#REF!,1),0)</f>
        <v>0</v>
      </c>
      <c r="AA448" t="e">
        <f>IF(samples!#REF!=0,"",samples!#REF!)</f>
        <v>#REF!</v>
      </c>
      <c r="AB448">
        <f>IFERROR(SEARCH(search!$B$6,samples!#REF!,1),0)</f>
        <v>0</v>
      </c>
      <c r="AC448" t="e">
        <f>IF(samples!#REF!=0,"",samples!#REF!)</f>
        <v>#REF!</v>
      </c>
      <c r="AD448">
        <f>IFERROR(SEARCH(search!$B$6,samples!#REF!,1),0)</f>
        <v>0</v>
      </c>
    </row>
    <row r="449" spans="1:30">
      <c r="A449">
        <f t="shared" si="6"/>
        <v>0</v>
      </c>
      <c r="B449">
        <f>IF(SUM(D449,F449,H449,J449,L449,N449,P449,R449,T449,V449,X449,Z449,AB449,AD449)&gt;0,SUM($A$2:A449),0)</f>
        <v>0</v>
      </c>
      <c r="C449" t="e">
        <f>samples!#REF!</f>
        <v>#REF!</v>
      </c>
      <c r="D449">
        <f>IFERROR(SEARCH(search!$B$6,samples!#REF!,1),0)</f>
        <v>0</v>
      </c>
      <c r="E449" t="e">
        <f>IF(samples!#REF!=0,"",samples!#REF!)</f>
        <v>#REF!</v>
      </c>
      <c r="F449">
        <f>IFERROR(SEARCH(search!$B$6,samples!#REF!,1),0)</f>
        <v>0</v>
      </c>
      <c r="G449" t="e">
        <f>IF(samples!#REF!=0,"",samples!#REF!)</f>
        <v>#REF!</v>
      </c>
      <c r="H449">
        <f>IFERROR(SEARCH(search!$B$6,samples!#REF!,1),0)</f>
        <v>0</v>
      </c>
      <c r="I449" t="e">
        <f>IF(samples!#REF!=0,"",samples!#REF!)</f>
        <v>#REF!</v>
      </c>
      <c r="J449">
        <f>IFERROR(SEARCH(search!$B$6,samples!#REF!,1),0)</f>
        <v>0</v>
      </c>
      <c r="K449" t="e">
        <f>IF(samples!#REF!=0,"",samples!#REF!)</f>
        <v>#REF!</v>
      </c>
      <c r="L449">
        <f>IFERROR(SEARCH(search!$B$6,samples!#REF!,1),0)</f>
        <v>0</v>
      </c>
      <c r="M449" t="e">
        <f>IF(samples!#REF!=0,"",samples!#REF!)</f>
        <v>#REF!</v>
      </c>
      <c r="N449">
        <f>IFERROR(SEARCH(search!$B$6,samples!#REF!,1),0)</f>
        <v>0</v>
      </c>
      <c r="O449" t="e">
        <f>IF(samples!#REF!=0,"",samples!#REF!)</f>
        <v>#REF!</v>
      </c>
      <c r="P449">
        <f>IFERROR(SEARCH(search!$B$6,samples!#REF!,1),0)</f>
        <v>0</v>
      </c>
      <c r="Q449" t="e">
        <f>IF(samples!#REF!=0,"",samples!#REF!)</f>
        <v>#REF!</v>
      </c>
      <c r="R449">
        <f>IFERROR(SEARCH(search!$B$6,samples!#REF!,1),0)</f>
        <v>0</v>
      </c>
      <c r="S449" t="e">
        <f>IF(samples!#REF!=0,"",samples!#REF!)</f>
        <v>#REF!</v>
      </c>
      <c r="T449">
        <f>IFERROR(SEARCH(search!$B$6,samples!#REF!,1),0)</f>
        <v>0</v>
      </c>
      <c r="U449" t="e">
        <f>IF(samples!#REF!=0,"",samples!#REF!)</f>
        <v>#REF!</v>
      </c>
      <c r="V449">
        <f>IFERROR(SEARCH(search!$B$6,samples!#REF!,1),0)</f>
        <v>0</v>
      </c>
      <c r="W449" t="e">
        <f>IF(samples!#REF!=0,"",samples!#REF!)</f>
        <v>#REF!</v>
      </c>
      <c r="X449">
        <f>IFERROR(SEARCH(search!$B$6,samples!#REF!,1),0)</f>
        <v>0</v>
      </c>
      <c r="Y449" t="e">
        <f>IF(samples!#REF!=0,"",samples!#REF!)</f>
        <v>#REF!</v>
      </c>
      <c r="Z449">
        <f>IFERROR(SEARCH(search!$B$6,samples!#REF!,1),0)</f>
        <v>0</v>
      </c>
      <c r="AA449" t="e">
        <f>IF(samples!#REF!=0,"",samples!#REF!)</f>
        <v>#REF!</v>
      </c>
      <c r="AB449">
        <f>IFERROR(SEARCH(search!$B$6,samples!#REF!,1),0)</f>
        <v>0</v>
      </c>
      <c r="AC449" t="e">
        <f>IF(samples!#REF!=0,"",samples!#REF!)</f>
        <v>#REF!</v>
      </c>
      <c r="AD449">
        <f>IFERROR(SEARCH(search!$B$6,samples!#REF!,1),0)</f>
        <v>0</v>
      </c>
    </row>
    <row r="450" spans="1:30">
      <c r="A450">
        <f t="shared" si="6"/>
        <v>0</v>
      </c>
      <c r="B450">
        <f>IF(SUM(D450,F450,H450,J450,L450,N450,P450,R450,T450,V450,X450,Z450,AB450,AD450)&gt;0,SUM($A$2:A450),0)</f>
        <v>0</v>
      </c>
      <c r="C450" t="e">
        <f>samples!#REF!</f>
        <v>#REF!</v>
      </c>
      <c r="D450">
        <f>IFERROR(SEARCH(search!$B$6,samples!#REF!,1),0)</f>
        <v>0</v>
      </c>
      <c r="E450" t="e">
        <f>IF(samples!#REF!=0,"",samples!#REF!)</f>
        <v>#REF!</v>
      </c>
      <c r="F450">
        <f>IFERROR(SEARCH(search!$B$6,samples!#REF!,1),0)</f>
        <v>0</v>
      </c>
      <c r="G450" t="e">
        <f>IF(samples!#REF!=0,"",samples!#REF!)</f>
        <v>#REF!</v>
      </c>
      <c r="H450">
        <f>IFERROR(SEARCH(search!$B$6,samples!#REF!,1),0)</f>
        <v>0</v>
      </c>
      <c r="I450" t="e">
        <f>IF(samples!#REF!=0,"",samples!#REF!)</f>
        <v>#REF!</v>
      </c>
      <c r="J450">
        <f>IFERROR(SEARCH(search!$B$6,samples!#REF!,1),0)</f>
        <v>0</v>
      </c>
      <c r="K450" t="e">
        <f>IF(samples!#REF!=0,"",samples!#REF!)</f>
        <v>#REF!</v>
      </c>
      <c r="L450">
        <f>IFERROR(SEARCH(search!$B$6,samples!#REF!,1),0)</f>
        <v>0</v>
      </c>
      <c r="M450" t="e">
        <f>IF(samples!#REF!=0,"",samples!#REF!)</f>
        <v>#REF!</v>
      </c>
      <c r="N450">
        <f>IFERROR(SEARCH(search!$B$6,samples!#REF!,1),0)</f>
        <v>0</v>
      </c>
      <c r="O450" t="e">
        <f>IF(samples!#REF!=0,"",samples!#REF!)</f>
        <v>#REF!</v>
      </c>
      <c r="P450">
        <f>IFERROR(SEARCH(search!$B$6,samples!#REF!,1),0)</f>
        <v>0</v>
      </c>
      <c r="Q450" t="e">
        <f>IF(samples!#REF!=0,"",samples!#REF!)</f>
        <v>#REF!</v>
      </c>
      <c r="R450">
        <f>IFERROR(SEARCH(search!$B$6,samples!#REF!,1),0)</f>
        <v>0</v>
      </c>
      <c r="S450" t="e">
        <f>IF(samples!#REF!=0,"",samples!#REF!)</f>
        <v>#REF!</v>
      </c>
      <c r="T450">
        <f>IFERROR(SEARCH(search!$B$6,samples!#REF!,1),0)</f>
        <v>0</v>
      </c>
      <c r="U450" t="e">
        <f>IF(samples!#REF!=0,"",samples!#REF!)</f>
        <v>#REF!</v>
      </c>
      <c r="V450">
        <f>IFERROR(SEARCH(search!$B$6,samples!#REF!,1),0)</f>
        <v>0</v>
      </c>
      <c r="W450" t="e">
        <f>IF(samples!#REF!=0,"",samples!#REF!)</f>
        <v>#REF!</v>
      </c>
      <c r="X450">
        <f>IFERROR(SEARCH(search!$B$6,samples!#REF!,1),0)</f>
        <v>0</v>
      </c>
      <c r="Y450" t="e">
        <f>IF(samples!#REF!=0,"",samples!#REF!)</f>
        <v>#REF!</v>
      </c>
      <c r="Z450">
        <f>IFERROR(SEARCH(search!$B$6,samples!#REF!,1),0)</f>
        <v>0</v>
      </c>
      <c r="AA450" t="e">
        <f>IF(samples!#REF!=0,"",samples!#REF!)</f>
        <v>#REF!</v>
      </c>
      <c r="AB450">
        <f>IFERROR(SEARCH(search!$B$6,samples!#REF!,1),0)</f>
        <v>0</v>
      </c>
      <c r="AC450" t="e">
        <f>IF(samples!#REF!=0,"",samples!#REF!)</f>
        <v>#REF!</v>
      </c>
      <c r="AD450">
        <f>IFERROR(SEARCH(search!$B$6,samples!#REF!,1),0)</f>
        <v>0</v>
      </c>
    </row>
    <row r="451" spans="1:30">
      <c r="A451">
        <f t="shared" ref="A451:A514" si="7">IF(SUM(D451,F451,H451,J451,L451,N451,P451,R451,T451,V451,X451,Z451,AB451,AD451)&gt;0,1,0)</f>
        <v>0</v>
      </c>
      <c r="B451">
        <f>IF(SUM(D451,F451,H451,J451,L451,N451,P451,R451,T451,V451,X451,Z451,AB451,AD451)&gt;0,SUM($A$2:A451),0)</f>
        <v>0</v>
      </c>
      <c r="C451" t="e">
        <f>samples!#REF!</f>
        <v>#REF!</v>
      </c>
      <c r="D451">
        <f>IFERROR(SEARCH(search!$B$6,samples!#REF!,1),0)</f>
        <v>0</v>
      </c>
      <c r="E451" t="e">
        <f>IF(samples!#REF!=0,"",samples!#REF!)</f>
        <v>#REF!</v>
      </c>
      <c r="F451">
        <f>IFERROR(SEARCH(search!$B$6,samples!#REF!,1),0)</f>
        <v>0</v>
      </c>
      <c r="G451" t="e">
        <f>IF(samples!#REF!=0,"",samples!#REF!)</f>
        <v>#REF!</v>
      </c>
      <c r="H451">
        <f>IFERROR(SEARCH(search!$B$6,samples!#REF!,1),0)</f>
        <v>0</v>
      </c>
      <c r="I451" t="e">
        <f>IF(samples!#REF!=0,"",samples!#REF!)</f>
        <v>#REF!</v>
      </c>
      <c r="J451">
        <f>IFERROR(SEARCH(search!$B$6,samples!#REF!,1),0)</f>
        <v>0</v>
      </c>
      <c r="K451" t="e">
        <f>IF(samples!#REF!=0,"",samples!#REF!)</f>
        <v>#REF!</v>
      </c>
      <c r="L451">
        <f>IFERROR(SEARCH(search!$B$6,samples!#REF!,1),0)</f>
        <v>0</v>
      </c>
      <c r="M451" t="e">
        <f>IF(samples!#REF!=0,"",samples!#REF!)</f>
        <v>#REF!</v>
      </c>
      <c r="N451">
        <f>IFERROR(SEARCH(search!$B$6,samples!#REF!,1),0)</f>
        <v>0</v>
      </c>
      <c r="O451" t="e">
        <f>IF(samples!#REF!=0,"",samples!#REF!)</f>
        <v>#REF!</v>
      </c>
      <c r="P451">
        <f>IFERROR(SEARCH(search!$B$6,samples!#REF!,1),0)</f>
        <v>0</v>
      </c>
      <c r="Q451" t="e">
        <f>IF(samples!#REF!=0,"",samples!#REF!)</f>
        <v>#REF!</v>
      </c>
      <c r="R451">
        <f>IFERROR(SEARCH(search!$B$6,samples!#REF!,1),0)</f>
        <v>0</v>
      </c>
      <c r="S451" t="e">
        <f>IF(samples!#REF!=0,"",samples!#REF!)</f>
        <v>#REF!</v>
      </c>
      <c r="T451">
        <f>IFERROR(SEARCH(search!$B$6,samples!#REF!,1),0)</f>
        <v>0</v>
      </c>
      <c r="U451" t="e">
        <f>IF(samples!#REF!=0,"",samples!#REF!)</f>
        <v>#REF!</v>
      </c>
      <c r="V451">
        <f>IFERROR(SEARCH(search!$B$6,samples!#REF!,1),0)</f>
        <v>0</v>
      </c>
      <c r="W451" t="e">
        <f>IF(samples!#REF!=0,"",samples!#REF!)</f>
        <v>#REF!</v>
      </c>
      <c r="X451">
        <f>IFERROR(SEARCH(search!$B$6,samples!#REF!,1),0)</f>
        <v>0</v>
      </c>
      <c r="Y451" t="e">
        <f>IF(samples!#REF!=0,"",samples!#REF!)</f>
        <v>#REF!</v>
      </c>
      <c r="Z451">
        <f>IFERROR(SEARCH(search!$B$6,samples!#REF!,1),0)</f>
        <v>0</v>
      </c>
      <c r="AA451" t="e">
        <f>IF(samples!#REF!=0,"",samples!#REF!)</f>
        <v>#REF!</v>
      </c>
      <c r="AB451">
        <f>IFERROR(SEARCH(search!$B$6,samples!#REF!,1),0)</f>
        <v>0</v>
      </c>
      <c r="AC451" t="e">
        <f>IF(samples!#REF!=0,"",samples!#REF!)</f>
        <v>#REF!</v>
      </c>
      <c r="AD451">
        <f>IFERROR(SEARCH(search!$B$6,samples!#REF!,1),0)</f>
        <v>0</v>
      </c>
    </row>
    <row r="452" spans="1:30">
      <c r="A452">
        <f t="shared" si="7"/>
        <v>0</v>
      </c>
      <c r="B452">
        <f>IF(SUM(D452,F452,H452,J452,L452,N452,P452,R452,T452,V452,X452,Z452,AB452,AD452)&gt;0,SUM($A$2:A452),0)</f>
        <v>0</v>
      </c>
      <c r="C452" t="e">
        <f>samples!#REF!</f>
        <v>#REF!</v>
      </c>
      <c r="D452">
        <f>IFERROR(SEARCH(search!$B$6,samples!#REF!,1),0)</f>
        <v>0</v>
      </c>
      <c r="E452" t="e">
        <f>IF(samples!#REF!=0,"",samples!#REF!)</f>
        <v>#REF!</v>
      </c>
      <c r="F452">
        <f>IFERROR(SEARCH(search!$B$6,samples!#REF!,1),0)</f>
        <v>0</v>
      </c>
      <c r="G452" t="e">
        <f>IF(samples!#REF!=0,"",samples!#REF!)</f>
        <v>#REF!</v>
      </c>
      <c r="H452">
        <f>IFERROR(SEARCH(search!$B$6,samples!#REF!,1),0)</f>
        <v>0</v>
      </c>
      <c r="I452" t="e">
        <f>IF(samples!#REF!=0,"",samples!#REF!)</f>
        <v>#REF!</v>
      </c>
      <c r="J452">
        <f>IFERROR(SEARCH(search!$B$6,samples!#REF!,1),0)</f>
        <v>0</v>
      </c>
      <c r="K452" t="e">
        <f>IF(samples!#REF!=0,"",samples!#REF!)</f>
        <v>#REF!</v>
      </c>
      <c r="L452">
        <f>IFERROR(SEARCH(search!$B$6,samples!#REF!,1),0)</f>
        <v>0</v>
      </c>
      <c r="M452" t="e">
        <f>IF(samples!#REF!=0,"",samples!#REF!)</f>
        <v>#REF!</v>
      </c>
      <c r="N452">
        <f>IFERROR(SEARCH(search!$B$6,samples!#REF!,1),0)</f>
        <v>0</v>
      </c>
      <c r="O452" t="e">
        <f>IF(samples!#REF!=0,"",samples!#REF!)</f>
        <v>#REF!</v>
      </c>
      <c r="P452">
        <f>IFERROR(SEARCH(search!$B$6,samples!#REF!,1),0)</f>
        <v>0</v>
      </c>
      <c r="Q452" t="e">
        <f>IF(samples!#REF!=0,"",samples!#REF!)</f>
        <v>#REF!</v>
      </c>
      <c r="R452">
        <f>IFERROR(SEARCH(search!$B$6,samples!#REF!,1),0)</f>
        <v>0</v>
      </c>
      <c r="S452" t="e">
        <f>IF(samples!#REF!=0,"",samples!#REF!)</f>
        <v>#REF!</v>
      </c>
      <c r="T452">
        <f>IFERROR(SEARCH(search!$B$6,samples!#REF!,1),0)</f>
        <v>0</v>
      </c>
      <c r="U452" t="e">
        <f>IF(samples!#REF!=0,"",samples!#REF!)</f>
        <v>#REF!</v>
      </c>
      <c r="V452">
        <f>IFERROR(SEARCH(search!$B$6,samples!#REF!,1),0)</f>
        <v>0</v>
      </c>
      <c r="W452" t="e">
        <f>IF(samples!#REF!=0,"",samples!#REF!)</f>
        <v>#REF!</v>
      </c>
      <c r="X452">
        <f>IFERROR(SEARCH(search!$B$6,samples!#REF!,1),0)</f>
        <v>0</v>
      </c>
      <c r="Y452" t="e">
        <f>IF(samples!#REF!=0,"",samples!#REF!)</f>
        <v>#REF!</v>
      </c>
      <c r="Z452">
        <f>IFERROR(SEARCH(search!$B$6,samples!#REF!,1),0)</f>
        <v>0</v>
      </c>
      <c r="AA452" t="e">
        <f>IF(samples!#REF!=0,"",samples!#REF!)</f>
        <v>#REF!</v>
      </c>
      <c r="AB452">
        <f>IFERROR(SEARCH(search!$B$6,samples!#REF!,1),0)</f>
        <v>0</v>
      </c>
      <c r="AC452" t="e">
        <f>IF(samples!#REF!=0,"",samples!#REF!)</f>
        <v>#REF!</v>
      </c>
      <c r="AD452">
        <f>IFERROR(SEARCH(search!$B$6,samples!#REF!,1),0)</f>
        <v>0</v>
      </c>
    </row>
    <row r="453" spans="1:30">
      <c r="A453">
        <f t="shared" si="7"/>
        <v>0</v>
      </c>
      <c r="B453">
        <f>IF(SUM(D453,F453,H453,J453,L453,N453,P453,R453,T453,V453,X453,Z453,AB453,AD453)&gt;0,SUM($A$2:A453),0)</f>
        <v>0</v>
      </c>
      <c r="C453" t="e">
        <f>samples!#REF!</f>
        <v>#REF!</v>
      </c>
      <c r="D453">
        <f>IFERROR(SEARCH(search!$B$6,samples!#REF!,1),0)</f>
        <v>0</v>
      </c>
      <c r="E453" t="e">
        <f>IF(samples!#REF!=0,"",samples!#REF!)</f>
        <v>#REF!</v>
      </c>
      <c r="F453">
        <f>IFERROR(SEARCH(search!$B$6,samples!#REF!,1),0)</f>
        <v>0</v>
      </c>
      <c r="G453" t="e">
        <f>IF(samples!#REF!=0,"",samples!#REF!)</f>
        <v>#REF!</v>
      </c>
      <c r="H453">
        <f>IFERROR(SEARCH(search!$B$6,samples!#REF!,1),0)</f>
        <v>0</v>
      </c>
      <c r="I453" t="e">
        <f>IF(samples!#REF!=0,"",samples!#REF!)</f>
        <v>#REF!</v>
      </c>
      <c r="J453">
        <f>IFERROR(SEARCH(search!$B$6,samples!#REF!,1),0)</f>
        <v>0</v>
      </c>
      <c r="K453" t="e">
        <f>IF(samples!#REF!=0,"",samples!#REF!)</f>
        <v>#REF!</v>
      </c>
      <c r="L453">
        <f>IFERROR(SEARCH(search!$B$6,samples!#REF!,1),0)</f>
        <v>0</v>
      </c>
      <c r="M453" t="e">
        <f>IF(samples!#REF!=0,"",samples!#REF!)</f>
        <v>#REF!</v>
      </c>
      <c r="N453">
        <f>IFERROR(SEARCH(search!$B$6,samples!#REF!,1),0)</f>
        <v>0</v>
      </c>
      <c r="O453" t="e">
        <f>IF(samples!#REF!=0,"",samples!#REF!)</f>
        <v>#REF!</v>
      </c>
      <c r="P453">
        <f>IFERROR(SEARCH(search!$B$6,samples!#REF!,1),0)</f>
        <v>0</v>
      </c>
      <c r="Q453" t="e">
        <f>IF(samples!#REF!=0,"",samples!#REF!)</f>
        <v>#REF!</v>
      </c>
      <c r="R453">
        <f>IFERROR(SEARCH(search!$B$6,samples!#REF!,1),0)</f>
        <v>0</v>
      </c>
      <c r="S453" t="e">
        <f>IF(samples!#REF!=0,"",samples!#REF!)</f>
        <v>#REF!</v>
      </c>
      <c r="T453">
        <f>IFERROR(SEARCH(search!$B$6,samples!#REF!,1),0)</f>
        <v>0</v>
      </c>
      <c r="U453" t="e">
        <f>IF(samples!#REF!=0,"",samples!#REF!)</f>
        <v>#REF!</v>
      </c>
      <c r="V453">
        <f>IFERROR(SEARCH(search!$B$6,samples!#REF!,1),0)</f>
        <v>0</v>
      </c>
      <c r="W453" t="e">
        <f>IF(samples!#REF!=0,"",samples!#REF!)</f>
        <v>#REF!</v>
      </c>
      <c r="X453">
        <f>IFERROR(SEARCH(search!$B$6,samples!#REF!,1),0)</f>
        <v>0</v>
      </c>
      <c r="Y453" t="e">
        <f>IF(samples!#REF!=0,"",samples!#REF!)</f>
        <v>#REF!</v>
      </c>
      <c r="Z453">
        <f>IFERROR(SEARCH(search!$B$6,samples!#REF!,1),0)</f>
        <v>0</v>
      </c>
      <c r="AA453" t="e">
        <f>IF(samples!#REF!=0,"",samples!#REF!)</f>
        <v>#REF!</v>
      </c>
      <c r="AB453">
        <f>IFERROR(SEARCH(search!$B$6,samples!#REF!,1),0)</f>
        <v>0</v>
      </c>
      <c r="AC453" t="e">
        <f>IF(samples!#REF!=0,"",samples!#REF!)</f>
        <v>#REF!</v>
      </c>
      <c r="AD453">
        <f>IFERROR(SEARCH(search!$B$6,samples!#REF!,1),0)</f>
        <v>0</v>
      </c>
    </row>
    <row r="454" spans="1:30">
      <c r="A454">
        <f t="shared" si="7"/>
        <v>0</v>
      </c>
      <c r="B454">
        <f>IF(SUM(D454,F454,H454,J454,L454,N454,P454,R454,T454,V454,X454,Z454,AB454,AD454)&gt;0,SUM($A$2:A454),0)</f>
        <v>0</v>
      </c>
      <c r="C454" t="e">
        <f>samples!#REF!</f>
        <v>#REF!</v>
      </c>
      <c r="D454">
        <f>IFERROR(SEARCH(search!$B$6,samples!#REF!,1),0)</f>
        <v>0</v>
      </c>
      <c r="E454" t="e">
        <f>IF(samples!#REF!=0,"",samples!#REF!)</f>
        <v>#REF!</v>
      </c>
      <c r="F454">
        <f>IFERROR(SEARCH(search!$B$6,samples!#REF!,1),0)</f>
        <v>0</v>
      </c>
      <c r="G454" t="e">
        <f>IF(samples!#REF!=0,"",samples!#REF!)</f>
        <v>#REF!</v>
      </c>
      <c r="H454">
        <f>IFERROR(SEARCH(search!$B$6,samples!#REF!,1),0)</f>
        <v>0</v>
      </c>
      <c r="I454" t="e">
        <f>IF(samples!#REF!=0,"",samples!#REF!)</f>
        <v>#REF!</v>
      </c>
      <c r="J454">
        <f>IFERROR(SEARCH(search!$B$6,samples!#REF!,1),0)</f>
        <v>0</v>
      </c>
      <c r="K454" t="e">
        <f>IF(samples!#REF!=0,"",samples!#REF!)</f>
        <v>#REF!</v>
      </c>
      <c r="L454">
        <f>IFERROR(SEARCH(search!$B$6,samples!#REF!,1),0)</f>
        <v>0</v>
      </c>
      <c r="M454" t="e">
        <f>IF(samples!#REF!=0,"",samples!#REF!)</f>
        <v>#REF!</v>
      </c>
      <c r="N454">
        <f>IFERROR(SEARCH(search!$B$6,samples!#REF!,1),0)</f>
        <v>0</v>
      </c>
      <c r="O454" t="e">
        <f>IF(samples!#REF!=0,"",samples!#REF!)</f>
        <v>#REF!</v>
      </c>
      <c r="P454">
        <f>IFERROR(SEARCH(search!$B$6,samples!#REF!,1),0)</f>
        <v>0</v>
      </c>
      <c r="Q454" t="e">
        <f>IF(samples!#REF!=0,"",samples!#REF!)</f>
        <v>#REF!</v>
      </c>
      <c r="R454">
        <f>IFERROR(SEARCH(search!$B$6,samples!#REF!,1),0)</f>
        <v>0</v>
      </c>
      <c r="S454" t="e">
        <f>IF(samples!#REF!=0,"",samples!#REF!)</f>
        <v>#REF!</v>
      </c>
      <c r="T454">
        <f>IFERROR(SEARCH(search!$B$6,samples!#REF!,1),0)</f>
        <v>0</v>
      </c>
      <c r="U454" t="e">
        <f>IF(samples!#REF!=0,"",samples!#REF!)</f>
        <v>#REF!</v>
      </c>
      <c r="V454">
        <f>IFERROR(SEARCH(search!$B$6,samples!#REF!,1),0)</f>
        <v>0</v>
      </c>
      <c r="W454" t="e">
        <f>IF(samples!#REF!=0,"",samples!#REF!)</f>
        <v>#REF!</v>
      </c>
      <c r="X454">
        <f>IFERROR(SEARCH(search!$B$6,samples!#REF!,1),0)</f>
        <v>0</v>
      </c>
      <c r="Y454" t="e">
        <f>IF(samples!#REF!=0,"",samples!#REF!)</f>
        <v>#REF!</v>
      </c>
      <c r="Z454">
        <f>IFERROR(SEARCH(search!$B$6,samples!#REF!,1),0)</f>
        <v>0</v>
      </c>
      <c r="AA454" t="e">
        <f>IF(samples!#REF!=0,"",samples!#REF!)</f>
        <v>#REF!</v>
      </c>
      <c r="AB454">
        <f>IFERROR(SEARCH(search!$B$6,samples!#REF!,1),0)</f>
        <v>0</v>
      </c>
      <c r="AC454" t="e">
        <f>IF(samples!#REF!=0,"",samples!#REF!)</f>
        <v>#REF!</v>
      </c>
      <c r="AD454">
        <f>IFERROR(SEARCH(search!$B$6,samples!#REF!,1),0)</f>
        <v>0</v>
      </c>
    </row>
    <row r="455" spans="1:30">
      <c r="A455">
        <f t="shared" si="7"/>
        <v>0</v>
      </c>
      <c r="B455">
        <f>IF(SUM(D455,F455,H455,J455,L455,N455,P455,R455,T455,V455,X455,Z455,AB455,AD455)&gt;0,SUM($A$2:A455),0)</f>
        <v>0</v>
      </c>
      <c r="C455" t="e">
        <f>samples!#REF!</f>
        <v>#REF!</v>
      </c>
      <c r="D455">
        <f>IFERROR(SEARCH(search!$B$6,samples!#REF!,1),0)</f>
        <v>0</v>
      </c>
      <c r="E455" t="e">
        <f>IF(samples!#REF!=0,"",samples!#REF!)</f>
        <v>#REF!</v>
      </c>
      <c r="F455">
        <f>IFERROR(SEARCH(search!$B$6,samples!#REF!,1),0)</f>
        <v>0</v>
      </c>
      <c r="G455" t="e">
        <f>IF(samples!#REF!=0,"",samples!#REF!)</f>
        <v>#REF!</v>
      </c>
      <c r="H455">
        <f>IFERROR(SEARCH(search!$B$6,samples!#REF!,1),0)</f>
        <v>0</v>
      </c>
      <c r="I455" t="e">
        <f>IF(samples!#REF!=0,"",samples!#REF!)</f>
        <v>#REF!</v>
      </c>
      <c r="J455">
        <f>IFERROR(SEARCH(search!$B$6,samples!#REF!,1),0)</f>
        <v>0</v>
      </c>
      <c r="K455" t="e">
        <f>IF(samples!#REF!=0,"",samples!#REF!)</f>
        <v>#REF!</v>
      </c>
      <c r="L455">
        <f>IFERROR(SEARCH(search!$B$6,samples!#REF!,1),0)</f>
        <v>0</v>
      </c>
      <c r="M455" t="e">
        <f>IF(samples!#REF!=0,"",samples!#REF!)</f>
        <v>#REF!</v>
      </c>
      <c r="N455">
        <f>IFERROR(SEARCH(search!$B$6,samples!#REF!,1),0)</f>
        <v>0</v>
      </c>
      <c r="O455" t="e">
        <f>IF(samples!#REF!=0,"",samples!#REF!)</f>
        <v>#REF!</v>
      </c>
      <c r="P455">
        <f>IFERROR(SEARCH(search!$B$6,samples!#REF!,1),0)</f>
        <v>0</v>
      </c>
      <c r="Q455" t="e">
        <f>IF(samples!#REF!=0,"",samples!#REF!)</f>
        <v>#REF!</v>
      </c>
      <c r="R455">
        <f>IFERROR(SEARCH(search!$B$6,samples!#REF!,1),0)</f>
        <v>0</v>
      </c>
      <c r="S455" t="e">
        <f>IF(samples!#REF!=0,"",samples!#REF!)</f>
        <v>#REF!</v>
      </c>
      <c r="T455">
        <f>IFERROR(SEARCH(search!$B$6,samples!#REF!,1),0)</f>
        <v>0</v>
      </c>
      <c r="U455" t="e">
        <f>IF(samples!#REF!=0,"",samples!#REF!)</f>
        <v>#REF!</v>
      </c>
      <c r="V455">
        <f>IFERROR(SEARCH(search!$B$6,samples!#REF!,1),0)</f>
        <v>0</v>
      </c>
      <c r="W455" t="e">
        <f>IF(samples!#REF!=0,"",samples!#REF!)</f>
        <v>#REF!</v>
      </c>
      <c r="X455">
        <f>IFERROR(SEARCH(search!$B$6,samples!#REF!,1),0)</f>
        <v>0</v>
      </c>
      <c r="Y455" t="e">
        <f>IF(samples!#REF!=0,"",samples!#REF!)</f>
        <v>#REF!</v>
      </c>
      <c r="Z455">
        <f>IFERROR(SEARCH(search!$B$6,samples!#REF!,1),0)</f>
        <v>0</v>
      </c>
      <c r="AA455" t="e">
        <f>IF(samples!#REF!=0,"",samples!#REF!)</f>
        <v>#REF!</v>
      </c>
      <c r="AB455">
        <f>IFERROR(SEARCH(search!$B$6,samples!#REF!,1),0)</f>
        <v>0</v>
      </c>
      <c r="AC455" t="e">
        <f>IF(samples!#REF!=0,"",samples!#REF!)</f>
        <v>#REF!</v>
      </c>
      <c r="AD455">
        <f>IFERROR(SEARCH(search!$B$6,samples!#REF!,1),0)</f>
        <v>0</v>
      </c>
    </row>
    <row r="456" spans="1:30">
      <c r="A456">
        <f t="shared" si="7"/>
        <v>0</v>
      </c>
      <c r="B456">
        <f>IF(SUM(D456,F456,H456,J456,L456,N456,P456,R456,T456,V456,X456,Z456,AB456,AD456)&gt;0,SUM($A$2:A456),0)</f>
        <v>0</v>
      </c>
      <c r="C456" t="e">
        <f>samples!#REF!</f>
        <v>#REF!</v>
      </c>
      <c r="D456">
        <f>IFERROR(SEARCH(search!$B$6,samples!#REF!,1),0)</f>
        <v>0</v>
      </c>
      <c r="E456" t="e">
        <f>IF(samples!#REF!=0,"",samples!#REF!)</f>
        <v>#REF!</v>
      </c>
      <c r="F456">
        <f>IFERROR(SEARCH(search!$B$6,samples!#REF!,1),0)</f>
        <v>0</v>
      </c>
      <c r="G456" t="e">
        <f>IF(samples!#REF!=0,"",samples!#REF!)</f>
        <v>#REF!</v>
      </c>
      <c r="H456">
        <f>IFERROR(SEARCH(search!$B$6,samples!#REF!,1),0)</f>
        <v>0</v>
      </c>
      <c r="I456" t="e">
        <f>IF(samples!#REF!=0,"",samples!#REF!)</f>
        <v>#REF!</v>
      </c>
      <c r="J456">
        <f>IFERROR(SEARCH(search!$B$6,samples!#REF!,1),0)</f>
        <v>0</v>
      </c>
      <c r="K456" t="e">
        <f>IF(samples!#REF!=0,"",samples!#REF!)</f>
        <v>#REF!</v>
      </c>
      <c r="L456">
        <f>IFERROR(SEARCH(search!$B$6,samples!#REF!,1),0)</f>
        <v>0</v>
      </c>
      <c r="M456" t="e">
        <f>IF(samples!#REF!=0,"",samples!#REF!)</f>
        <v>#REF!</v>
      </c>
      <c r="N456">
        <f>IFERROR(SEARCH(search!$B$6,samples!#REF!,1),0)</f>
        <v>0</v>
      </c>
      <c r="O456" t="e">
        <f>IF(samples!#REF!=0,"",samples!#REF!)</f>
        <v>#REF!</v>
      </c>
      <c r="P456">
        <f>IFERROR(SEARCH(search!$B$6,samples!#REF!,1),0)</f>
        <v>0</v>
      </c>
      <c r="Q456" t="e">
        <f>IF(samples!#REF!=0,"",samples!#REF!)</f>
        <v>#REF!</v>
      </c>
      <c r="R456">
        <f>IFERROR(SEARCH(search!$B$6,samples!#REF!,1),0)</f>
        <v>0</v>
      </c>
      <c r="S456" t="e">
        <f>IF(samples!#REF!=0,"",samples!#REF!)</f>
        <v>#REF!</v>
      </c>
      <c r="T456">
        <f>IFERROR(SEARCH(search!$B$6,samples!#REF!,1),0)</f>
        <v>0</v>
      </c>
      <c r="U456" t="e">
        <f>IF(samples!#REF!=0,"",samples!#REF!)</f>
        <v>#REF!</v>
      </c>
      <c r="V456">
        <f>IFERROR(SEARCH(search!$B$6,samples!#REF!,1),0)</f>
        <v>0</v>
      </c>
      <c r="W456" t="e">
        <f>IF(samples!#REF!=0,"",samples!#REF!)</f>
        <v>#REF!</v>
      </c>
      <c r="X456">
        <f>IFERROR(SEARCH(search!$B$6,samples!#REF!,1),0)</f>
        <v>0</v>
      </c>
      <c r="Y456" t="e">
        <f>IF(samples!#REF!=0,"",samples!#REF!)</f>
        <v>#REF!</v>
      </c>
      <c r="Z456">
        <f>IFERROR(SEARCH(search!$B$6,samples!#REF!,1),0)</f>
        <v>0</v>
      </c>
      <c r="AA456" t="e">
        <f>IF(samples!#REF!=0,"",samples!#REF!)</f>
        <v>#REF!</v>
      </c>
      <c r="AB456">
        <f>IFERROR(SEARCH(search!$B$6,samples!#REF!,1),0)</f>
        <v>0</v>
      </c>
      <c r="AC456" t="e">
        <f>IF(samples!#REF!=0,"",samples!#REF!)</f>
        <v>#REF!</v>
      </c>
      <c r="AD456">
        <f>IFERROR(SEARCH(search!$B$6,samples!#REF!,1),0)</f>
        <v>0</v>
      </c>
    </row>
    <row r="457" spans="1:30">
      <c r="A457">
        <f t="shared" si="7"/>
        <v>0</v>
      </c>
      <c r="B457">
        <f>IF(SUM(D457,F457,H457,J457,L457,N457,P457,R457,T457,V457,X457,Z457,AB457,AD457)&gt;0,SUM($A$2:A457),0)</f>
        <v>0</v>
      </c>
      <c r="C457" t="e">
        <f>samples!#REF!</f>
        <v>#REF!</v>
      </c>
      <c r="D457">
        <f>IFERROR(SEARCH(search!$B$6,samples!#REF!,1),0)</f>
        <v>0</v>
      </c>
      <c r="E457" t="e">
        <f>IF(samples!#REF!=0,"",samples!#REF!)</f>
        <v>#REF!</v>
      </c>
      <c r="F457">
        <f>IFERROR(SEARCH(search!$B$6,samples!#REF!,1),0)</f>
        <v>0</v>
      </c>
      <c r="G457" t="e">
        <f>IF(samples!#REF!=0,"",samples!#REF!)</f>
        <v>#REF!</v>
      </c>
      <c r="H457">
        <f>IFERROR(SEARCH(search!$B$6,samples!#REF!,1),0)</f>
        <v>0</v>
      </c>
      <c r="I457" t="e">
        <f>IF(samples!#REF!=0,"",samples!#REF!)</f>
        <v>#REF!</v>
      </c>
      <c r="J457">
        <f>IFERROR(SEARCH(search!$B$6,samples!#REF!,1),0)</f>
        <v>0</v>
      </c>
      <c r="K457" t="e">
        <f>IF(samples!#REF!=0,"",samples!#REF!)</f>
        <v>#REF!</v>
      </c>
      <c r="L457">
        <f>IFERROR(SEARCH(search!$B$6,samples!#REF!,1),0)</f>
        <v>0</v>
      </c>
      <c r="M457" t="e">
        <f>IF(samples!#REF!=0,"",samples!#REF!)</f>
        <v>#REF!</v>
      </c>
      <c r="N457">
        <f>IFERROR(SEARCH(search!$B$6,samples!#REF!,1),0)</f>
        <v>0</v>
      </c>
      <c r="O457" t="e">
        <f>IF(samples!#REF!=0,"",samples!#REF!)</f>
        <v>#REF!</v>
      </c>
      <c r="P457">
        <f>IFERROR(SEARCH(search!$B$6,samples!#REF!,1),0)</f>
        <v>0</v>
      </c>
      <c r="Q457" t="e">
        <f>IF(samples!#REF!=0,"",samples!#REF!)</f>
        <v>#REF!</v>
      </c>
      <c r="R457">
        <f>IFERROR(SEARCH(search!$B$6,samples!#REF!,1),0)</f>
        <v>0</v>
      </c>
      <c r="S457" t="e">
        <f>IF(samples!#REF!=0,"",samples!#REF!)</f>
        <v>#REF!</v>
      </c>
      <c r="T457">
        <f>IFERROR(SEARCH(search!$B$6,samples!#REF!,1),0)</f>
        <v>0</v>
      </c>
      <c r="U457" t="e">
        <f>IF(samples!#REF!=0,"",samples!#REF!)</f>
        <v>#REF!</v>
      </c>
      <c r="V457">
        <f>IFERROR(SEARCH(search!$B$6,samples!#REF!,1),0)</f>
        <v>0</v>
      </c>
      <c r="W457" t="e">
        <f>IF(samples!#REF!=0,"",samples!#REF!)</f>
        <v>#REF!</v>
      </c>
      <c r="X457">
        <f>IFERROR(SEARCH(search!$B$6,samples!#REF!,1),0)</f>
        <v>0</v>
      </c>
      <c r="Y457" t="e">
        <f>IF(samples!#REF!=0,"",samples!#REF!)</f>
        <v>#REF!</v>
      </c>
      <c r="Z457">
        <f>IFERROR(SEARCH(search!$B$6,samples!#REF!,1),0)</f>
        <v>0</v>
      </c>
      <c r="AA457" t="e">
        <f>IF(samples!#REF!=0,"",samples!#REF!)</f>
        <v>#REF!</v>
      </c>
      <c r="AB457">
        <f>IFERROR(SEARCH(search!$B$6,samples!#REF!,1),0)</f>
        <v>0</v>
      </c>
      <c r="AC457" t="e">
        <f>IF(samples!#REF!=0,"",samples!#REF!)</f>
        <v>#REF!</v>
      </c>
      <c r="AD457">
        <f>IFERROR(SEARCH(search!$B$6,samples!#REF!,1),0)</f>
        <v>0</v>
      </c>
    </row>
    <row r="458" spans="1:30">
      <c r="A458">
        <f t="shared" si="7"/>
        <v>0</v>
      </c>
      <c r="B458">
        <f>IF(SUM(D458,F458,H458,J458,L458,N458,P458,R458,T458,V458,X458,Z458,AB458,AD458)&gt;0,SUM($A$2:A458),0)</f>
        <v>0</v>
      </c>
      <c r="C458" t="e">
        <f>samples!#REF!</f>
        <v>#REF!</v>
      </c>
      <c r="D458">
        <f>IFERROR(SEARCH(search!$B$6,samples!#REF!,1),0)</f>
        <v>0</v>
      </c>
      <c r="E458" t="e">
        <f>IF(samples!#REF!=0,"",samples!#REF!)</f>
        <v>#REF!</v>
      </c>
      <c r="F458">
        <f>IFERROR(SEARCH(search!$B$6,samples!#REF!,1),0)</f>
        <v>0</v>
      </c>
      <c r="G458" t="e">
        <f>IF(samples!#REF!=0,"",samples!#REF!)</f>
        <v>#REF!</v>
      </c>
      <c r="H458">
        <f>IFERROR(SEARCH(search!$B$6,samples!#REF!,1),0)</f>
        <v>0</v>
      </c>
      <c r="I458" t="e">
        <f>IF(samples!#REF!=0,"",samples!#REF!)</f>
        <v>#REF!</v>
      </c>
      <c r="J458">
        <f>IFERROR(SEARCH(search!$B$6,samples!#REF!,1),0)</f>
        <v>0</v>
      </c>
      <c r="K458" t="e">
        <f>IF(samples!#REF!=0,"",samples!#REF!)</f>
        <v>#REF!</v>
      </c>
      <c r="L458">
        <f>IFERROR(SEARCH(search!$B$6,samples!#REF!,1),0)</f>
        <v>0</v>
      </c>
      <c r="M458" t="e">
        <f>IF(samples!#REF!=0,"",samples!#REF!)</f>
        <v>#REF!</v>
      </c>
      <c r="N458">
        <f>IFERROR(SEARCH(search!$B$6,samples!#REF!,1),0)</f>
        <v>0</v>
      </c>
      <c r="O458" t="e">
        <f>IF(samples!#REF!=0,"",samples!#REF!)</f>
        <v>#REF!</v>
      </c>
      <c r="P458">
        <f>IFERROR(SEARCH(search!$B$6,samples!#REF!,1),0)</f>
        <v>0</v>
      </c>
      <c r="Q458" t="e">
        <f>IF(samples!#REF!=0,"",samples!#REF!)</f>
        <v>#REF!</v>
      </c>
      <c r="R458">
        <f>IFERROR(SEARCH(search!$B$6,samples!#REF!,1),0)</f>
        <v>0</v>
      </c>
      <c r="S458" t="e">
        <f>IF(samples!#REF!=0,"",samples!#REF!)</f>
        <v>#REF!</v>
      </c>
      <c r="T458">
        <f>IFERROR(SEARCH(search!$B$6,samples!#REF!,1),0)</f>
        <v>0</v>
      </c>
      <c r="U458" t="e">
        <f>IF(samples!#REF!=0,"",samples!#REF!)</f>
        <v>#REF!</v>
      </c>
      <c r="V458">
        <f>IFERROR(SEARCH(search!$B$6,samples!#REF!,1),0)</f>
        <v>0</v>
      </c>
      <c r="W458" t="e">
        <f>IF(samples!#REF!=0,"",samples!#REF!)</f>
        <v>#REF!</v>
      </c>
      <c r="X458">
        <f>IFERROR(SEARCH(search!$B$6,samples!#REF!,1),0)</f>
        <v>0</v>
      </c>
      <c r="Y458" t="e">
        <f>IF(samples!#REF!=0,"",samples!#REF!)</f>
        <v>#REF!</v>
      </c>
      <c r="Z458">
        <f>IFERROR(SEARCH(search!$B$6,samples!#REF!,1),0)</f>
        <v>0</v>
      </c>
      <c r="AA458" t="e">
        <f>IF(samples!#REF!=0,"",samples!#REF!)</f>
        <v>#REF!</v>
      </c>
      <c r="AB458">
        <f>IFERROR(SEARCH(search!$B$6,samples!#REF!,1),0)</f>
        <v>0</v>
      </c>
      <c r="AC458" t="e">
        <f>IF(samples!#REF!=0,"",samples!#REF!)</f>
        <v>#REF!</v>
      </c>
      <c r="AD458">
        <f>IFERROR(SEARCH(search!$B$6,samples!#REF!,1),0)</f>
        <v>0</v>
      </c>
    </row>
    <row r="459" spans="1:30">
      <c r="A459">
        <f t="shared" si="7"/>
        <v>0</v>
      </c>
      <c r="B459">
        <f>IF(SUM(D459,F459,H459,J459,L459,N459,P459,R459,T459,V459,X459,Z459,AB459,AD459)&gt;0,SUM($A$2:A459),0)</f>
        <v>0</v>
      </c>
      <c r="C459" t="e">
        <f>samples!#REF!</f>
        <v>#REF!</v>
      </c>
      <c r="D459">
        <f>IFERROR(SEARCH(search!$B$6,samples!#REF!,1),0)</f>
        <v>0</v>
      </c>
      <c r="E459" t="e">
        <f>IF(samples!#REF!=0,"",samples!#REF!)</f>
        <v>#REF!</v>
      </c>
      <c r="F459">
        <f>IFERROR(SEARCH(search!$B$6,samples!#REF!,1),0)</f>
        <v>0</v>
      </c>
      <c r="G459" t="e">
        <f>IF(samples!#REF!=0,"",samples!#REF!)</f>
        <v>#REF!</v>
      </c>
      <c r="H459">
        <f>IFERROR(SEARCH(search!$B$6,samples!#REF!,1),0)</f>
        <v>0</v>
      </c>
      <c r="I459" t="e">
        <f>IF(samples!#REF!=0,"",samples!#REF!)</f>
        <v>#REF!</v>
      </c>
      <c r="J459">
        <f>IFERROR(SEARCH(search!$B$6,samples!#REF!,1),0)</f>
        <v>0</v>
      </c>
      <c r="K459" t="e">
        <f>IF(samples!#REF!=0,"",samples!#REF!)</f>
        <v>#REF!</v>
      </c>
      <c r="L459">
        <f>IFERROR(SEARCH(search!$B$6,samples!#REF!,1),0)</f>
        <v>0</v>
      </c>
      <c r="M459" t="e">
        <f>IF(samples!#REF!=0,"",samples!#REF!)</f>
        <v>#REF!</v>
      </c>
      <c r="N459">
        <f>IFERROR(SEARCH(search!$B$6,samples!#REF!,1),0)</f>
        <v>0</v>
      </c>
      <c r="O459" t="e">
        <f>IF(samples!#REF!=0,"",samples!#REF!)</f>
        <v>#REF!</v>
      </c>
      <c r="P459">
        <f>IFERROR(SEARCH(search!$B$6,samples!#REF!,1),0)</f>
        <v>0</v>
      </c>
      <c r="Q459" t="e">
        <f>IF(samples!#REF!=0,"",samples!#REF!)</f>
        <v>#REF!</v>
      </c>
      <c r="R459">
        <f>IFERROR(SEARCH(search!$B$6,samples!#REF!,1),0)</f>
        <v>0</v>
      </c>
      <c r="S459" t="e">
        <f>IF(samples!#REF!=0,"",samples!#REF!)</f>
        <v>#REF!</v>
      </c>
      <c r="T459">
        <f>IFERROR(SEARCH(search!$B$6,samples!#REF!,1),0)</f>
        <v>0</v>
      </c>
      <c r="U459" t="e">
        <f>IF(samples!#REF!=0,"",samples!#REF!)</f>
        <v>#REF!</v>
      </c>
      <c r="V459">
        <f>IFERROR(SEARCH(search!$B$6,samples!#REF!,1),0)</f>
        <v>0</v>
      </c>
      <c r="W459" t="e">
        <f>IF(samples!#REF!=0,"",samples!#REF!)</f>
        <v>#REF!</v>
      </c>
      <c r="X459">
        <f>IFERROR(SEARCH(search!$B$6,samples!#REF!,1),0)</f>
        <v>0</v>
      </c>
      <c r="Y459" t="e">
        <f>IF(samples!#REF!=0,"",samples!#REF!)</f>
        <v>#REF!</v>
      </c>
      <c r="Z459">
        <f>IFERROR(SEARCH(search!$B$6,samples!#REF!,1),0)</f>
        <v>0</v>
      </c>
      <c r="AA459" t="e">
        <f>IF(samples!#REF!=0,"",samples!#REF!)</f>
        <v>#REF!</v>
      </c>
      <c r="AB459">
        <f>IFERROR(SEARCH(search!$B$6,samples!#REF!,1),0)</f>
        <v>0</v>
      </c>
      <c r="AC459" t="e">
        <f>IF(samples!#REF!=0,"",samples!#REF!)</f>
        <v>#REF!</v>
      </c>
      <c r="AD459">
        <f>IFERROR(SEARCH(search!$B$6,samples!#REF!,1),0)</f>
        <v>0</v>
      </c>
    </row>
    <row r="460" spans="1:30">
      <c r="A460">
        <f t="shared" si="7"/>
        <v>0</v>
      </c>
      <c r="B460">
        <f>IF(SUM(D460,F460,H460,J460,L460,N460,P460,R460,T460,V460,X460,Z460,AB460,AD460)&gt;0,SUM($A$2:A460),0)</f>
        <v>0</v>
      </c>
      <c r="C460" t="e">
        <f>samples!#REF!</f>
        <v>#REF!</v>
      </c>
      <c r="D460">
        <f>IFERROR(SEARCH(search!$B$6,samples!#REF!,1),0)</f>
        <v>0</v>
      </c>
      <c r="E460" t="e">
        <f>IF(samples!#REF!=0,"",samples!#REF!)</f>
        <v>#REF!</v>
      </c>
      <c r="F460">
        <f>IFERROR(SEARCH(search!$B$6,samples!#REF!,1),0)</f>
        <v>0</v>
      </c>
      <c r="G460" t="e">
        <f>IF(samples!#REF!=0,"",samples!#REF!)</f>
        <v>#REF!</v>
      </c>
      <c r="H460">
        <f>IFERROR(SEARCH(search!$B$6,samples!#REF!,1),0)</f>
        <v>0</v>
      </c>
      <c r="I460" t="e">
        <f>IF(samples!#REF!=0,"",samples!#REF!)</f>
        <v>#REF!</v>
      </c>
      <c r="J460">
        <f>IFERROR(SEARCH(search!$B$6,samples!#REF!,1),0)</f>
        <v>0</v>
      </c>
      <c r="K460" t="e">
        <f>IF(samples!#REF!=0,"",samples!#REF!)</f>
        <v>#REF!</v>
      </c>
      <c r="L460">
        <f>IFERROR(SEARCH(search!$B$6,samples!#REF!,1),0)</f>
        <v>0</v>
      </c>
      <c r="M460" t="e">
        <f>IF(samples!#REF!=0,"",samples!#REF!)</f>
        <v>#REF!</v>
      </c>
      <c r="N460">
        <f>IFERROR(SEARCH(search!$B$6,samples!#REF!,1),0)</f>
        <v>0</v>
      </c>
      <c r="O460" t="e">
        <f>IF(samples!#REF!=0,"",samples!#REF!)</f>
        <v>#REF!</v>
      </c>
      <c r="P460">
        <f>IFERROR(SEARCH(search!$B$6,samples!#REF!,1),0)</f>
        <v>0</v>
      </c>
      <c r="Q460" t="e">
        <f>IF(samples!#REF!=0,"",samples!#REF!)</f>
        <v>#REF!</v>
      </c>
      <c r="R460">
        <f>IFERROR(SEARCH(search!$B$6,samples!#REF!,1),0)</f>
        <v>0</v>
      </c>
      <c r="S460" t="e">
        <f>IF(samples!#REF!=0,"",samples!#REF!)</f>
        <v>#REF!</v>
      </c>
      <c r="T460">
        <f>IFERROR(SEARCH(search!$B$6,samples!#REF!,1),0)</f>
        <v>0</v>
      </c>
      <c r="U460" t="e">
        <f>IF(samples!#REF!=0,"",samples!#REF!)</f>
        <v>#REF!</v>
      </c>
      <c r="V460">
        <f>IFERROR(SEARCH(search!$B$6,samples!#REF!,1),0)</f>
        <v>0</v>
      </c>
      <c r="W460" t="e">
        <f>IF(samples!#REF!=0,"",samples!#REF!)</f>
        <v>#REF!</v>
      </c>
      <c r="X460">
        <f>IFERROR(SEARCH(search!$B$6,samples!#REF!,1),0)</f>
        <v>0</v>
      </c>
      <c r="Y460" t="e">
        <f>IF(samples!#REF!=0,"",samples!#REF!)</f>
        <v>#REF!</v>
      </c>
      <c r="Z460">
        <f>IFERROR(SEARCH(search!$B$6,samples!#REF!,1),0)</f>
        <v>0</v>
      </c>
      <c r="AA460" t="e">
        <f>IF(samples!#REF!=0,"",samples!#REF!)</f>
        <v>#REF!</v>
      </c>
      <c r="AB460">
        <f>IFERROR(SEARCH(search!$B$6,samples!#REF!,1),0)</f>
        <v>0</v>
      </c>
      <c r="AC460" t="e">
        <f>IF(samples!#REF!=0,"",samples!#REF!)</f>
        <v>#REF!</v>
      </c>
      <c r="AD460">
        <f>IFERROR(SEARCH(search!$B$6,samples!#REF!,1),0)</f>
        <v>0</v>
      </c>
    </row>
    <row r="461" spans="1:30">
      <c r="A461">
        <f t="shared" si="7"/>
        <v>0</v>
      </c>
      <c r="B461">
        <f>IF(SUM(D461,F461,H461,J461,L461,N461,P461,R461,T461,V461,X461,Z461,AB461,AD461)&gt;0,SUM($A$2:A461),0)</f>
        <v>0</v>
      </c>
      <c r="C461" t="e">
        <f>samples!#REF!</f>
        <v>#REF!</v>
      </c>
      <c r="D461">
        <f>IFERROR(SEARCH(search!$B$6,samples!#REF!,1),0)</f>
        <v>0</v>
      </c>
      <c r="E461" t="e">
        <f>IF(samples!#REF!=0,"",samples!#REF!)</f>
        <v>#REF!</v>
      </c>
      <c r="F461">
        <f>IFERROR(SEARCH(search!$B$6,samples!#REF!,1),0)</f>
        <v>0</v>
      </c>
      <c r="G461" t="e">
        <f>IF(samples!#REF!=0,"",samples!#REF!)</f>
        <v>#REF!</v>
      </c>
      <c r="H461">
        <f>IFERROR(SEARCH(search!$B$6,samples!#REF!,1),0)</f>
        <v>0</v>
      </c>
      <c r="I461" t="e">
        <f>IF(samples!#REF!=0,"",samples!#REF!)</f>
        <v>#REF!</v>
      </c>
      <c r="J461">
        <f>IFERROR(SEARCH(search!$B$6,samples!#REF!,1),0)</f>
        <v>0</v>
      </c>
      <c r="K461" t="e">
        <f>IF(samples!#REF!=0,"",samples!#REF!)</f>
        <v>#REF!</v>
      </c>
      <c r="L461">
        <f>IFERROR(SEARCH(search!$B$6,samples!#REF!,1),0)</f>
        <v>0</v>
      </c>
      <c r="M461" t="e">
        <f>IF(samples!#REF!=0,"",samples!#REF!)</f>
        <v>#REF!</v>
      </c>
      <c r="N461">
        <f>IFERROR(SEARCH(search!$B$6,samples!#REF!,1),0)</f>
        <v>0</v>
      </c>
      <c r="O461" t="e">
        <f>IF(samples!#REF!=0,"",samples!#REF!)</f>
        <v>#REF!</v>
      </c>
      <c r="P461">
        <f>IFERROR(SEARCH(search!$B$6,samples!#REF!,1),0)</f>
        <v>0</v>
      </c>
      <c r="Q461" t="e">
        <f>IF(samples!#REF!=0,"",samples!#REF!)</f>
        <v>#REF!</v>
      </c>
      <c r="R461">
        <f>IFERROR(SEARCH(search!$B$6,samples!#REF!,1),0)</f>
        <v>0</v>
      </c>
      <c r="S461" t="e">
        <f>IF(samples!#REF!=0,"",samples!#REF!)</f>
        <v>#REF!</v>
      </c>
      <c r="T461">
        <f>IFERROR(SEARCH(search!$B$6,samples!#REF!,1),0)</f>
        <v>0</v>
      </c>
      <c r="U461" t="e">
        <f>IF(samples!#REF!=0,"",samples!#REF!)</f>
        <v>#REF!</v>
      </c>
      <c r="V461">
        <f>IFERROR(SEARCH(search!$B$6,samples!#REF!,1),0)</f>
        <v>0</v>
      </c>
      <c r="W461" t="e">
        <f>IF(samples!#REF!=0,"",samples!#REF!)</f>
        <v>#REF!</v>
      </c>
      <c r="X461">
        <f>IFERROR(SEARCH(search!$B$6,samples!#REF!,1),0)</f>
        <v>0</v>
      </c>
      <c r="Y461" t="e">
        <f>IF(samples!#REF!=0,"",samples!#REF!)</f>
        <v>#REF!</v>
      </c>
      <c r="Z461">
        <f>IFERROR(SEARCH(search!$B$6,samples!#REF!,1),0)</f>
        <v>0</v>
      </c>
      <c r="AA461" t="e">
        <f>IF(samples!#REF!=0,"",samples!#REF!)</f>
        <v>#REF!</v>
      </c>
      <c r="AB461">
        <f>IFERROR(SEARCH(search!$B$6,samples!#REF!,1),0)</f>
        <v>0</v>
      </c>
      <c r="AC461" t="e">
        <f>IF(samples!#REF!=0,"",samples!#REF!)</f>
        <v>#REF!</v>
      </c>
      <c r="AD461">
        <f>IFERROR(SEARCH(search!$B$6,samples!#REF!,1),0)</f>
        <v>0</v>
      </c>
    </row>
    <row r="462" spans="1:30">
      <c r="A462">
        <f t="shared" si="7"/>
        <v>0</v>
      </c>
      <c r="B462">
        <f>IF(SUM(D462,F462,H462,J462,L462,N462,P462,R462,T462,V462,X462,Z462,AB462,AD462)&gt;0,SUM($A$2:A462),0)</f>
        <v>0</v>
      </c>
      <c r="C462" t="e">
        <f>samples!#REF!</f>
        <v>#REF!</v>
      </c>
      <c r="D462">
        <f>IFERROR(SEARCH(search!$B$6,samples!#REF!,1),0)</f>
        <v>0</v>
      </c>
      <c r="E462" t="e">
        <f>IF(samples!#REF!=0,"",samples!#REF!)</f>
        <v>#REF!</v>
      </c>
      <c r="F462">
        <f>IFERROR(SEARCH(search!$B$6,samples!#REF!,1),0)</f>
        <v>0</v>
      </c>
      <c r="G462" t="e">
        <f>IF(samples!#REF!=0,"",samples!#REF!)</f>
        <v>#REF!</v>
      </c>
      <c r="H462">
        <f>IFERROR(SEARCH(search!$B$6,samples!#REF!,1),0)</f>
        <v>0</v>
      </c>
      <c r="I462" t="e">
        <f>IF(samples!#REF!=0,"",samples!#REF!)</f>
        <v>#REF!</v>
      </c>
      <c r="J462">
        <f>IFERROR(SEARCH(search!$B$6,samples!#REF!,1),0)</f>
        <v>0</v>
      </c>
      <c r="K462" t="e">
        <f>IF(samples!#REF!=0,"",samples!#REF!)</f>
        <v>#REF!</v>
      </c>
      <c r="L462">
        <f>IFERROR(SEARCH(search!$B$6,samples!#REF!,1),0)</f>
        <v>0</v>
      </c>
      <c r="M462" t="e">
        <f>IF(samples!#REF!=0,"",samples!#REF!)</f>
        <v>#REF!</v>
      </c>
      <c r="N462">
        <f>IFERROR(SEARCH(search!$B$6,samples!#REF!,1),0)</f>
        <v>0</v>
      </c>
      <c r="O462" t="e">
        <f>IF(samples!#REF!=0,"",samples!#REF!)</f>
        <v>#REF!</v>
      </c>
      <c r="P462">
        <f>IFERROR(SEARCH(search!$B$6,samples!#REF!,1),0)</f>
        <v>0</v>
      </c>
      <c r="Q462" t="e">
        <f>IF(samples!#REF!=0,"",samples!#REF!)</f>
        <v>#REF!</v>
      </c>
      <c r="R462">
        <f>IFERROR(SEARCH(search!$B$6,samples!#REF!,1),0)</f>
        <v>0</v>
      </c>
      <c r="S462" t="e">
        <f>IF(samples!#REF!=0,"",samples!#REF!)</f>
        <v>#REF!</v>
      </c>
      <c r="T462">
        <f>IFERROR(SEARCH(search!$B$6,samples!#REF!,1),0)</f>
        <v>0</v>
      </c>
      <c r="U462" t="e">
        <f>IF(samples!#REF!=0,"",samples!#REF!)</f>
        <v>#REF!</v>
      </c>
      <c r="V462">
        <f>IFERROR(SEARCH(search!$B$6,samples!#REF!,1),0)</f>
        <v>0</v>
      </c>
      <c r="W462" t="e">
        <f>IF(samples!#REF!=0,"",samples!#REF!)</f>
        <v>#REF!</v>
      </c>
      <c r="X462">
        <f>IFERROR(SEARCH(search!$B$6,samples!#REF!,1),0)</f>
        <v>0</v>
      </c>
      <c r="Y462" t="e">
        <f>IF(samples!#REF!=0,"",samples!#REF!)</f>
        <v>#REF!</v>
      </c>
      <c r="Z462">
        <f>IFERROR(SEARCH(search!$B$6,samples!#REF!,1),0)</f>
        <v>0</v>
      </c>
      <c r="AA462" t="e">
        <f>IF(samples!#REF!=0,"",samples!#REF!)</f>
        <v>#REF!</v>
      </c>
      <c r="AB462">
        <f>IFERROR(SEARCH(search!$B$6,samples!#REF!,1),0)</f>
        <v>0</v>
      </c>
      <c r="AC462" t="e">
        <f>IF(samples!#REF!=0,"",samples!#REF!)</f>
        <v>#REF!</v>
      </c>
      <c r="AD462">
        <f>IFERROR(SEARCH(search!$B$6,samples!#REF!,1),0)</f>
        <v>0</v>
      </c>
    </row>
    <row r="463" spans="1:30">
      <c r="A463">
        <f t="shared" si="7"/>
        <v>0</v>
      </c>
      <c r="B463">
        <f>IF(SUM(D463,F463,H463,J463,L463,N463,P463,R463,T463,V463,X463,Z463,AB463,AD463)&gt;0,SUM($A$2:A463),0)</f>
        <v>0</v>
      </c>
      <c r="C463" t="e">
        <f>samples!#REF!</f>
        <v>#REF!</v>
      </c>
      <c r="D463">
        <f>IFERROR(SEARCH(search!$B$6,samples!#REF!,1),0)</f>
        <v>0</v>
      </c>
      <c r="E463" t="e">
        <f>IF(samples!#REF!=0,"",samples!#REF!)</f>
        <v>#REF!</v>
      </c>
      <c r="F463">
        <f>IFERROR(SEARCH(search!$B$6,samples!#REF!,1),0)</f>
        <v>0</v>
      </c>
      <c r="G463" t="e">
        <f>IF(samples!#REF!=0,"",samples!#REF!)</f>
        <v>#REF!</v>
      </c>
      <c r="H463">
        <f>IFERROR(SEARCH(search!$B$6,samples!#REF!,1),0)</f>
        <v>0</v>
      </c>
      <c r="I463" t="e">
        <f>IF(samples!#REF!=0,"",samples!#REF!)</f>
        <v>#REF!</v>
      </c>
      <c r="J463">
        <f>IFERROR(SEARCH(search!$B$6,samples!#REF!,1),0)</f>
        <v>0</v>
      </c>
      <c r="K463" t="e">
        <f>IF(samples!#REF!=0,"",samples!#REF!)</f>
        <v>#REF!</v>
      </c>
      <c r="L463">
        <f>IFERROR(SEARCH(search!$B$6,samples!#REF!,1),0)</f>
        <v>0</v>
      </c>
      <c r="M463" t="e">
        <f>IF(samples!#REF!=0,"",samples!#REF!)</f>
        <v>#REF!</v>
      </c>
      <c r="N463">
        <f>IFERROR(SEARCH(search!$B$6,samples!#REF!,1),0)</f>
        <v>0</v>
      </c>
      <c r="O463" t="e">
        <f>IF(samples!#REF!=0,"",samples!#REF!)</f>
        <v>#REF!</v>
      </c>
      <c r="P463">
        <f>IFERROR(SEARCH(search!$B$6,samples!#REF!,1),0)</f>
        <v>0</v>
      </c>
      <c r="Q463" t="e">
        <f>IF(samples!#REF!=0,"",samples!#REF!)</f>
        <v>#REF!</v>
      </c>
      <c r="R463">
        <f>IFERROR(SEARCH(search!$B$6,samples!#REF!,1),0)</f>
        <v>0</v>
      </c>
      <c r="S463" t="e">
        <f>IF(samples!#REF!=0,"",samples!#REF!)</f>
        <v>#REF!</v>
      </c>
      <c r="T463">
        <f>IFERROR(SEARCH(search!$B$6,samples!#REF!,1),0)</f>
        <v>0</v>
      </c>
      <c r="U463" t="e">
        <f>IF(samples!#REF!=0,"",samples!#REF!)</f>
        <v>#REF!</v>
      </c>
      <c r="V463">
        <f>IFERROR(SEARCH(search!$B$6,samples!#REF!,1),0)</f>
        <v>0</v>
      </c>
      <c r="W463" t="e">
        <f>IF(samples!#REF!=0,"",samples!#REF!)</f>
        <v>#REF!</v>
      </c>
      <c r="X463">
        <f>IFERROR(SEARCH(search!$B$6,samples!#REF!,1),0)</f>
        <v>0</v>
      </c>
      <c r="Y463" t="e">
        <f>IF(samples!#REF!=0,"",samples!#REF!)</f>
        <v>#REF!</v>
      </c>
      <c r="Z463">
        <f>IFERROR(SEARCH(search!$B$6,samples!#REF!,1),0)</f>
        <v>0</v>
      </c>
      <c r="AA463" t="e">
        <f>IF(samples!#REF!=0,"",samples!#REF!)</f>
        <v>#REF!</v>
      </c>
      <c r="AB463">
        <f>IFERROR(SEARCH(search!$B$6,samples!#REF!,1),0)</f>
        <v>0</v>
      </c>
      <c r="AC463" t="e">
        <f>IF(samples!#REF!=0,"",samples!#REF!)</f>
        <v>#REF!</v>
      </c>
      <c r="AD463">
        <f>IFERROR(SEARCH(search!$B$6,samples!#REF!,1),0)</f>
        <v>0</v>
      </c>
    </row>
    <row r="464" spans="1:30">
      <c r="A464">
        <f t="shared" si="7"/>
        <v>0</v>
      </c>
      <c r="B464">
        <f>IF(SUM(D464,F464,H464,J464,L464,N464,P464,R464,T464,V464,X464,Z464,AB464,AD464)&gt;0,SUM($A$2:A464),0)</f>
        <v>0</v>
      </c>
      <c r="C464" t="e">
        <f>samples!#REF!</f>
        <v>#REF!</v>
      </c>
      <c r="D464">
        <f>IFERROR(SEARCH(search!$B$6,samples!#REF!,1),0)</f>
        <v>0</v>
      </c>
      <c r="E464" t="e">
        <f>IF(samples!#REF!=0,"",samples!#REF!)</f>
        <v>#REF!</v>
      </c>
      <c r="F464">
        <f>IFERROR(SEARCH(search!$B$6,samples!#REF!,1),0)</f>
        <v>0</v>
      </c>
      <c r="G464" t="e">
        <f>IF(samples!#REF!=0,"",samples!#REF!)</f>
        <v>#REF!</v>
      </c>
      <c r="H464">
        <f>IFERROR(SEARCH(search!$B$6,samples!#REF!,1),0)</f>
        <v>0</v>
      </c>
      <c r="I464" t="e">
        <f>IF(samples!#REF!=0,"",samples!#REF!)</f>
        <v>#REF!</v>
      </c>
      <c r="J464">
        <f>IFERROR(SEARCH(search!$B$6,samples!#REF!,1),0)</f>
        <v>0</v>
      </c>
      <c r="K464" t="e">
        <f>IF(samples!#REF!=0,"",samples!#REF!)</f>
        <v>#REF!</v>
      </c>
      <c r="L464">
        <f>IFERROR(SEARCH(search!$B$6,samples!#REF!,1),0)</f>
        <v>0</v>
      </c>
      <c r="M464" t="e">
        <f>IF(samples!#REF!=0,"",samples!#REF!)</f>
        <v>#REF!</v>
      </c>
      <c r="N464">
        <f>IFERROR(SEARCH(search!$B$6,samples!#REF!,1),0)</f>
        <v>0</v>
      </c>
      <c r="O464" t="e">
        <f>IF(samples!#REF!=0,"",samples!#REF!)</f>
        <v>#REF!</v>
      </c>
      <c r="P464">
        <f>IFERROR(SEARCH(search!$B$6,samples!#REF!,1),0)</f>
        <v>0</v>
      </c>
      <c r="Q464" t="e">
        <f>IF(samples!#REF!=0,"",samples!#REF!)</f>
        <v>#REF!</v>
      </c>
      <c r="R464">
        <f>IFERROR(SEARCH(search!$B$6,samples!#REF!,1),0)</f>
        <v>0</v>
      </c>
      <c r="S464" t="e">
        <f>IF(samples!#REF!=0,"",samples!#REF!)</f>
        <v>#REF!</v>
      </c>
      <c r="T464">
        <f>IFERROR(SEARCH(search!$B$6,samples!#REF!,1),0)</f>
        <v>0</v>
      </c>
      <c r="U464" t="e">
        <f>IF(samples!#REF!=0,"",samples!#REF!)</f>
        <v>#REF!</v>
      </c>
      <c r="V464">
        <f>IFERROR(SEARCH(search!$B$6,samples!#REF!,1),0)</f>
        <v>0</v>
      </c>
      <c r="W464" t="e">
        <f>IF(samples!#REF!=0,"",samples!#REF!)</f>
        <v>#REF!</v>
      </c>
      <c r="X464">
        <f>IFERROR(SEARCH(search!$B$6,samples!#REF!,1),0)</f>
        <v>0</v>
      </c>
      <c r="Y464" t="e">
        <f>IF(samples!#REF!=0,"",samples!#REF!)</f>
        <v>#REF!</v>
      </c>
      <c r="Z464">
        <f>IFERROR(SEARCH(search!$B$6,samples!#REF!,1),0)</f>
        <v>0</v>
      </c>
      <c r="AA464" t="e">
        <f>IF(samples!#REF!=0,"",samples!#REF!)</f>
        <v>#REF!</v>
      </c>
      <c r="AB464">
        <f>IFERROR(SEARCH(search!$B$6,samples!#REF!,1),0)</f>
        <v>0</v>
      </c>
      <c r="AC464" t="e">
        <f>IF(samples!#REF!=0,"",samples!#REF!)</f>
        <v>#REF!</v>
      </c>
      <c r="AD464">
        <f>IFERROR(SEARCH(search!$B$6,samples!#REF!,1),0)</f>
        <v>0</v>
      </c>
    </row>
    <row r="465" spans="1:30">
      <c r="A465">
        <f t="shared" si="7"/>
        <v>0</v>
      </c>
      <c r="B465">
        <f>IF(SUM(D465,F465,H465,J465,L465,N465,P465,R465,T465,V465,X465,Z465,AB465,AD465)&gt;0,SUM($A$2:A465),0)</f>
        <v>0</v>
      </c>
      <c r="C465" t="e">
        <f>samples!#REF!</f>
        <v>#REF!</v>
      </c>
      <c r="D465">
        <f>IFERROR(SEARCH(search!$B$6,samples!#REF!,1),0)</f>
        <v>0</v>
      </c>
      <c r="E465" t="e">
        <f>IF(samples!#REF!=0,"",samples!#REF!)</f>
        <v>#REF!</v>
      </c>
      <c r="F465">
        <f>IFERROR(SEARCH(search!$B$6,samples!#REF!,1),0)</f>
        <v>0</v>
      </c>
      <c r="G465" t="e">
        <f>IF(samples!#REF!=0,"",samples!#REF!)</f>
        <v>#REF!</v>
      </c>
      <c r="H465">
        <f>IFERROR(SEARCH(search!$B$6,samples!#REF!,1),0)</f>
        <v>0</v>
      </c>
      <c r="I465" t="e">
        <f>IF(samples!#REF!=0,"",samples!#REF!)</f>
        <v>#REF!</v>
      </c>
      <c r="J465">
        <f>IFERROR(SEARCH(search!$B$6,samples!#REF!,1),0)</f>
        <v>0</v>
      </c>
      <c r="K465" t="e">
        <f>IF(samples!#REF!=0,"",samples!#REF!)</f>
        <v>#REF!</v>
      </c>
      <c r="L465">
        <f>IFERROR(SEARCH(search!$B$6,samples!#REF!,1),0)</f>
        <v>0</v>
      </c>
      <c r="M465" t="e">
        <f>IF(samples!#REF!=0,"",samples!#REF!)</f>
        <v>#REF!</v>
      </c>
      <c r="N465">
        <f>IFERROR(SEARCH(search!$B$6,samples!#REF!,1),0)</f>
        <v>0</v>
      </c>
      <c r="O465" t="e">
        <f>IF(samples!#REF!=0,"",samples!#REF!)</f>
        <v>#REF!</v>
      </c>
      <c r="P465">
        <f>IFERROR(SEARCH(search!$B$6,samples!#REF!,1),0)</f>
        <v>0</v>
      </c>
      <c r="Q465" t="e">
        <f>IF(samples!#REF!=0,"",samples!#REF!)</f>
        <v>#REF!</v>
      </c>
      <c r="R465">
        <f>IFERROR(SEARCH(search!$B$6,samples!#REF!,1),0)</f>
        <v>0</v>
      </c>
      <c r="S465" t="e">
        <f>IF(samples!#REF!=0,"",samples!#REF!)</f>
        <v>#REF!</v>
      </c>
      <c r="T465">
        <f>IFERROR(SEARCH(search!$B$6,samples!#REF!,1),0)</f>
        <v>0</v>
      </c>
      <c r="U465" t="e">
        <f>IF(samples!#REF!=0,"",samples!#REF!)</f>
        <v>#REF!</v>
      </c>
      <c r="V465">
        <f>IFERROR(SEARCH(search!$B$6,samples!#REF!,1),0)</f>
        <v>0</v>
      </c>
      <c r="W465" t="e">
        <f>IF(samples!#REF!=0,"",samples!#REF!)</f>
        <v>#REF!</v>
      </c>
      <c r="X465">
        <f>IFERROR(SEARCH(search!$B$6,samples!#REF!,1),0)</f>
        <v>0</v>
      </c>
      <c r="Y465" t="e">
        <f>IF(samples!#REF!=0,"",samples!#REF!)</f>
        <v>#REF!</v>
      </c>
      <c r="Z465">
        <f>IFERROR(SEARCH(search!$B$6,samples!#REF!,1),0)</f>
        <v>0</v>
      </c>
      <c r="AA465" t="e">
        <f>IF(samples!#REF!=0,"",samples!#REF!)</f>
        <v>#REF!</v>
      </c>
      <c r="AB465">
        <f>IFERROR(SEARCH(search!$B$6,samples!#REF!,1),0)</f>
        <v>0</v>
      </c>
      <c r="AC465" t="e">
        <f>IF(samples!#REF!=0,"",samples!#REF!)</f>
        <v>#REF!</v>
      </c>
      <c r="AD465">
        <f>IFERROR(SEARCH(search!$B$6,samples!#REF!,1),0)</f>
        <v>0</v>
      </c>
    </row>
    <row r="466" spans="1:30">
      <c r="A466">
        <f t="shared" si="7"/>
        <v>0</v>
      </c>
      <c r="B466">
        <f>IF(SUM(D466,F466,H466,J466,L466,N466,P466,R466,T466,V466,X466,Z466,AB466,AD466)&gt;0,SUM($A$2:A466),0)</f>
        <v>0</v>
      </c>
      <c r="C466">
        <f>samples!B3</f>
        <v>0</v>
      </c>
      <c r="D466">
        <f>IFERROR(SEARCH(search!$B$6,samples!B3,1),0)</f>
        <v>0</v>
      </c>
      <c r="E466" t="str">
        <f>IF(samples!C3=0,"",samples!C3)</f>
        <v/>
      </c>
      <c r="F466">
        <f>IFERROR(SEARCH(search!$B$6,samples!C3,1),0)</f>
        <v>0</v>
      </c>
      <c r="G466" t="str">
        <f>IF(samples!D3=0,"",samples!D3)</f>
        <v/>
      </c>
      <c r="H466">
        <f>IFERROR(SEARCH(search!$B$6,samples!D3,1),0)</f>
        <v>0</v>
      </c>
      <c r="I466" t="str">
        <f>IF(samples!E3=0,"",samples!E3)</f>
        <v/>
      </c>
      <c r="J466">
        <f>IFERROR(SEARCH(search!$B$6,samples!E3,1),0)</f>
        <v>0</v>
      </c>
      <c r="K466" t="str">
        <f>IF(samples!F3=0,"",samples!F3)</f>
        <v/>
      </c>
      <c r="L466">
        <f>IFERROR(SEARCH(search!$B$6,samples!F3,1),0)</f>
        <v>0</v>
      </c>
      <c r="M466" t="str">
        <f>IF(samples!G3=0,"",samples!G3)</f>
        <v/>
      </c>
      <c r="N466">
        <f>IFERROR(SEARCH(search!$B$6,samples!G3,1),0)</f>
        <v>0</v>
      </c>
      <c r="O466" t="str">
        <f>IF(samples!H3=0,"",samples!H3)</f>
        <v/>
      </c>
      <c r="P466">
        <f>IFERROR(SEARCH(search!$B$6,samples!H3,1),0)</f>
        <v>0</v>
      </c>
      <c r="Q466" t="str">
        <f>IF(samples!I3=0,"",samples!I3)</f>
        <v/>
      </c>
      <c r="R466">
        <f>IFERROR(SEARCH(search!$B$6,samples!I3,1),0)</f>
        <v>0</v>
      </c>
      <c r="S466" t="str">
        <f>IF(samples!J3=0,"",samples!J3)</f>
        <v/>
      </c>
      <c r="T466">
        <f>IFERROR(SEARCH(search!$B$6,samples!J3,1),0)</f>
        <v>0</v>
      </c>
      <c r="U466" t="str">
        <f>IF(samples!K3=0,"",samples!K3)</f>
        <v/>
      </c>
      <c r="V466">
        <f>IFERROR(SEARCH(search!$B$6,samples!K3,1),0)</f>
        <v>0</v>
      </c>
      <c r="W466" t="str">
        <f>IF(samples!L3=0,"",samples!L3)</f>
        <v/>
      </c>
      <c r="X466">
        <f>IFERROR(SEARCH(search!$B$6,samples!L3,1),0)</f>
        <v>0</v>
      </c>
      <c r="Y466" t="str">
        <f>IF(samples!M3=0,"",samples!M3)</f>
        <v/>
      </c>
      <c r="Z466">
        <f>IFERROR(SEARCH(search!$B$6,samples!M3,1),0)</f>
        <v>0</v>
      </c>
      <c r="AA466" t="str">
        <f>IF(samples!N3=0,"",samples!N3)</f>
        <v/>
      </c>
      <c r="AB466">
        <f>IFERROR(SEARCH(search!$B$6,samples!N3,1),0)</f>
        <v>0</v>
      </c>
      <c r="AC466" t="str">
        <f>IF(samples!O3=0,"",samples!O3)</f>
        <v/>
      </c>
      <c r="AD466">
        <f>IFERROR(SEARCH(search!$B$6,samples!O3,1),0)</f>
        <v>0</v>
      </c>
    </row>
    <row r="467" spans="1:30">
      <c r="A467">
        <f t="shared" si="7"/>
        <v>0</v>
      </c>
      <c r="B467">
        <f>IF(SUM(D467,F467,H467,J467,L467,N467,P467,R467,T467,V467,X467,Z467,AB467,AD467)&gt;0,SUM($A$2:A467),0)</f>
        <v>0</v>
      </c>
      <c r="C467">
        <f>samples!B4</f>
        <v>0</v>
      </c>
      <c r="D467">
        <f>IFERROR(SEARCH(search!$B$6,samples!B4,1),0)</f>
        <v>0</v>
      </c>
      <c r="E467" t="str">
        <f>IF(samples!C4=0,"",samples!C4)</f>
        <v/>
      </c>
      <c r="F467">
        <f>IFERROR(SEARCH(search!$B$6,samples!C4,1),0)</f>
        <v>0</v>
      </c>
      <c r="G467" t="str">
        <f>IF(samples!D4=0,"",samples!D4)</f>
        <v/>
      </c>
      <c r="H467">
        <f>IFERROR(SEARCH(search!$B$6,samples!D4,1),0)</f>
        <v>0</v>
      </c>
      <c r="I467" t="str">
        <f>IF(samples!E4=0,"",samples!E4)</f>
        <v/>
      </c>
      <c r="J467">
        <f>IFERROR(SEARCH(search!$B$6,samples!E4,1),0)</f>
        <v>0</v>
      </c>
      <c r="K467" t="str">
        <f>IF(samples!F4=0,"",samples!F4)</f>
        <v/>
      </c>
      <c r="L467">
        <f>IFERROR(SEARCH(search!$B$6,samples!F4,1),0)</f>
        <v>0</v>
      </c>
      <c r="M467" t="str">
        <f>IF(samples!G4=0,"",samples!G4)</f>
        <v/>
      </c>
      <c r="N467">
        <f>IFERROR(SEARCH(search!$B$6,samples!G4,1),0)</f>
        <v>0</v>
      </c>
      <c r="O467" t="str">
        <f>IF(samples!H4=0,"",samples!H4)</f>
        <v/>
      </c>
      <c r="P467">
        <f>IFERROR(SEARCH(search!$B$6,samples!H4,1),0)</f>
        <v>0</v>
      </c>
      <c r="Q467" t="str">
        <f>IF(samples!I4=0,"",samples!I4)</f>
        <v/>
      </c>
      <c r="R467">
        <f>IFERROR(SEARCH(search!$B$6,samples!I4,1),0)</f>
        <v>0</v>
      </c>
      <c r="S467" t="str">
        <f>IF(samples!J4=0,"",samples!J4)</f>
        <v/>
      </c>
      <c r="T467">
        <f>IFERROR(SEARCH(search!$B$6,samples!J4,1),0)</f>
        <v>0</v>
      </c>
      <c r="U467" t="str">
        <f>IF(samples!K4=0,"",samples!K4)</f>
        <v/>
      </c>
      <c r="V467">
        <f>IFERROR(SEARCH(search!$B$6,samples!K4,1),0)</f>
        <v>0</v>
      </c>
      <c r="W467" t="str">
        <f>IF(samples!L4=0,"",samples!L4)</f>
        <v/>
      </c>
      <c r="X467">
        <f>IFERROR(SEARCH(search!$B$6,samples!L4,1),0)</f>
        <v>0</v>
      </c>
      <c r="Y467" t="str">
        <f>IF(samples!M4=0,"",samples!M4)</f>
        <v/>
      </c>
      <c r="Z467">
        <f>IFERROR(SEARCH(search!$B$6,samples!M4,1),0)</f>
        <v>0</v>
      </c>
      <c r="AA467" t="str">
        <f>IF(samples!N4=0,"",samples!N4)</f>
        <v/>
      </c>
      <c r="AB467">
        <f>IFERROR(SEARCH(search!$B$6,samples!N4,1),0)</f>
        <v>0</v>
      </c>
      <c r="AC467" t="str">
        <f>IF(samples!O4=0,"",samples!O4)</f>
        <v/>
      </c>
      <c r="AD467">
        <f>IFERROR(SEARCH(search!$B$6,samples!O4,1),0)</f>
        <v>0</v>
      </c>
    </row>
    <row r="468" spans="1:30">
      <c r="A468">
        <f t="shared" si="7"/>
        <v>0</v>
      </c>
      <c r="B468">
        <f>IF(SUM(D468,F468,H468,J468,L468,N468,P468,R468,T468,V468,X468,Z468,AB468,AD468)&gt;0,SUM($A$2:A468),0)</f>
        <v>0</v>
      </c>
      <c r="C468">
        <f>samples!B5</f>
        <v>0</v>
      </c>
      <c r="D468">
        <f>IFERROR(SEARCH(search!$B$6,samples!B5,1),0)</f>
        <v>0</v>
      </c>
      <c r="E468" t="str">
        <f>IF(samples!C5=0,"",samples!C5)</f>
        <v/>
      </c>
      <c r="F468">
        <f>IFERROR(SEARCH(search!$B$6,samples!C5,1),0)</f>
        <v>0</v>
      </c>
      <c r="G468" t="str">
        <f>IF(samples!D5=0,"",samples!D5)</f>
        <v/>
      </c>
      <c r="H468">
        <f>IFERROR(SEARCH(search!$B$6,samples!D5,1),0)</f>
        <v>0</v>
      </c>
      <c r="I468" t="str">
        <f>IF(samples!E5=0,"",samples!E5)</f>
        <v/>
      </c>
      <c r="J468">
        <f>IFERROR(SEARCH(search!$B$6,samples!E5,1),0)</f>
        <v>0</v>
      </c>
      <c r="K468" t="str">
        <f>IF(samples!F5=0,"",samples!F5)</f>
        <v/>
      </c>
      <c r="L468">
        <f>IFERROR(SEARCH(search!$B$6,samples!F5,1),0)</f>
        <v>0</v>
      </c>
      <c r="M468" t="str">
        <f>IF(samples!G5=0,"",samples!G5)</f>
        <v/>
      </c>
      <c r="N468">
        <f>IFERROR(SEARCH(search!$B$6,samples!G5,1),0)</f>
        <v>0</v>
      </c>
      <c r="O468" t="str">
        <f>IF(samples!H5=0,"",samples!H5)</f>
        <v/>
      </c>
      <c r="P468">
        <f>IFERROR(SEARCH(search!$B$6,samples!H5,1),0)</f>
        <v>0</v>
      </c>
      <c r="Q468" t="str">
        <f>IF(samples!I5=0,"",samples!I5)</f>
        <v/>
      </c>
      <c r="R468">
        <f>IFERROR(SEARCH(search!$B$6,samples!I5,1),0)</f>
        <v>0</v>
      </c>
      <c r="S468" t="str">
        <f>IF(samples!J5=0,"",samples!J5)</f>
        <v/>
      </c>
      <c r="T468">
        <f>IFERROR(SEARCH(search!$B$6,samples!J5,1),0)</f>
        <v>0</v>
      </c>
      <c r="U468" t="str">
        <f>IF(samples!K5=0,"",samples!K5)</f>
        <v/>
      </c>
      <c r="V468">
        <f>IFERROR(SEARCH(search!$B$6,samples!K5,1),0)</f>
        <v>0</v>
      </c>
      <c r="W468" t="str">
        <f>IF(samples!L5=0,"",samples!L5)</f>
        <v/>
      </c>
      <c r="X468">
        <f>IFERROR(SEARCH(search!$B$6,samples!L5,1),0)</f>
        <v>0</v>
      </c>
      <c r="Y468" t="str">
        <f>IF(samples!M5=0,"",samples!M5)</f>
        <v/>
      </c>
      <c r="Z468">
        <f>IFERROR(SEARCH(search!$B$6,samples!M5,1),0)</f>
        <v>0</v>
      </c>
      <c r="AA468" t="str">
        <f>IF(samples!N5=0,"",samples!N5)</f>
        <v/>
      </c>
      <c r="AB468">
        <f>IFERROR(SEARCH(search!$B$6,samples!N5,1),0)</f>
        <v>0</v>
      </c>
      <c r="AC468" t="str">
        <f>IF(samples!O5=0,"",samples!O5)</f>
        <v/>
      </c>
      <c r="AD468">
        <f>IFERROR(SEARCH(search!$B$6,samples!O5,1),0)</f>
        <v>0</v>
      </c>
    </row>
    <row r="469" spans="1:30">
      <c r="A469">
        <f t="shared" si="7"/>
        <v>0</v>
      </c>
      <c r="B469">
        <f>IF(SUM(D469,F469,H469,J469,L469,N469,P469,R469,T469,V469,X469,Z469,AB469,AD469)&gt;0,SUM($A$2:A469),0)</f>
        <v>0</v>
      </c>
      <c r="C469">
        <f>samples!B6</f>
        <v>0</v>
      </c>
      <c r="D469">
        <f>IFERROR(SEARCH(search!$B$6,samples!B6,1),0)</f>
        <v>0</v>
      </c>
      <c r="E469" t="str">
        <f>IF(samples!C6=0,"",samples!C6)</f>
        <v/>
      </c>
      <c r="F469">
        <f>IFERROR(SEARCH(search!$B$6,samples!C6,1),0)</f>
        <v>0</v>
      </c>
      <c r="G469" t="str">
        <f>IF(samples!D6=0,"",samples!D6)</f>
        <v/>
      </c>
      <c r="H469">
        <f>IFERROR(SEARCH(search!$B$6,samples!D6,1),0)</f>
        <v>0</v>
      </c>
      <c r="I469" t="str">
        <f>IF(samples!E6=0,"",samples!E6)</f>
        <v/>
      </c>
      <c r="J469">
        <f>IFERROR(SEARCH(search!$B$6,samples!E6,1),0)</f>
        <v>0</v>
      </c>
      <c r="K469" t="str">
        <f>IF(samples!F6=0,"",samples!F6)</f>
        <v/>
      </c>
      <c r="L469">
        <f>IFERROR(SEARCH(search!$B$6,samples!F6,1),0)</f>
        <v>0</v>
      </c>
      <c r="M469" t="str">
        <f>IF(samples!G6=0,"",samples!G6)</f>
        <v/>
      </c>
      <c r="N469">
        <f>IFERROR(SEARCH(search!$B$6,samples!G6,1),0)</f>
        <v>0</v>
      </c>
      <c r="O469" t="str">
        <f>IF(samples!H6=0,"",samples!H6)</f>
        <v/>
      </c>
      <c r="P469">
        <f>IFERROR(SEARCH(search!$B$6,samples!H6,1),0)</f>
        <v>0</v>
      </c>
      <c r="Q469" t="str">
        <f>IF(samples!I6=0,"",samples!I6)</f>
        <v/>
      </c>
      <c r="R469">
        <f>IFERROR(SEARCH(search!$B$6,samples!I6,1),0)</f>
        <v>0</v>
      </c>
      <c r="S469" t="str">
        <f>IF(samples!J6=0,"",samples!J6)</f>
        <v/>
      </c>
      <c r="T469">
        <f>IFERROR(SEARCH(search!$B$6,samples!J6,1),0)</f>
        <v>0</v>
      </c>
      <c r="U469" t="str">
        <f>IF(samples!K6=0,"",samples!K6)</f>
        <v/>
      </c>
      <c r="V469">
        <f>IFERROR(SEARCH(search!$B$6,samples!K6,1),0)</f>
        <v>0</v>
      </c>
      <c r="W469" t="str">
        <f>IF(samples!L6=0,"",samples!L6)</f>
        <v/>
      </c>
      <c r="X469">
        <f>IFERROR(SEARCH(search!$B$6,samples!L6,1),0)</f>
        <v>0</v>
      </c>
      <c r="Y469" t="str">
        <f>IF(samples!M6=0,"",samples!M6)</f>
        <v/>
      </c>
      <c r="Z469">
        <f>IFERROR(SEARCH(search!$B$6,samples!M6,1),0)</f>
        <v>0</v>
      </c>
      <c r="AA469" t="str">
        <f>IF(samples!N6=0,"",samples!N6)</f>
        <v/>
      </c>
      <c r="AB469">
        <f>IFERROR(SEARCH(search!$B$6,samples!N6,1),0)</f>
        <v>0</v>
      </c>
      <c r="AC469" t="str">
        <f>IF(samples!O6=0,"",samples!O6)</f>
        <v/>
      </c>
      <c r="AD469">
        <f>IFERROR(SEARCH(search!$B$6,samples!O6,1),0)</f>
        <v>0</v>
      </c>
    </row>
    <row r="470" spans="1:30">
      <c r="A470">
        <f t="shared" si="7"/>
        <v>0</v>
      </c>
      <c r="B470">
        <f>IF(SUM(D470,F470,H470,J470,L470,N470,P470,R470,T470,V470,X470,Z470,AB470,AD470)&gt;0,SUM($A$2:A470),0)</f>
        <v>0</v>
      </c>
      <c r="C470">
        <f>samples!B7</f>
        <v>0</v>
      </c>
      <c r="D470">
        <f>IFERROR(SEARCH(search!$B$6,samples!B7,1),0)</f>
        <v>0</v>
      </c>
      <c r="E470" t="str">
        <f>IF(samples!C7=0,"",samples!C7)</f>
        <v/>
      </c>
      <c r="F470">
        <f>IFERROR(SEARCH(search!$B$6,samples!C7,1),0)</f>
        <v>0</v>
      </c>
      <c r="G470" t="str">
        <f>IF(samples!D7=0,"",samples!D7)</f>
        <v/>
      </c>
      <c r="H470">
        <f>IFERROR(SEARCH(search!$B$6,samples!D7,1),0)</f>
        <v>0</v>
      </c>
      <c r="I470" t="str">
        <f>IF(samples!E7=0,"",samples!E7)</f>
        <v/>
      </c>
      <c r="J470">
        <f>IFERROR(SEARCH(search!$B$6,samples!E7,1),0)</f>
        <v>0</v>
      </c>
      <c r="K470" t="str">
        <f>IF(samples!F7=0,"",samples!F7)</f>
        <v/>
      </c>
      <c r="L470">
        <f>IFERROR(SEARCH(search!$B$6,samples!F7,1),0)</f>
        <v>0</v>
      </c>
      <c r="M470" t="str">
        <f>IF(samples!G7=0,"",samples!G7)</f>
        <v/>
      </c>
      <c r="N470">
        <f>IFERROR(SEARCH(search!$B$6,samples!G7,1),0)</f>
        <v>0</v>
      </c>
      <c r="O470" t="str">
        <f>IF(samples!H7=0,"",samples!H7)</f>
        <v/>
      </c>
      <c r="P470">
        <f>IFERROR(SEARCH(search!$B$6,samples!H7,1),0)</f>
        <v>0</v>
      </c>
      <c r="Q470" t="str">
        <f>IF(samples!I7=0,"",samples!I7)</f>
        <v/>
      </c>
      <c r="R470">
        <f>IFERROR(SEARCH(search!$B$6,samples!I7,1),0)</f>
        <v>0</v>
      </c>
      <c r="S470" t="str">
        <f>IF(samples!J7=0,"",samples!J7)</f>
        <v/>
      </c>
      <c r="T470">
        <f>IFERROR(SEARCH(search!$B$6,samples!J7,1),0)</f>
        <v>0</v>
      </c>
      <c r="U470" t="str">
        <f>IF(samples!K7=0,"",samples!K7)</f>
        <v/>
      </c>
      <c r="V470">
        <f>IFERROR(SEARCH(search!$B$6,samples!K7,1),0)</f>
        <v>0</v>
      </c>
      <c r="W470" t="str">
        <f>IF(samples!L7=0,"",samples!L7)</f>
        <v/>
      </c>
      <c r="X470">
        <f>IFERROR(SEARCH(search!$B$6,samples!L7,1),0)</f>
        <v>0</v>
      </c>
      <c r="Y470" t="str">
        <f>IF(samples!M7=0,"",samples!M7)</f>
        <v/>
      </c>
      <c r="Z470">
        <f>IFERROR(SEARCH(search!$B$6,samples!M7,1),0)</f>
        <v>0</v>
      </c>
      <c r="AA470" t="str">
        <f>IF(samples!N7=0,"",samples!N7)</f>
        <v/>
      </c>
      <c r="AB470">
        <f>IFERROR(SEARCH(search!$B$6,samples!N7,1),0)</f>
        <v>0</v>
      </c>
      <c r="AC470" t="str">
        <f>IF(samples!O7=0,"",samples!O7)</f>
        <v/>
      </c>
      <c r="AD470">
        <f>IFERROR(SEARCH(search!$B$6,samples!O7,1),0)</f>
        <v>0</v>
      </c>
    </row>
    <row r="471" spans="1:30">
      <c r="A471">
        <f t="shared" si="7"/>
        <v>0</v>
      </c>
      <c r="B471">
        <f>IF(SUM(D471,F471,H471,J471,L471,N471,P471,R471,T471,V471,X471,Z471,AB471,AD471)&gt;0,SUM($A$2:A471),0)</f>
        <v>0</v>
      </c>
      <c r="C471">
        <f>samples!B8</f>
        <v>0</v>
      </c>
      <c r="D471">
        <f>IFERROR(SEARCH(search!$B$6,samples!B8,1),0)</f>
        <v>0</v>
      </c>
      <c r="E471" t="str">
        <f>IF(samples!C8=0,"",samples!C8)</f>
        <v/>
      </c>
      <c r="F471">
        <f>IFERROR(SEARCH(search!$B$6,samples!C8,1),0)</f>
        <v>0</v>
      </c>
      <c r="G471" t="str">
        <f>IF(samples!D8=0,"",samples!D8)</f>
        <v/>
      </c>
      <c r="H471">
        <f>IFERROR(SEARCH(search!$B$6,samples!D8,1),0)</f>
        <v>0</v>
      </c>
      <c r="I471" t="str">
        <f>IF(samples!E8=0,"",samples!E8)</f>
        <v/>
      </c>
      <c r="J471">
        <f>IFERROR(SEARCH(search!$B$6,samples!E8,1),0)</f>
        <v>0</v>
      </c>
      <c r="K471" t="str">
        <f>IF(samples!F8=0,"",samples!F8)</f>
        <v/>
      </c>
      <c r="L471">
        <f>IFERROR(SEARCH(search!$B$6,samples!F8,1),0)</f>
        <v>0</v>
      </c>
      <c r="M471" t="str">
        <f>IF(samples!G8=0,"",samples!G8)</f>
        <v/>
      </c>
      <c r="N471">
        <f>IFERROR(SEARCH(search!$B$6,samples!G8,1),0)</f>
        <v>0</v>
      </c>
      <c r="O471" t="str">
        <f>IF(samples!H8=0,"",samples!H8)</f>
        <v/>
      </c>
      <c r="P471">
        <f>IFERROR(SEARCH(search!$B$6,samples!H8,1),0)</f>
        <v>0</v>
      </c>
      <c r="Q471" t="str">
        <f>IF(samples!I8=0,"",samples!I8)</f>
        <v/>
      </c>
      <c r="R471">
        <f>IFERROR(SEARCH(search!$B$6,samples!I8,1),0)</f>
        <v>0</v>
      </c>
      <c r="S471" t="str">
        <f>IF(samples!J8=0,"",samples!J8)</f>
        <v/>
      </c>
      <c r="T471">
        <f>IFERROR(SEARCH(search!$B$6,samples!J8,1),0)</f>
        <v>0</v>
      </c>
      <c r="U471" t="str">
        <f>IF(samples!K8=0,"",samples!K8)</f>
        <v/>
      </c>
      <c r="V471">
        <f>IFERROR(SEARCH(search!$B$6,samples!K8,1),0)</f>
        <v>0</v>
      </c>
      <c r="W471" t="str">
        <f>IF(samples!L8=0,"",samples!L8)</f>
        <v/>
      </c>
      <c r="X471">
        <f>IFERROR(SEARCH(search!$B$6,samples!L8,1),0)</f>
        <v>0</v>
      </c>
      <c r="Y471" t="str">
        <f>IF(samples!M8=0,"",samples!M8)</f>
        <v/>
      </c>
      <c r="Z471">
        <f>IFERROR(SEARCH(search!$B$6,samples!M8,1),0)</f>
        <v>0</v>
      </c>
      <c r="AA471" t="str">
        <f>IF(samples!N8=0,"",samples!N8)</f>
        <v/>
      </c>
      <c r="AB471">
        <f>IFERROR(SEARCH(search!$B$6,samples!N8,1),0)</f>
        <v>0</v>
      </c>
      <c r="AC471" t="str">
        <f>IF(samples!O8=0,"",samples!O8)</f>
        <v/>
      </c>
      <c r="AD471">
        <f>IFERROR(SEARCH(search!$B$6,samples!O8,1),0)</f>
        <v>0</v>
      </c>
    </row>
    <row r="472" spans="1:30">
      <c r="A472">
        <f t="shared" si="7"/>
        <v>0</v>
      </c>
      <c r="B472">
        <f>IF(SUM(D472,F472,H472,J472,L472,N472,P472,R472,T472,V472,X472,Z472,AB472,AD472)&gt;0,SUM($A$2:A472),0)</f>
        <v>0</v>
      </c>
      <c r="C472">
        <f>samples!B9</f>
        <v>0</v>
      </c>
      <c r="D472">
        <f>IFERROR(SEARCH(search!$B$6,samples!B9,1),0)</f>
        <v>0</v>
      </c>
      <c r="E472" t="str">
        <f>IF(samples!C9=0,"",samples!C9)</f>
        <v/>
      </c>
      <c r="F472">
        <f>IFERROR(SEARCH(search!$B$6,samples!C9,1),0)</f>
        <v>0</v>
      </c>
      <c r="G472" t="str">
        <f>IF(samples!D9=0,"",samples!D9)</f>
        <v/>
      </c>
      <c r="H472">
        <f>IFERROR(SEARCH(search!$B$6,samples!D9,1),0)</f>
        <v>0</v>
      </c>
      <c r="I472" t="str">
        <f>IF(samples!E9=0,"",samples!E9)</f>
        <v/>
      </c>
      <c r="J472">
        <f>IFERROR(SEARCH(search!$B$6,samples!E9,1),0)</f>
        <v>0</v>
      </c>
      <c r="K472" t="str">
        <f>IF(samples!F9=0,"",samples!F9)</f>
        <v/>
      </c>
      <c r="L472">
        <f>IFERROR(SEARCH(search!$B$6,samples!F9,1),0)</f>
        <v>0</v>
      </c>
      <c r="M472" t="str">
        <f>IF(samples!G9=0,"",samples!G9)</f>
        <v/>
      </c>
      <c r="N472">
        <f>IFERROR(SEARCH(search!$B$6,samples!G9,1),0)</f>
        <v>0</v>
      </c>
      <c r="O472" t="str">
        <f>IF(samples!H9=0,"",samples!H9)</f>
        <v/>
      </c>
      <c r="P472">
        <f>IFERROR(SEARCH(search!$B$6,samples!H9,1),0)</f>
        <v>0</v>
      </c>
      <c r="Q472" t="str">
        <f>IF(samples!I9=0,"",samples!I9)</f>
        <v/>
      </c>
      <c r="R472">
        <f>IFERROR(SEARCH(search!$B$6,samples!I9,1),0)</f>
        <v>0</v>
      </c>
      <c r="S472" t="str">
        <f>IF(samples!J9=0,"",samples!J9)</f>
        <v/>
      </c>
      <c r="T472">
        <f>IFERROR(SEARCH(search!$B$6,samples!J9,1),0)</f>
        <v>0</v>
      </c>
      <c r="U472" t="str">
        <f>IF(samples!K9=0,"",samples!K9)</f>
        <v/>
      </c>
      <c r="V472">
        <f>IFERROR(SEARCH(search!$B$6,samples!K9,1),0)</f>
        <v>0</v>
      </c>
      <c r="W472" t="str">
        <f>IF(samples!L9=0,"",samples!L9)</f>
        <v/>
      </c>
      <c r="X472">
        <f>IFERROR(SEARCH(search!$B$6,samples!L9,1),0)</f>
        <v>0</v>
      </c>
      <c r="Y472" t="str">
        <f>IF(samples!M9=0,"",samples!M9)</f>
        <v/>
      </c>
      <c r="Z472">
        <f>IFERROR(SEARCH(search!$B$6,samples!M9,1),0)</f>
        <v>0</v>
      </c>
      <c r="AA472" t="str">
        <f>IF(samples!N9=0,"",samples!N9)</f>
        <v/>
      </c>
      <c r="AB472">
        <f>IFERROR(SEARCH(search!$B$6,samples!N9,1),0)</f>
        <v>0</v>
      </c>
      <c r="AC472" t="str">
        <f>IF(samples!O9=0,"",samples!O9)</f>
        <v/>
      </c>
      <c r="AD472">
        <f>IFERROR(SEARCH(search!$B$6,samples!O9,1),0)</f>
        <v>0</v>
      </c>
    </row>
    <row r="473" spans="1:30">
      <c r="A473">
        <f t="shared" si="7"/>
        <v>0</v>
      </c>
      <c r="B473">
        <f>IF(SUM(D473,F473,H473,J473,L473,N473,P473,R473,T473,V473,X473,Z473,AB473,AD473)&gt;0,SUM($A$2:A473),0)</f>
        <v>0</v>
      </c>
      <c r="C473">
        <f>samples!B10</f>
        <v>0</v>
      </c>
      <c r="D473">
        <f>IFERROR(SEARCH(search!$B$6,samples!B10,1),0)</f>
        <v>0</v>
      </c>
      <c r="E473" t="str">
        <f>IF(samples!C10=0,"",samples!C10)</f>
        <v/>
      </c>
      <c r="F473">
        <f>IFERROR(SEARCH(search!$B$6,samples!C10,1),0)</f>
        <v>0</v>
      </c>
      <c r="G473" t="str">
        <f>IF(samples!D10=0,"",samples!D10)</f>
        <v/>
      </c>
      <c r="H473">
        <f>IFERROR(SEARCH(search!$B$6,samples!D10,1),0)</f>
        <v>0</v>
      </c>
      <c r="I473" t="str">
        <f>IF(samples!E10=0,"",samples!E10)</f>
        <v/>
      </c>
      <c r="J473">
        <f>IFERROR(SEARCH(search!$B$6,samples!E10,1),0)</f>
        <v>0</v>
      </c>
      <c r="K473" t="str">
        <f>IF(samples!F10=0,"",samples!F10)</f>
        <v/>
      </c>
      <c r="L473">
        <f>IFERROR(SEARCH(search!$B$6,samples!F10,1),0)</f>
        <v>0</v>
      </c>
      <c r="M473" t="str">
        <f>IF(samples!G10=0,"",samples!G10)</f>
        <v/>
      </c>
      <c r="N473">
        <f>IFERROR(SEARCH(search!$B$6,samples!G10,1),0)</f>
        <v>0</v>
      </c>
      <c r="O473" t="str">
        <f>IF(samples!H10=0,"",samples!H10)</f>
        <v/>
      </c>
      <c r="P473">
        <f>IFERROR(SEARCH(search!$B$6,samples!H10,1),0)</f>
        <v>0</v>
      </c>
      <c r="Q473" t="str">
        <f>IF(samples!I10=0,"",samples!I10)</f>
        <v/>
      </c>
      <c r="R473">
        <f>IFERROR(SEARCH(search!$B$6,samples!I10,1),0)</f>
        <v>0</v>
      </c>
      <c r="S473" t="str">
        <f>IF(samples!J10=0,"",samples!J10)</f>
        <v/>
      </c>
      <c r="T473">
        <f>IFERROR(SEARCH(search!$B$6,samples!J10,1),0)</f>
        <v>0</v>
      </c>
      <c r="U473" t="str">
        <f>IF(samples!K10=0,"",samples!K10)</f>
        <v/>
      </c>
      <c r="V473">
        <f>IFERROR(SEARCH(search!$B$6,samples!K10,1),0)</f>
        <v>0</v>
      </c>
      <c r="W473" t="str">
        <f>IF(samples!L10=0,"",samples!L10)</f>
        <v/>
      </c>
      <c r="X473">
        <f>IFERROR(SEARCH(search!$B$6,samples!L10,1),0)</f>
        <v>0</v>
      </c>
      <c r="Y473" t="str">
        <f>IF(samples!M10=0,"",samples!M10)</f>
        <v/>
      </c>
      <c r="Z473">
        <f>IFERROR(SEARCH(search!$B$6,samples!M10,1),0)</f>
        <v>0</v>
      </c>
      <c r="AA473" t="str">
        <f>IF(samples!N10=0,"",samples!N10)</f>
        <v/>
      </c>
      <c r="AB473">
        <f>IFERROR(SEARCH(search!$B$6,samples!N10,1),0)</f>
        <v>0</v>
      </c>
      <c r="AC473" t="str">
        <f>IF(samples!O10=0,"",samples!O10)</f>
        <v/>
      </c>
      <c r="AD473">
        <f>IFERROR(SEARCH(search!$B$6,samples!O10,1),0)</f>
        <v>0</v>
      </c>
    </row>
    <row r="474" spans="1:30">
      <c r="A474">
        <f t="shared" si="7"/>
        <v>0</v>
      </c>
      <c r="B474">
        <f>IF(SUM(D474,F474,H474,J474,L474,N474,P474,R474,T474,V474,X474,Z474,AB474,AD474)&gt;0,SUM($A$2:A474),0)</f>
        <v>0</v>
      </c>
      <c r="C474">
        <f>samples!B11</f>
        <v>0</v>
      </c>
      <c r="D474">
        <f>IFERROR(SEARCH(search!$B$6,samples!B11,1),0)</f>
        <v>0</v>
      </c>
      <c r="E474" t="str">
        <f>IF(samples!C11=0,"",samples!C11)</f>
        <v/>
      </c>
      <c r="F474">
        <f>IFERROR(SEARCH(search!$B$6,samples!C11,1),0)</f>
        <v>0</v>
      </c>
      <c r="G474" t="str">
        <f>IF(samples!D11=0,"",samples!D11)</f>
        <v/>
      </c>
      <c r="H474">
        <f>IFERROR(SEARCH(search!$B$6,samples!D11,1),0)</f>
        <v>0</v>
      </c>
      <c r="I474" t="str">
        <f>IF(samples!E11=0,"",samples!E11)</f>
        <v/>
      </c>
      <c r="J474">
        <f>IFERROR(SEARCH(search!$B$6,samples!E11,1),0)</f>
        <v>0</v>
      </c>
      <c r="K474" t="str">
        <f>IF(samples!F11=0,"",samples!F11)</f>
        <v/>
      </c>
      <c r="L474">
        <f>IFERROR(SEARCH(search!$B$6,samples!F11,1),0)</f>
        <v>0</v>
      </c>
      <c r="M474" t="str">
        <f>IF(samples!G11=0,"",samples!G11)</f>
        <v/>
      </c>
      <c r="N474">
        <f>IFERROR(SEARCH(search!$B$6,samples!G11,1),0)</f>
        <v>0</v>
      </c>
      <c r="O474" t="str">
        <f>IF(samples!H11=0,"",samples!H11)</f>
        <v/>
      </c>
      <c r="P474">
        <f>IFERROR(SEARCH(search!$B$6,samples!H11,1),0)</f>
        <v>0</v>
      </c>
      <c r="Q474" t="str">
        <f>IF(samples!I11=0,"",samples!I11)</f>
        <v/>
      </c>
      <c r="R474">
        <f>IFERROR(SEARCH(search!$B$6,samples!I11,1),0)</f>
        <v>0</v>
      </c>
      <c r="S474" t="str">
        <f>IF(samples!J11=0,"",samples!J11)</f>
        <v/>
      </c>
      <c r="T474">
        <f>IFERROR(SEARCH(search!$B$6,samples!J11,1),0)</f>
        <v>0</v>
      </c>
      <c r="U474" t="str">
        <f>IF(samples!K11=0,"",samples!K11)</f>
        <v/>
      </c>
      <c r="V474">
        <f>IFERROR(SEARCH(search!$B$6,samples!K11,1),0)</f>
        <v>0</v>
      </c>
      <c r="W474" t="str">
        <f>IF(samples!L11=0,"",samples!L11)</f>
        <v/>
      </c>
      <c r="X474">
        <f>IFERROR(SEARCH(search!$B$6,samples!L11,1),0)</f>
        <v>0</v>
      </c>
      <c r="Y474" t="str">
        <f>IF(samples!M11=0,"",samples!M11)</f>
        <v/>
      </c>
      <c r="Z474">
        <f>IFERROR(SEARCH(search!$B$6,samples!M11,1),0)</f>
        <v>0</v>
      </c>
      <c r="AA474" t="str">
        <f>IF(samples!N11=0,"",samples!N11)</f>
        <v/>
      </c>
      <c r="AB474">
        <f>IFERROR(SEARCH(search!$B$6,samples!N11,1),0)</f>
        <v>0</v>
      </c>
      <c r="AC474" t="str">
        <f>IF(samples!O11=0,"",samples!O11)</f>
        <v/>
      </c>
      <c r="AD474">
        <f>IFERROR(SEARCH(search!$B$6,samples!O11,1),0)</f>
        <v>0</v>
      </c>
    </row>
    <row r="475" spans="1:30">
      <c r="A475">
        <f t="shared" si="7"/>
        <v>0</v>
      </c>
      <c r="B475">
        <f>IF(SUM(D475,F475,H475,J475,L475,N475,P475,R475,T475,V475,X475,Z475,AB475,AD475)&gt;0,SUM($A$2:A475),0)</f>
        <v>0</v>
      </c>
      <c r="C475">
        <f>samples!B12</f>
        <v>0</v>
      </c>
      <c r="D475">
        <f>IFERROR(SEARCH(search!$B$6,samples!B12,1),0)</f>
        <v>0</v>
      </c>
      <c r="E475" t="str">
        <f>IF(samples!C12=0,"",samples!C12)</f>
        <v/>
      </c>
      <c r="F475">
        <f>IFERROR(SEARCH(search!$B$6,samples!C12,1),0)</f>
        <v>0</v>
      </c>
      <c r="G475" t="str">
        <f>IF(samples!D12=0,"",samples!D12)</f>
        <v/>
      </c>
      <c r="H475">
        <f>IFERROR(SEARCH(search!$B$6,samples!D12,1),0)</f>
        <v>0</v>
      </c>
      <c r="I475" t="str">
        <f>IF(samples!E12=0,"",samples!E12)</f>
        <v/>
      </c>
      <c r="J475">
        <f>IFERROR(SEARCH(search!$B$6,samples!E12,1),0)</f>
        <v>0</v>
      </c>
      <c r="K475" t="str">
        <f>IF(samples!F12=0,"",samples!F12)</f>
        <v/>
      </c>
      <c r="L475">
        <f>IFERROR(SEARCH(search!$B$6,samples!F12,1),0)</f>
        <v>0</v>
      </c>
      <c r="M475" t="str">
        <f>IF(samples!G12=0,"",samples!G12)</f>
        <v/>
      </c>
      <c r="N475">
        <f>IFERROR(SEARCH(search!$B$6,samples!G12,1),0)</f>
        <v>0</v>
      </c>
      <c r="O475" t="str">
        <f>IF(samples!H12=0,"",samples!H12)</f>
        <v/>
      </c>
      <c r="P475">
        <f>IFERROR(SEARCH(search!$B$6,samples!H12,1),0)</f>
        <v>0</v>
      </c>
      <c r="Q475" t="str">
        <f>IF(samples!I12=0,"",samples!I12)</f>
        <v/>
      </c>
      <c r="R475">
        <f>IFERROR(SEARCH(search!$B$6,samples!I12,1),0)</f>
        <v>0</v>
      </c>
      <c r="S475" t="str">
        <f>IF(samples!J12=0,"",samples!J12)</f>
        <v/>
      </c>
      <c r="T475">
        <f>IFERROR(SEARCH(search!$B$6,samples!J12,1),0)</f>
        <v>0</v>
      </c>
      <c r="U475" t="str">
        <f>IF(samples!K12=0,"",samples!K12)</f>
        <v/>
      </c>
      <c r="V475">
        <f>IFERROR(SEARCH(search!$B$6,samples!K12,1),0)</f>
        <v>0</v>
      </c>
      <c r="W475" t="str">
        <f>IF(samples!L12=0,"",samples!L12)</f>
        <v/>
      </c>
      <c r="X475">
        <f>IFERROR(SEARCH(search!$B$6,samples!L12,1),0)</f>
        <v>0</v>
      </c>
      <c r="Y475" t="str">
        <f>IF(samples!M12=0,"",samples!M12)</f>
        <v/>
      </c>
      <c r="Z475">
        <f>IFERROR(SEARCH(search!$B$6,samples!M12,1),0)</f>
        <v>0</v>
      </c>
      <c r="AA475" t="str">
        <f>IF(samples!N12=0,"",samples!N12)</f>
        <v/>
      </c>
      <c r="AB475">
        <f>IFERROR(SEARCH(search!$B$6,samples!N12,1),0)</f>
        <v>0</v>
      </c>
      <c r="AC475" t="str">
        <f>IF(samples!O12=0,"",samples!O12)</f>
        <v/>
      </c>
      <c r="AD475">
        <f>IFERROR(SEARCH(search!$B$6,samples!O12,1),0)</f>
        <v>0</v>
      </c>
    </row>
    <row r="476" spans="1:30">
      <c r="A476">
        <f t="shared" si="7"/>
        <v>0</v>
      </c>
      <c r="B476">
        <f>IF(SUM(D476,F476,H476,J476,L476,N476,P476,R476,T476,V476,X476,Z476,AB476,AD476)&gt;0,SUM($A$2:A476),0)</f>
        <v>0</v>
      </c>
      <c r="C476">
        <f>samples!B13</f>
        <v>0</v>
      </c>
      <c r="D476">
        <f>IFERROR(SEARCH(search!$B$6,samples!B13,1),0)</f>
        <v>0</v>
      </c>
      <c r="E476" t="str">
        <f>IF(samples!C13=0,"",samples!C13)</f>
        <v/>
      </c>
      <c r="F476">
        <f>IFERROR(SEARCH(search!$B$6,samples!C13,1),0)</f>
        <v>0</v>
      </c>
      <c r="G476" t="str">
        <f>IF(samples!D13=0,"",samples!D13)</f>
        <v/>
      </c>
      <c r="H476">
        <f>IFERROR(SEARCH(search!$B$6,samples!D13,1),0)</f>
        <v>0</v>
      </c>
      <c r="I476" t="str">
        <f>IF(samples!E13=0,"",samples!E13)</f>
        <v/>
      </c>
      <c r="J476">
        <f>IFERROR(SEARCH(search!$B$6,samples!E13,1),0)</f>
        <v>0</v>
      </c>
      <c r="K476" t="str">
        <f>IF(samples!F13=0,"",samples!F13)</f>
        <v/>
      </c>
      <c r="L476">
        <f>IFERROR(SEARCH(search!$B$6,samples!F13,1),0)</f>
        <v>0</v>
      </c>
      <c r="M476" t="str">
        <f>IF(samples!G13=0,"",samples!G13)</f>
        <v/>
      </c>
      <c r="N476">
        <f>IFERROR(SEARCH(search!$B$6,samples!G13,1),0)</f>
        <v>0</v>
      </c>
      <c r="O476" t="str">
        <f>IF(samples!H13=0,"",samples!H13)</f>
        <v/>
      </c>
      <c r="P476">
        <f>IFERROR(SEARCH(search!$B$6,samples!H13,1),0)</f>
        <v>0</v>
      </c>
      <c r="Q476" t="str">
        <f>IF(samples!I13=0,"",samples!I13)</f>
        <v/>
      </c>
      <c r="R476">
        <f>IFERROR(SEARCH(search!$B$6,samples!I13,1),0)</f>
        <v>0</v>
      </c>
      <c r="S476" t="str">
        <f>IF(samples!J13=0,"",samples!J13)</f>
        <v/>
      </c>
      <c r="T476">
        <f>IFERROR(SEARCH(search!$B$6,samples!J13,1),0)</f>
        <v>0</v>
      </c>
      <c r="U476" t="str">
        <f>IF(samples!K13=0,"",samples!K13)</f>
        <v/>
      </c>
      <c r="V476">
        <f>IFERROR(SEARCH(search!$B$6,samples!K13,1),0)</f>
        <v>0</v>
      </c>
      <c r="W476" t="str">
        <f>IF(samples!L13=0,"",samples!L13)</f>
        <v/>
      </c>
      <c r="X476">
        <f>IFERROR(SEARCH(search!$B$6,samples!L13,1),0)</f>
        <v>0</v>
      </c>
      <c r="Y476" t="str">
        <f>IF(samples!M13=0,"",samples!M13)</f>
        <v/>
      </c>
      <c r="Z476">
        <f>IFERROR(SEARCH(search!$B$6,samples!M13,1),0)</f>
        <v>0</v>
      </c>
      <c r="AA476" t="str">
        <f>IF(samples!N13=0,"",samples!N13)</f>
        <v/>
      </c>
      <c r="AB476">
        <f>IFERROR(SEARCH(search!$B$6,samples!N13,1),0)</f>
        <v>0</v>
      </c>
      <c r="AC476" t="str">
        <f>IF(samples!O13=0,"",samples!O13)</f>
        <v/>
      </c>
      <c r="AD476">
        <f>IFERROR(SEARCH(search!$B$6,samples!O13,1),0)</f>
        <v>0</v>
      </c>
    </row>
    <row r="477" spans="1:30">
      <c r="A477">
        <f t="shared" si="7"/>
        <v>0</v>
      </c>
      <c r="B477">
        <f>IF(SUM(D477,F477,H477,J477,L477,N477,P477,R477,T477,V477,X477,Z477,AB477,AD477)&gt;0,SUM($A$2:A477),0)</f>
        <v>0</v>
      </c>
      <c r="C477">
        <f>samples!B14</f>
        <v>0</v>
      </c>
      <c r="D477">
        <f>IFERROR(SEARCH(search!$B$6,samples!B14,1),0)</f>
        <v>0</v>
      </c>
      <c r="E477" t="str">
        <f>IF(samples!C14=0,"",samples!C14)</f>
        <v/>
      </c>
      <c r="F477">
        <f>IFERROR(SEARCH(search!$B$6,samples!C14,1),0)</f>
        <v>0</v>
      </c>
      <c r="G477" t="str">
        <f>IF(samples!D14=0,"",samples!D14)</f>
        <v/>
      </c>
      <c r="H477">
        <f>IFERROR(SEARCH(search!$B$6,samples!D14,1),0)</f>
        <v>0</v>
      </c>
      <c r="I477" t="str">
        <f>IF(samples!E14=0,"",samples!E14)</f>
        <v/>
      </c>
      <c r="J477">
        <f>IFERROR(SEARCH(search!$B$6,samples!E14,1),0)</f>
        <v>0</v>
      </c>
      <c r="K477" t="str">
        <f>IF(samples!F14=0,"",samples!F14)</f>
        <v/>
      </c>
      <c r="L477">
        <f>IFERROR(SEARCH(search!$B$6,samples!F14,1),0)</f>
        <v>0</v>
      </c>
      <c r="M477" t="str">
        <f>IF(samples!G14=0,"",samples!G14)</f>
        <v/>
      </c>
      <c r="N477">
        <f>IFERROR(SEARCH(search!$B$6,samples!G14,1),0)</f>
        <v>0</v>
      </c>
      <c r="O477" t="str">
        <f>IF(samples!H14=0,"",samples!H14)</f>
        <v/>
      </c>
      <c r="P477">
        <f>IFERROR(SEARCH(search!$B$6,samples!H14,1),0)</f>
        <v>0</v>
      </c>
      <c r="Q477" t="str">
        <f>IF(samples!I14=0,"",samples!I14)</f>
        <v/>
      </c>
      <c r="R477">
        <f>IFERROR(SEARCH(search!$B$6,samples!I14,1),0)</f>
        <v>0</v>
      </c>
      <c r="S477" t="str">
        <f>IF(samples!J14=0,"",samples!J14)</f>
        <v/>
      </c>
      <c r="T477">
        <f>IFERROR(SEARCH(search!$B$6,samples!J14,1),0)</f>
        <v>0</v>
      </c>
      <c r="U477" t="str">
        <f>IF(samples!K14=0,"",samples!K14)</f>
        <v/>
      </c>
      <c r="V477">
        <f>IFERROR(SEARCH(search!$B$6,samples!K14,1),0)</f>
        <v>0</v>
      </c>
      <c r="W477" t="str">
        <f>IF(samples!L14=0,"",samples!L14)</f>
        <v/>
      </c>
      <c r="X477">
        <f>IFERROR(SEARCH(search!$B$6,samples!L14,1),0)</f>
        <v>0</v>
      </c>
      <c r="Y477" t="str">
        <f>IF(samples!M14=0,"",samples!M14)</f>
        <v/>
      </c>
      <c r="Z477">
        <f>IFERROR(SEARCH(search!$B$6,samples!M14,1),0)</f>
        <v>0</v>
      </c>
      <c r="AA477" t="str">
        <f>IF(samples!N14=0,"",samples!N14)</f>
        <v/>
      </c>
      <c r="AB477">
        <f>IFERROR(SEARCH(search!$B$6,samples!N14,1),0)</f>
        <v>0</v>
      </c>
      <c r="AC477" t="str">
        <f>IF(samples!O14=0,"",samples!O14)</f>
        <v/>
      </c>
      <c r="AD477">
        <f>IFERROR(SEARCH(search!$B$6,samples!O14,1),0)</f>
        <v>0</v>
      </c>
    </row>
    <row r="478" spans="1:30">
      <c r="A478">
        <f t="shared" si="7"/>
        <v>0</v>
      </c>
      <c r="B478">
        <f>IF(SUM(D478,F478,H478,J478,L478,N478,P478,R478,T478,V478,X478,Z478,AB478,AD478)&gt;0,SUM($A$2:A478),0)</f>
        <v>0</v>
      </c>
      <c r="C478">
        <f>samples!B15</f>
        <v>0</v>
      </c>
      <c r="D478">
        <f>IFERROR(SEARCH(search!$B$6,samples!B15,1),0)</f>
        <v>0</v>
      </c>
      <c r="E478" t="str">
        <f>IF(samples!C15=0,"",samples!C15)</f>
        <v/>
      </c>
      <c r="F478">
        <f>IFERROR(SEARCH(search!$B$6,samples!C15,1),0)</f>
        <v>0</v>
      </c>
      <c r="G478" t="str">
        <f>IF(samples!D15=0,"",samples!D15)</f>
        <v/>
      </c>
      <c r="H478">
        <f>IFERROR(SEARCH(search!$B$6,samples!D15,1),0)</f>
        <v>0</v>
      </c>
      <c r="I478" t="str">
        <f>IF(samples!E15=0,"",samples!E15)</f>
        <v/>
      </c>
      <c r="J478">
        <f>IFERROR(SEARCH(search!$B$6,samples!E15,1),0)</f>
        <v>0</v>
      </c>
      <c r="K478" t="str">
        <f>IF(samples!F15=0,"",samples!F15)</f>
        <v/>
      </c>
      <c r="L478">
        <f>IFERROR(SEARCH(search!$B$6,samples!F15,1),0)</f>
        <v>0</v>
      </c>
      <c r="M478" t="str">
        <f>IF(samples!G15=0,"",samples!G15)</f>
        <v/>
      </c>
      <c r="N478">
        <f>IFERROR(SEARCH(search!$B$6,samples!G15,1),0)</f>
        <v>0</v>
      </c>
      <c r="O478" t="str">
        <f>IF(samples!H15=0,"",samples!H15)</f>
        <v/>
      </c>
      <c r="P478">
        <f>IFERROR(SEARCH(search!$B$6,samples!H15,1),0)</f>
        <v>0</v>
      </c>
      <c r="Q478" t="str">
        <f>IF(samples!I15=0,"",samples!I15)</f>
        <v/>
      </c>
      <c r="R478">
        <f>IFERROR(SEARCH(search!$B$6,samples!I15,1),0)</f>
        <v>0</v>
      </c>
      <c r="S478" t="str">
        <f>IF(samples!J15=0,"",samples!J15)</f>
        <v/>
      </c>
      <c r="T478">
        <f>IFERROR(SEARCH(search!$B$6,samples!J15,1),0)</f>
        <v>0</v>
      </c>
      <c r="U478" t="str">
        <f>IF(samples!K15=0,"",samples!K15)</f>
        <v/>
      </c>
      <c r="V478">
        <f>IFERROR(SEARCH(search!$B$6,samples!K15,1),0)</f>
        <v>0</v>
      </c>
      <c r="W478" t="str">
        <f>IF(samples!L15=0,"",samples!L15)</f>
        <v/>
      </c>
      <c r="X478">
        <f>IFERROR(SEARCH(search!$B$6,samples!L15,1),0)</f>
        <v>0</v>
      </c>
      <c r="Y478" t="str">
        <f>IF(samples!M15=0,"",samples!M15)</f>
        <v/>
      </c>
      <c r="Z478">
        <f>IFERROR(SEARCH(search!$B$6,samples!M15,1),0)</f>
        <v>0</v>
      </c>
      <c r="AA478" t="str">
        <f>IF(samples!N15=0,"",samples!N15)</f>
        <v/>
      </c>
      <c r="AB478">
        <f>IFERROR(SEARCH(search!$B$6,samples!N15,1),0)</f>
        <v>0</v>
      </c>
      <c r="AC478" t="str">
        <f>IF(samples!O15=0,"",samples!O15)</f>
        <v/>
      </c>
      <c r="AD478">
        <f>IFERROR(SEARCH(search!$B$6,samples!O15,1),0)</f>
        <v>0</v>
      </c>
    </row>
    <row r="479" spans="1:30">
      <c r="A479">
        <f t="shared" si="7"/>
        <v>0</v>
      </c>
      <c r="B479">
        <f>IF(SUM(D479,F479,H479,J479,L479,N479,P479,R479,T479,V479,X479,Z479,AB479,AD479)&gt;0,SUM($A$2:A479),0)</f>
        <v>0</v>
      </c>
      <c r="C479">
        <f>samples!B16</f>
        <v>0</v>
      </c>
      <c r="D479">
        <f>IFERROR(SEARCH(search!$B$6,samples!B16,1),0)</f>
        <v>0</v>
      </c>
      <c r="E479" t="str">
        <f>IF(samples!C16=0,"",samples!C16)</f>
        <v/>
      </c>
      <c r="F479">
        <f>IFERROR(SEARCH(search!$B$6,samples!C16,1),0)</f>
        <v>0</v>
      </c>
      <c r="G479" t="str">
        <f>IF(samples!D16=0,"",samples!D16)</f>
        <v/>
      </c>
      <c r="H479">
        <f>IFERROR(SEARCH(search!$B$6,samples!D16,1),0)</f>
        <v>0</v>
      </c>
      <c r="I479" t="str">
        <f>IF(samples!E16=0,"",samples!E16)</f>
        <v/>
      </c>
      <c r="J479">
        <f>IFERROR(SEARCH(search!$B$6,samples!E16,1),0)</f>
        <v>0</v>
      </c>
      <c r="K479" t="str">
        <f>IF(samples!F16=0,"",samples!F16)</f>
        <v/>
      </c>
      <c r="L479">
        <f>IFERROR(SEARCH(search!$B$6,samples!F16,1),0)</f>
        <v>0</v>
      </c>
      <c r="M479" t="str">
        <f>IF(samples!G16=0,"",samples!G16)</f>
        <v/>
      </c>
      <c r="N479">
        <f>IFERROR(SEARCH(search!$B$6,samples!G16,1),0)</f>
        <v>0</v>
      </c>
      <c r="O479" t="str">
        <f>IF(samples!H16=0,"",samples!H16)</f>
        <v/>
      </c>
      <c r="P479">
        <f>IFERROR(SEARCH(search!$B$6,samples!H16,1),0)</f>
        <v>0</v>
      </c>
      <c r="Q479" t="str">
        <f>IF(samples!I16=0,"",samples!I16)</f>
        <v/>
      </c>
      <c r="R479">
        <f>IFERROR(SEARCH(search!$B$6,samples!I16,1),0)</f>
        <v>0</v>
      </c>
      <c r="S479" t="str">
        <f>IF(samples!J16=0,"",samples!J16)</f>
        <v/>
      </c>
      <c r="T479">
        <f>IFERROR(SEARCH(search!$B$6,samples!J16,1),0)</f>
        <v>0</v>
      </c>
      <c r="U479" t="str">
        <f>IF(samples!K16=0,"",samples!K16)</f>
        <v/>
      </c>
      <c r="V479">
        <f>IFERROR(SEARCH(search!$B$6,samples!K16,1),0)</f>
        <v>0</v>
      </c>
      <c r="W479" t="str">
        <f>IF(samples!L16=0,"",samples!L16)</f>
        <v/>
      </c>
      <c r="X479">
        <f>IFERROR(SEARCH(search!$B$6,samples!L16,1),0)</f>
        <v>0</v>
      </c>
      <c r="Y479" t="str">
        <f>IF(samples!M16=0,"",samples!M16)</f>
        <v/>
      </c>
      <c r="Z479">
        <f>IFERROR(SEARCH(search!$B$6,samples!M16,1),0)</f>
        <v>0</v>
      </c>
      <c r="AA479" t="str">
        <f>IF(samples!N16=0,"",samples!N16)</f>
        <v/>
      </c>
      <c r="AB479">
        <f>IFERROR(SEARCH(search!$B$6,samples!N16,1),0)</f>
        <v>0</v>
      </c>
      <c r="AC479" t="str">
        <f>IF(samples!O16=0,"",samples!O16)</f>
        <v/>
      </c>
      <c r="AD479">
        <f>IFERROR(SEARCH(search!$B$6,samples!O16,1),0)</f>
        <v>0</v>
      </c>
    </row>
    <row r="480" spans="1:30">
      <c r="A480">
        <f t="shared" si="7"/>
        <v>0</v>
      </c>
      <c r="B480">
        <f>IF(SUM(D480,F480,H480,J480,L480,N480,P480,R480,T480,V480,X480,Z480,AB480,AD480)&gt;0,SUM($A$2:A480),0)</f>
        <v>0</v>
      </c>
      <c r="C480">
        <f>samples!B17</f>
        <v>0</v>
      </c>
      <c r="D480">
        <f>IFERROR(SEARCH(search!$B$6,samples!B17,1),0)</f>
        <v>0</v>
      </c>
      <c r="E480" t="str">
        <f>IF(samples!C17=0,"",samples!C17)</f>
        <v/>
      </c>
      <c r="F480">
        <f>IFERROR(SEARCH(search!$B$6,samples!C17,1),0)</f>
        <v>0</v>
      </c>
      <c r="G480" t="str">
        <f>IF(samples!D17=0,"",samples!D17)</f>
        <v/>
      </c>
      <c r="H480">
        <f>IFERROR(SEARCH(search!$B$6,samples!D17,1),0)</f>
        <v>0</v>
      </c>
      <c r="I480" t="str">
        <f>IF(samples!E17=0,"",samples!E17)</f>
        <v/>
      </c>
      <c r="J480">
        <f>IFERROR(SEARCH(search!$B$6,samples!E17,1),0)</f>
        <v>0</v>
      </c>
      <c r="K480" t="str">
        <f>IF(samples!F17=0,"",samples!F17)</f>
        <v/>
      </c>
      <c r="L480">
        <f>IFERROR(SEARCH(search!$B$6,samples!F17,1),0)</f>
        <v>0</v>
      </c>
      <c r="M480" t="str">
        <f>IF(samples!G17=0,"",samples!G17)</f>
        <v/>
      </c>
      <c r="N480">
        <f>IFERROR(SEARCH(search!$B$6,samples!G17,1),0)</f>
        <v>0</v>
      </c>
      <c r="O480" t="str">
        <f>IF(samples!H17=0,"",samples!H17)</f>
        <v/>
      </c>
      <c r="P480">
        <f>IFERROR(SEARCH(search!$B$6,samples!H17,1),0)</f>
        <v>0</v>
      </c>
      <c r="Q480" t="str">
        <f>IF(samples!I17=0,"",samples!I17)</f>
        <v/>
      </c>
      <c r="R480">
        <f>IFERROR(SEARCH(search!$B$6,samples!I17,1),0)</f>
        <v>0</v>
      </c>
      <c r="S480" t="str">
        <f>IF(samples!J17=0,"",samples!J17)</f>
        <v/>
      </c>
      <c r="T480">
        <f>IFERROR(SEARCH(search!$B$6,samples!J17,1),0)</f>
        <v>0</v>
      </c>
      <c r="U480" t="str">
        <f>IF(samples!K17=0,"",samples!K17)</f>
        <v/>
      </c>
      <c r="V480">
        <f>IFERROR(SEARCH(search!$B$6,samples!K17,1),0)</f>
        <v>0</v>
      </c>
      <c r="W480" t="str">
        <f>IF(samples!L17=0,"",samples!L17)</f>
        <v/>
      </c>
      <c r="X480">
        <f>IFERROR(SEARCH(search!$B$6,samples!L17,1),0)</f>
        <v>0</v>
      </c>
      <c r="Y480" t="str">
        <f>IF(samples!M17=0,"",samples!M17)</f>
        <v/>
      </c>
      <c r="Z480">
        <f>IFERROR(SEARCH(search!$B$6,samples!M17,1),0)</f>
        <v>0</v>
      </c>
      <c r="AA480" t="str">
        <f>IF(samples!N17=0,"",samples!N17)</f>
        <v/>
      </c>
      <c r="AB480">
        <f>IFERROR(SEARCH(search!$B$6,samples!N17,1),0)</f>
        <v>0</v>
      </c>
      <c r="AC480" t="str">
        <f>IF(samples!O17=0,"",samples!O17)</f>
        <v/>
      </c>
      <c r="AD480">
        <f>IFERROR(SEARCH(search!$B$6,samples!O17,1),0)</f>
        <v>0</v>
      </c>
    </row>
    <row r="481" spans="1:30">
      <c r="A481">
        <f t="shared" si="7"/>
        <v>0</v>
      </c>
      <c r="B481">
        <f>IF(SUM(D481,F481,H481,J481,L481,N481,P481,R481,T481,V481,X481,Z481,AB481,AD481)&gt;0,SUM($A$2:A481),0)</f>
        <v>0</v>
      </c>
      <c r="C481">
        <f>samples!B18</f>
        <v>0</v>
      </c>
      <c r="D481">
        <f>IFERROR(SEARCH(search!$B$6,samples!B18,1),0)</f>
        <v>0</v>
      </c>
      <c r="E481" t="str">
        <f>IF(samples!C18=0,"",samples!C18)</f>
        <v/>
      </c>
      <c r="F481">
        <f>IFERROR(SEARCH(search!$B$6,samples!C18,1),0)</f>
        <v>0</v>
      </c>
      <c r="G481" t="str">
        <f>IF(samples!D18=0,"",samples!D18)</f>
        <v/>
      </c>
      <c r="H481">
        <f>IFERROR(SEARCH(search!$B$6,samples!D18,1),0)</f>
        <v>0</v>
      </c>
      <c r="I481" t="str">
        <f>IF(samples!E18=0,"",samples!E18)</f>
        <v/>
      </c>
      <c r="J481">
        <f>IFERROR(SEARCH(search!$B$6,samples!E18,1),0)</f>
        <v>0</v>
      </c>
      <c r="K481" t="str">
        <f>IF(samples!F18=0,"",samples!F18)</f>
        <v/>
      </c>
      <c r="L481">
        <f>IFERROR(SEARCH(search!$B$6,samples!F18,1),0)</f>
        <v>0</v>
      </c>
      <c r="M481" t="str">
        <f>IF(samples!G18=0,"",samples!G18)</f>
        <v/>
      </c>
      <c r="N481">
        <f>IFERROR(SEARCH(search!$B$6,samples!G18,1),0)</f>
        <v>0</v>
      </c>
      <c r="O481" t="str">
        <f>IF(samples!H18=0,"",samples!H18)</f>
        <v/>
      </c>
      <c r="P481">
        <f>IFERROR(SEARCH(search!$B$6,samples!H18,1),0)</f>
        <v>0</v>
      </c>
      <c r="Q481" t="str">
        <f>IF(samples!I18=0,"",samples!I18)</f>
        <v/>
      </c>
      <c r="R481">
        <f>IFERROR(SEARCH(search!$B$6,samples!I18,1),0)</f>
        <v>0</v>
      </c>
      <c r="S481" t="str">
        <f>IF(samples!J18=0,"",samples!J18)</f>
        <v/>
      </c>
      <c r="T481">
        <f>IFERROR(SEARCH(search!$B$6,samples!J18,1),0)</f>
        <v>0</v>
      </c>
      <c r="U481" t="str">
        <f>IF(samples!K18=0,"",samples!K18)</f>
        <v/>
      </c>
      <c r="V481">
        <f>IFERROR(SEARCH(search!$B$6,samples!K18,1),0)</f>
        <v>0</v>
      </c>
      <c r="W481" t="str">
        <f>IF(samples!L18=0,"",samples!L18)</f>
        <v/>
      </c>
      <c r="X481">
        <f>IFERROR(SEARCH(search!$B$6,samples!L18,1),0)</f>
        <v>0</v>
      </c>
      <c r="Y481" t="str">
        <f>IF(samples!M18=0,"",samples!M18)</f>
        <v/>
      </c>
      <c r="Z481">
        <f>IFERROR(SEARCH(search!$B$6,samples!M18,1),0)</f>
        <v>0</v>
      </c>
      <c r="AA481" t="str">
        <f>IF(samples!N18=0,"",samples!N18)</f>
        <v/>
      </c>
      <c r="AB481">
        <f>IFERROR(SEARCH(search!$B$6,samples!N18,1),0)</f>
        <v>0</v>
      </c>
      <c r="AC481" t="str">
        <f>IF(samples!O18=0,"",samples!O18)</f>
        <v/>
      </c>
      <c r="AD481">
        <f>IFERROR(SEARCH(search!$B$6,samples!O18,1),0)</f>
        <v>0</v>
      </c>
    </row>
    <row r="482" spans="1:30">
      <c r="A482">
        <f t="shared" si="7"/>
        <v>0</v>
      </c>
      <c r="B482">
        <f>IF(SUM(D482,F482,H482,J482,L482,N482,P482,R482,T482,V482,X482,Z482,AB482,AD482)&gt;0,SUM($A$2:A482),0)</f>
        <v>0</v>
      </c>
      <c r="C482">
        <f>samples!B19</f>
        <v>0</v>
      </c>
      <c r="D482">
        <f>IFERROR(SEARCH(search!$B$6,samples!B19,1),0)</f>
        <v>0</v>
      </c>
      <c r="E482" t="str">
        <f>IF(samples!C19=0,"",samples!C19)</f>
        <v/>
      </c>
      <c r="F482">
        <f>IFERROR(SEARCH(search!$B$6,samples!C19,1),0)</f>
        <v>0</v>
      </c>
      <c r="G482" t="str">
        <f>IF(samples!D19=0,"",samples!D19)</f>
        <v/>
      </c>
      <c r="H482">
        <f>IFERROR(SEARCH(search!$B$6,samples!D19,1),0)</f>
        <v>0</v>
      </c>
      <c r="I482" t="str">
        <f>IF(samples!E19=0,"",samples!E19)</f>
        <v/>
      </c>
      <c r="J482">
        <f>IFERROR(SEARCH(search!$B$6,samples!E19,1),0)</f>
        <v>0</v>
      </c>
      <c r="K482" t="str">
        <f>IF(samples!F19=0,"",samples!F19)</f>
        <v/>
      </c>
      <c r="L482">
        <f>IFERROR(SEARCH(search!$B$6,samples!F19,1),0)</f>
        <v>0</v>
      </c>
      <c r="M482" t="str">
        <f>IF(samples!G19=0,"",samples!G19)</f>
        <v/>
      </c>
      <c r="N482">
        <f>IFERROR(SEARCH(search!$B$6,samples!G19,1),0)</f>
        <v>0</v>
      </c>
      <c r="O482" t="str">
        <f>IF(samples!H19=0,"",samples!H19)</f>
        <v/>
      </c>
      <c r="P482">
        <f>IFERROR(SEARCH(search!$B$6,samples!H19,1),0)</f>
        <v>0</v>
      </c>
      <c r="Q482" t="str">
        <f>IF(samples!I19=0,"",samples!I19)</f>
        <v/>
      </c>
      <c r="R482">
        <f>IFERROR(SEARCH(search!$B$6,samples!I19,1),0)</f>
        <v>0</v>
      </c>
      <c r="S482" t="str">
        <f>IF(samples!J19=0,"",samples!J19)</f>
        <v/>
      </c>
      <c r="T482">
        <f>IFERROR(SEARCH(search!$B$6,samples!J19,1),0)</f>
        <v>0</v>
      </c>
      <c r="U482" t="str">
        <f>IF(samples!K19=0,"",samples!K19)</f>
        <v/>
      </c>
      <c r="V482">
        <f>IFERROR(SEARCH(search!$B$6,samples!K19,1),0)</f>
        <v>0</v>
      </c>
      <c r="W482" t="str">
        <f>IF(samples!L19=0,"",samples!L19)</f>
        <v/>
      </c>
      <c r="X482">
        <f>IFERROR(SEARCH(search!$B$6,samples!L19,1),0)</f>
        <v>0</v>
      </c>
      <c r="Y482" t="str">
        <f>IF(samples!M19=0,"",samples!M19)</f>
        <v/>
      </c>
      <c r="Z482">
        <f>IFERROR(SEARCH(search!$B$6,samples!M19,1),0)</f>
        <v>0</v>
      </c>
      <c r="AA482" t="str">
        <f>IF(samples!N19=0,"",samples!N19)</f>
        <v/>
      </c>
      <c r="AB482">
        <f>IFERROR(SEARCH(search!$B$6,samples!N19,1),0)</f>
        <v>0</v>
      </c>
      <c r="AC482" t="str">
        <f>IF(samples!O19=0,"",samples!O19)</f>
        <v/>
      </c>
      <c r="AD482">
        <f>IFERROR(SEARCH(search!$B$6,samples!O19,1),0)</f>
        <v>0</v>
      </c>
    </row>
    <row r="483" spans="1:30">
      <c r="A483">
        <f t="shared" si="7"/>
        <v>0</v>
      </c>
      <c r="B483">
        <f>IF(SUM(D483,F483,H483,J483,L483,N483,P483,R483,T483,V483,X483,Z483,AB483,AD483)&gt;0,SUM($A$2:A483),0)</f>
        <v>0</v>
      </c>
      <c r="C483">
        <f>samples!B20</f>
        <v>0</v>
      </c>
      <c r="D483">
        <f>IFERROR(SEARCH(search!$B$6,samples!B20,1),0)</f>
        <v>0</v>
      </c>
      <c r="E483" t="str">
        <f>IF(samples!C20=0,"",samples!C20)</f>
        <v/>
      </c>
      <c r="F483">
        <f>IFERROR(SEARCH(search!$B$6,samples!C20,1),0)</f>
        <v>0</v>
      </c>
      <c r="G483" t="str">
        <f>IF(samples!D20=0,"",samples!D20)</f>
        <v/>
      </c>
      <c r="H483">
        <f>IFERROR(SEARCH(search!$B$6,samples!D20,1),0)</f>
        <v>0</v>
      </c>
      <c r="I483" t="str">
        <f>IF(samples!E20=0,"",samples!E20)</f>
        <v/>
      </c>
      <c r="J483">
        <f>IFERROR(SEARCH(search!$B$6,samples!E20,1),0)</f>
        <v>0</v>
      </c>
      <c r="K483" t="str">
        <f>IF(samples!F20=0,"",samples!F20)</f>
        <v/>
      </c>
      <c r="L483">
        <f>IFERROR(SEARCH(search!$B$6,samples!F20,1),0)</f>
        <v>0</v>
      </c>
      <c r="M483" t="str">
        <f>IF(samples!G20=0,"",samples!G20)</f>
        <v/>
      </c>
      <c r="N483">
        <f>IFERROR(SEARCH(search!$B$6,samples!G20,1),0)</f>
        <v>0</v>
      </c>
      <c r="O483" t="str">
        <f>IF(samples!H20=0,"",samples!H20)</f>
        <v/>
      </c>
      <c r="P483">
        <f>IFERROR(SEARCH(search!$B$6,samples!H20,1),0)</f>
        <v>0</v>
      </c>
      <c r="Q483" t="str">
        <f>IF(samples!I20=0,"",samples!I20)</f>
        <v/>
      </c>
      <c r="R483">
        <f>IFERROR(SEARCH(search!$B$6,samples!I20,1),0)</f>
        <v>0</v>
      </c>
      <c r="S483" t="str">
        <f>IF(samples!J20=0,"",samples!J20)</f>
        <v/>
      </c>
      <c r="T483">
        <f>IFERROR(SEARCH(search!$B$6,samples!J20,1),0)</f>
        <v>0</v>
      </c>
      <c r="U483" t="str">
        <f>IF(samples!K20=0,"",samples!K20)</f>
        <v/>
      </c>
      <c r="V483">
        <f>IFERROR(SEARCH(search!$B$6,samples!K20,1),0)</f>
        <v>0</v>
      </c>
      <c r="W483" t="str">
        <f>IF(samples!L20=0,"",samples!L20)</f>
        <v/>
      </c>
      <c r="X483">
        <f>IFERROR(SEARCH(search!$B$6,samples!L20,1),0)</f>
        <v>0</v>
      </c>
      <c r="Y483" t="str">
        <f>IF(samples!M20=0,"",samples!M20)</f>
        <v/>
      </c>
      <c r="Z483">
        <f>IFERROR(SEARCH(search!$B$6,samples!M20,1),0)</f>
        <v>0</v>
      </c>
      <c r="AA483" t="str">
        <f>IF(samples!N20=0,"",samples!N20)</f>
        <v/>
      </c>
      <c r="AB483">
        <f>IFERROR(SEARCH(search!$B$6,samples!N20,1),0)</f>
        <v>0</v>
      </c>
      <c r="AC483" t="str">
        <f>IF(samples!O20=0,"",samples!O20)</f>
        <v/>
      </c>
      <c r="AD483">
        <f>IFERROR(SEARCH(search!$B$6,samples!O20,1),0)</f>
        <v>0</v>
      </c>
    </row>
    <row r="484" spans="1:30">
      <c r="A484">
        <f t="shared" si="7"/>
        <v>0</v>
      </c>
      <c r="B484">
        <f>IF(SUM(D484,F484,H484,J484,L484,N484,P484,R484,T484,V484,X484,Z484,AB484,AD484)&gt;0,SUM($A$2:A484),0)</f>
        <v>0</v>
      </c>
      <c r="C484">
        <f>samples!B21</f>
        <v>0</v>
      </c>
      <c r="D484">
        <f>IFERROR(SEARCH(search!$B$6,samples!B21,1),0)</f>
        <v>0</v>
      </c>
      <c r="E484" t="str">
        <f>IF(samples!C21=0,"",samples!C21)</f>
        <v/>
      </c>
      <c r="F484">
        <f>IFERROR(SEARCH(search!$B$6,samples!C21,1),0)</f>
        <v>0</v>
      </c>
      <c r="G484" t="str">
        <f>IF(samples!D21=0,"",samples!D21)</f>
        <v/>
      </c>
      <c r="H484">
        <f>IFERROR(SEARCH(search!$B$6,samples!D21,1),0)</f>
        <v>0</v>
      </c>
      <c r="I484" t="str">
        <f>IF(samples!E21=0,"",samples!E21)</f>
        <v/>
      </c>
      <c r="J484">
        <f>IFERROR(SEARCH(search!$B$6,samples!E21,1),0)</f>
        <v>0</v>
      </c>
      <c r="K484" t="str">
        <f>IF(samples!F21=0,"",samples!F21)</f>
        <v/>
      </c>
      <c r="L484">
        <f>IFERROR(SEARCH(search!$B$6,samples!F21,1),0)</f>
        <v>0</v>
      </c>
      <c r="M484" t="str">
        <f>IF(samples!G21=0,"",samples!G21)</f>
        <v/>
      </c>
      <c r="N484">
        <f>IFERROR(SEARCH(search!$B$6,samples!G21,1),0)</f>
        <v>0</v>
      </c>
      <c r="O484" t="str">
        <f>IF(samples!H21=0,"",samples!H21)</f>
        <v/>
      </c>
      <c r="P484">
        <f>IFERROR(SEARCH(search!$B$6,samples!H21,1),0)</f>
        <v>0</v>
      </c>
      <c r="Q484" t="str">
        <f>IF(samples!I21=0,"",samples!I21)</f>
        <v/>
      </c>
      <c r="R484">
        <f>IFERROR(SEARCH(search!$B$6,samples!I21,1),0)</f>
        <v>0</v>
      </c>
      <c r="S484" t="str">
        <f>IF(samples!J21=0,"",samples!J21)</f>
        <v/>
      </c>
      <c r="T484">
        <f>IFERROR(SEARCH(search!$B$6,samples!J21,1),0)</f>
        <v>0</v>
      </c>
      <c r="U484" t="str">
        <f>IF(samples!K21=0,"",samples!K21)</f>
        <v/>
      </c>
      <c r="V484">
        <f>IFERROR(SEARCH(search!$B$6,samples!K21,1),0)</f>
        <v>0</v>
      </c>
      <c r="W484" t="str">
        <f>IF(samples!L21=0,"",samples!L21)</f>
        <v/>
      </c>
      <c r="X484">
        <f>IFERROR(SEARCH(search!$B$6,samples!L21,1),0)</f>
        <v>0</v>
      </c>
      <c r="Y484" t="str">
        <f>IF(samples!M21=0,"",samples!M21)</f>
        <v/>
      </c>
      <c r="Z484">
        <f>IFERROR(SEARCH(search!$B$6,samples!M21,1),0)</f>
        <v>0</v>
      </c>
      <c r="AA484" t="str">
        <f>IF(samples!N21=0,"",samples!N21)</f>
        <v/>
      </c>
      <c r="AB484">
        <f>IFERROR(SEARCH(search!$B$6,samples!N21,1),0)</f>
        <v>0</v>
      </c>
      <c r="AC484" t="str">
        <f>IF(samples!O21=0,"",samples!O21)</f>
        <v/>
      </c>
      <c r="AD484">
        <f>IFERROR(SEARCH(search!$B$6,samples!O21,1),0)</f>
        <v>0</v>
      </c>
    </row>
    <row r="485" spans="1:30">
      <c r="A485">
        <f t="shared" si="7"/>
        <v>0</v>
      </c>
      <c r="B485">
        <f>IF(SUM(D485,F485,H485,J485,L485,N485,P485,R485,T485,V485,X485,Z485,AB485,AD485)&gt;0,SUM($A$2:A485),0)</f>
        <v>0</v>
      </c>
      <c r="C485">
        <f>samples!B22</f>
        <v>0</v>
      </c>
      <c r="D485">
        <f>IFERROR(SEARCH(search!$B$6,samples!B22,1),0)</f>
        <v>0</v>
      </c>
      <c r="E485" t="str">
        <f>IF(samples!C22=0,"",samples!C22)</f>
        <v/>
      </c>
      <c r="F485">
        <f>IFERROR(SEARCH(search!$B$6,samples!C22,1),0)</f>
        <v>0</v>
      </c>
      <c r="G485" t="str">
        <f>IF(samples!D22=0,"",samples!D22)</f>
        <v/>
      </c>
      <c r="H485">
        <f>IFERROR(SEARCH(search!$B$6,samples!D22,1),0)</f>
        <v>0</v>
      </c>
      <c r="I485" t="str">
        <f>IF(samples!E22=0,"",samples!E22)</f>
        <v/>
      </c>
      <c r="J485">
        <f>IFERROR(SEARCH(search!$B$6,samples!E22,1),0)</f>
        <v>0</v>
      </c>
      <c r="K485" t="str">
        <f>IF(samples!F22=0,"",samples!F22)</f>
        <v/>
      </c>
      <c r="L485">
        <f>IFERROR(SEARCH(search!$B$6,samples!F22,1),0)</f>
        <v>0</v>
      </c>
      <c r="M485" t="str">
        <f>IF(samples!G22=0,"",samples!G22)</f>
        <v/>
      </c>
      <c r="N485">
        <f>IFERROR(SEARCH(search!$B$6,samples!G22,1),0)</f>
        <v>0</v>
      </c>
      <c r="O485" t="str">
        <f>IF(samples!H22=0,"",samples!H22)</f>
        <v/>
      </c>
      <c r="P485">
        <f>IFERROR(SEARCH(search!$B$6,samples!H22,1),0)</f>
        <v>0</v>
      </c>
      <c r="Q485" t="str">
        <f>IF(samples!I22=0,"",samples!I22)</f>
        <v/>
      </c>
      <c r="R485">
        <f>IFERROR(SEARCH(search!$B$6,samples!I22,1),0)</f>
        <v>0</v>
      </c>
      <c r="S485" t="str">
        <f>IF(samples!J22=0,"",samples!J22)</f>
        <v/>
      </c>
      <c r="T485">
        <f>IFERROR(SEARCH(search!$B$6,samples!J22,1),0)</f>
        <v>0</v>
      </c>
      <c r="U485" t="str">
        <f>IF(samples!K22=0,"",samples!K22)</f>
        <v/>
      </c>
      <c r="V485">
        <f>IFERROR(SEARCH(search!$B$6,samples!K22,1),0)</f>
        <v>0</v>
      </c>
      <c r="W485" t="str">
        <f>IF(samples!L22=0,"",samples!L22)</f>
        <v/>
      </c>
      <c r="X485">
        <f>IFERROR(SEARCH(search!$B$6,samples!L22,1),0)</f>
        <v>0</v>
      </c>
      <c r="Y485" t="str">
        <f>IF(samples!M22=0,"",samples!M22)</f>
        <v/>
      </c>
      <c r="Z485">
        <f>IFERROR(SEARCH(search!$B$6,samples!M22,1),0)</f>
        <v>0</v>
      </c>
      <c r="AA485" t="str">
        <f>IF(samples!N22=0,"",samples!N22)</f>
        <v/>
      </c>
      <c r="AB485">
        <f>IFERROR(SEARCH(search!$B$6,samples!N22,1),0)</f>
        <v>0</v>
      </c>
      <c r="AC485" t="str">
        <f>IF(samples!O22=0,"",samples!O22)</f>
        <v/>
      </c>
      <c r="AD485">
        <f>IFERROR(SEARCH(search!$B$6,samples!O22,1),0)</f>
        <v>0</v>
      </c>
    </row>
    <row r="486" spans="1:30">
      <c r="A486">
        <f t="shared" si="7"/>
        <v>0</v>
      </c>
      <c r="B486">
        <f>IF(SUM(D486,F486,H486,J486,L486,N486,P486,R486,T486,V486,X486,Z486,AB486,AD486)&gt;0,SUM($A$2:A486),0)</f>
        <v>0</v>
      </c>
      <c r="C486">
        <f>samples!B23</f>
        <v>0</v>
      </c>
      <c r="D486">
        <f>IFERROR(SEARCH(search!$B$6,samples!B23,1),0)</f>
        <v>0</v>
      </c>
      <c r="E486" t="str">
        <f>IF(samples!C23=0,"",samples!C23)</f>
        <v/>
      </c>
      <c r="F486">
        <f>IFERROR(SEARCH(search!$B$6,samples!C23,1),0)</f>
        <v>0</v>
      </c>
      <c r="G486" t="str">
        <f>IF(samples!D23=0,"",samples!D23)</f>
        <v/>
      </c>
      <c r="H486">
        <f>IFERROR(SEARCH(search!$B$6,samples!D23,1),0)</f>
        <v>0</v>
      </c>
      <c r="I486" t="str">
        <f>IF(samples!E23=0,"",samples!E23)</f>
        <v/>
      </c>
      <c r="J486">
        <f>IFERROR(SEARCH(search!$B$6,samples!E23,1),0)</f>
        <v>0</v>
      </c>
      <c r="K486" t="str">
        <f>IF(samples!F23=0,"",samples!F23)</f>
        <v/>
      </c>
      <c r="L486">
        <f>IFERROR(SEARCH(search!$B$6,samples!F23,1),0)</f>
        <v>0</v>
      </c>
      <c r="M486" t="str">
        <f>IF(samples!G23=0,"",samples!G23)</f>
        <v/>
      </c>
      <c r="N486">
        <f>IFERROR(SEARCH(search!$B$6,samples!G23,1),0)</f>
        <v>0</v>
      </c>
      <c r="O486" t="str">
        <f>IF(samples!H23=0,"",samples!H23)</f>
        <v/>
      </c>
      <c r="P486">
        <f>IFERROR(SEARCH(search!$B$6,samples!H23,1),0)</f>
        <v>0</v>
      </c>
      <c r="Q486" t="str">
        <f>IF(samples!I23=0,"",samples!I23)</f>
        <v/>
      </c>
      <c r="R486">
        <f>IFERROR(SEARCH(search!$B$6,samples!I23,1),0)</f>
        <v>0</v>
      </c>
      <c r="S486" t="str">
        <f>IF(samples!J23=0,"",samples!J23)</f>
        <v/>
      </c>
      <c r="T486">
        <f>IFERROR(SEARCH(search!$B$6,samples!J23,1),0)</f>
        <v>0</v>
      </c>
      <c r="U486" t="str">
        <f>IF(samples!K23=0,"",samples!K23)</f>
        <v/>
      </c>
      <c r="V486">
        <f>IFERROR(SEARCH(search!$B$6,samples!K23,1),0)</f>
        <v>0</v>
      </c>
      <c r="W486" t="str">
        <f>IF(samples!L23=0,"",samples!L23)</f>
        <v/>
      </c>
      <c r="X486">
        <f>IFERROR(SEARCH(search!$B$6,samples!L23,1),0)</f>
        <v>0</v>
      </c>
      <c r="Y486" t="str">
        <f>IF(samples!M23=0,"",samples!M23)</f>
        <v/>
      </c>
      <c r="Z486">
        <f>IFERROR(SEARCH(search!$B$6,samples!M23,1),0)</f>
        <v>0</v>
      </c>
      <c r="AA486" t="str">
        <f>IF(samples!N23=0,"",samples!N23)</f>
        <v/>
      </c>
      <c r="AB486">
        <f>IFERROR(SEARCH(search!$B$6,samples!N23,1),0)</f>
        <v>0</v>
      </c>
      <c r="AC486" t="str">
        <f>IF(samples!O23=0,"",samples!O23)</f>
        <v/>
      </c>
      <c r="AD486">
        <f>IFERROR(SEARCH(search!$B$6,samples!O23,1),0)</f>
        <v>0</v>
      </c>
    </row>
    <row r="487" spans="1:30">
      <c r="A487">
        <f t="shared" si="7"/>
        <v>0</v>
      </c>
      <c r="B487">
        <f>IF(SUM(D487,F487,H487,J487,L487,N487,P487,R487,T487,V487,X487,Z487,AB487,AD487)&gt;0,SUM($A$2:A487),0)</f>
        <v>0</v>
      </c>
      <c r="C487">
        <f>samples!B24</f>
        <v>0</v>
      </c>
      <c r="D487">
        <f>IFERROR(SEARCH(search!$B$6,samples!B24,1),0)</f>
        <v>0</v>
      </c>
      <c r="E487" t="str">
        <f>IF(samples!C24=0,"",samples!C24)</f>
        <v/>
      </c>
      <c r="F487">
        <f>IFERROR(SEARCH(search!$B$6,samples!C24,1),0)</f>
        <v>0</v>
      </c>
      <c r="G487" t="str">
        <f>IF(samples!D24=0,"",samples!D24)</f>
        <v/>
      </c>
      <c r="H487">
        <f>IFERROR(SEARCH(search!$B$6,samples!D24,1),0)</f>
        <v>0</v>
      </c>
      <c r="I487" t="str">
        <f>IF(samples!E24=0,"",samples!E24)</f>
        <v/>
      </c>
      <c r="J487">
        <f>IFERROR(SEARCH(search!$B$6,samples!E24,1),0)</f>
        <v>0</v>
      </c>
      <c r="K487" t="str">
        <f>IF(samples!F24=0,"",samples!F24)</f>
        <v/>
      </c>
      <c r="L487">
        <f>IFERROR(SEARCH(search!$B$6,samples!F24,1),0)</f>
        <v>0</v>
      </c>
      <c r="M487" t="str">
        <f>IF(samples!G24=0,"",samples!G24)</f>
        <v/>
      </c>
      <c r="N487">
        <f>IFERROR(SEARCH(search!$B$6,samples!G24,1),0)</f>
        <v>0</v>
      </c>
      <c r="O487" t="str">
        <f>IF(samples!H24=0,"",samples!H24)</f>
        <v/>
      </c>
      <c r="P487">
        <f>IFERROR(SEARCH(search!$B$6,samples!H24,1),0)</f>
        <v>0</v>
      </c>
      <c r="Q487" t="str">
        <f>IF(samples!I24=0,"",samples!I24)</f>
        <v/>
      </c>
      <c r="R487">
        <f>IFERROR(SEARCH(search!$B$6,samples!I24,1),0)</f>
        <v>0</v>
      </c>
      <c r="S487" t="str">
        <f>IF(samples!J24=0,"",samples!J24)</f>
        <v/>
      </c>
      <c r="T487">
        <f>IFERROR(SEARCH(search!$B$6,samples!J24,1),0)</f>
        <v>0</v>
      </c>
      <c r="U487" t="str">
        <f>IF(samples!K24=0,"",samples!K24)</f>
        <v/>
      </c>
      <c r="V487">
        <f>IFERROR(SEARCH(search!$B$6,samples!K24,1),0)</f>
        <v>0</v>
      </c>
      <c r="W487" t="str">
        <f>IF(samples!L24=0,"",samples!L24)</f>
        <v/>
      </c>
      <c r="X487">
        <f>IFERROR(SEARCH(search!$B$6,samples!L24,1),0)</f>
        <v>0</v>
      </c>
      <c r="Y487" t="str">
        <f>IF(samples!M24=0,"",samples!M24)</f>
        <v/>
      </c>
      <c r="Z487">
        <f>IFERROR(SEARCH(search!$B$6,samples!M24,1),0)</f>
        <v>0</v>
      </c>
      <c r="AA487" t="str">
        <f>IF(samples!N24=0,"",samples!N24)</f>
        <v/>
      </c>
      <c r="AB487">
        <f>IFERROR(SEARCH(search!$B$6,samples!N24,1),0)</f>
        <v>0</v>
      </c>
      <c r="AC487" t="str">
        <f>IF(samples!O24=0,"",samples!O24)</f>
        <v/>
      </c>
      <c r="AD487">
        <f>IFERROR(SEARCH(search!$B$6,samples!O24,1),0)</f>
        <v>0</v>
      </c>
    </row>
    <row r="488" spans="1:30">
      <c r="A488">
        <f t="shared" si="7"/>
        <v>0</v>
      </c>
      <c r="B488">
        <f>IF(SUM(D488,F488,H488,J488,L488,N488,P488,R488,T488,V488,X488,Z488,AB488,AD488)&gt;0,SUM($A$2:A488),0)</f>
        <v>0</v>
      </c>
      <c r="C488">
        <f>samples!B25</f>
        <v>0</v>
      </c>
      <c r="D488">
        <f>IFERROR(SEARCH(search!$B$6,samples!B25,1),0)</f>
        <v>0</v>
      </c>
      <c r="E488" t="str">
        <f>IF(samples!C25=0,"",samples!C25)</f>
        <v/>
      </c>
      <c r="F488">
        <f>IFERROR(SEARCH(search!$B$6,samples!C25,1),0)</f>
        <v>0</v>
      </c>
      <c r="G488" t="str">
        <f>IF(samples!D25=0,"",samples!D25)</f>
        <v/>
      </c>
      <c r="H488">
        <f>IFERROR(SEARCH(search!$B$6,samples!D25,1),0)</f>
        <v>0</v>
      </c>
      <c r="I488" t="str">
        <f>IF(samples!E25=0,"",samples!E25)</f>
        <v/>
      </c>
      <c r="J488">
        <f>IFERROR(SEARCH(search!$B$6,samples!E25,1),0)</f>
        <v>0</v>
      </c>
      <c r="K488" t="str">
        <f>IF(samples!F25=0,"",samples!F25)</f>
        <v/>
      </c>
      <c r="L488">
        <f>IFERROR(SEARCH(search!$B$6,samples!F25,1),0)</f>
        <v>0</v>
      </c>
      <c r="M488" t="str">
        <f>IF(samples!G25=0,"",samples!G25)</f>
        <v/>
      </c>
      <c r="N488">
        <f>IFERROR(SEARCH(search!$B$6,samples!G25,1),0)</f>
        <v>0</v>
      </c>
      <c r="O488" t="str">
        <f>IF(samples!H25=0,"",samples!H25)</f>
        <v/>
      </c>
      <c r="P488">
        <f>IFERROR(SEARCH(search!$B$6,samples!H25,1),0)</f>
        <v>0</v>
      </c>
      <c r="Q488" t="str">
        <f>IF(samples!I25=0,"",samples!I25)</f>
        <v/>
      </c>
      <c r="R488">
        <f>IFERROR(SEARCH(search!$B$6,samples!I25,1),0)</f>
        <v>0</v>
      </c>
      <c r="S488" t="str">
        <f>IF(samples!J25=0,"",samples!J25)</f>
        <v/>
      </c>
      <c r="T488">
        <f>IFERROR(SEARCH(search!$B$6,samples!J25,1),0)</f>
        <v>0</v>
      </c>
      <c r="U488" t="str">
        <f>IF(samples!K25=0,"",samples!K25)</f>
        <v/>
      </c>
      <c r="V488">
        <f>IFERROR(SEARCH(search!$B$6,samples!K25,1),0)</f>
        <v>0</v>
      </c>
      <c r="W488" t="str">
        <f>IF(samples!L25=0,"",samples!L25)</f>
        <v/>
      </c>
      <c r="X488">
        <f>IFERROR(SEARCH(search!$B$6,samples!L25,1),0)</f>
        <v>0</v>
      </c>
      <c r="Y488" t="str">
        <f>IF(samples!M25=0,"",samples!M25)</f>
        <v/>
      </c>
      <c r="Z488">
        <f>IFERROR(SEARCH(search!$B$6,samples!M25,1),0)</f>
        <v>0</v>
      </c>
      <c r="AA488" t="str">
        <f>IF(samples!N25=0,"",samples!N25)</f>
        <v/>
      </c>
      <c r="AB488">
        <f>IFERROR(SEARCH(search!$B$6,samples!N25,1),0)</f>
        <v>0</v>
      </c>
      <c r="AC488" t="str">
        <f>IF(samples!O25=0,"",samples!O25)</f>
        <v/>
      </c>
      <c r="AD488">
        <f>IFERROR(SEARCH(search!$B$6,samples!O25,1),0)</f>
        <v>0</v>
      </c>
    </row>
    <row r="489" spans="1:30">
      <c r="A489">
        <f t="shared" si="7"/>
        <v>0</v>
      </c>
      <c r="B489">
        <f>IF(SUM(D489,F489,H489,J489,L489,N489,P489,R489,T489,V489,X489,Z489,AB489,AD489)&gt;0,SUM($A$2:A489),0)</f>
        <v>0</v>
      </c>
      <c r="C489">
        <f>samples!B26</f>
        <v>0</v>
      </c>
      <c r="D489">
        <f>IFERROR(SEARCH(search!$B$6,samples!B26,1),0)</f>
        <v>0</v>
      </c>
      <c r="E489" t="str">
        <f>IF(samples!C26=0,"",samples!C26)</f>
        <v/>
      </c>
      <c r="F489">
        <f>IFERROR(SEARCH(search!$B$6,samples!C26,1),0)</f>
        <v>0</v>
      </c>
      <c r="G489" t="str">
        <f>IF(samples!D26=0,"",samples!D26)</f>
        <v/>
      </c>
      <c r="H489">
        <f>IFERROR(SEARCH(search!$B$6,samples!D26,1),0)</f>
        <v>0</v>
      </c>
      <c r="I489" t="str">
        <f>IF(samples!E26=0,"",samples!E26)</f>
        <v/>
      </c>
      <c r="J489">
        <f>IFERROR(SEARCH(search!$B$6,samples!E26,1),0)</f>
        <v>0</v>
      </c>
      <c r="K489" t="str">
        <f>IF(samples!F26=0,"",samples!F26)</f>
        <v/>
      </c>
      <c r="L489">
        <f>IFERROR(SEARCH(search!$B$6,samples!F26,1),0)</f>
        <v>0</v>
      </c>
      <c r="M489" t="str">
        <f>IF(samples!G26=0,"",samples!G26)</f>
        <v/>
      </c>
      <c r="N489">
        <f>IFERROR(SEARCH(search!$B$6,samples!G26,1),0)</f>
        <v>0</v>
      </c>
      <c r="O489" t="str">
        <f>IF(samples!H26=0,"",samples!H26)</f>
        <v/>
      </c>
      <c r="P489">
        <f>IFERROR(SEARCH(search!$B$6,samples!H26,1),0)</f>
        <v>0</v>
      </c>
      <c r="Q489" t="str">
        <f>IF(samples!I26=0,"",samples!I26)</f>
        <v/>
      </c>
      <c r="R489">
        <f>IFERROR(SEARCH(search!$B$6,samples!I26,1),0)</f>
        <v>0</v>
      </c>
      <c r="S489" t="str">
        <f>IF(samples!J26=0,"",samples!J26)</f>
        <v/>
      </c>
      <c r="T489">
        <f>IFERROR(SEARCH(search!$B$6,samples!J26,1),0)</f>
        <v>0</v>
      </c>
      <c r="U489" t="str">
        <f>IF(samples!K26=0,"",samples!K26)</f>
        <v/>
      </c>
      <c r="V489">
        <f>IFERROR(SEARCH(search!$B$6,samples!K26,1),0)</f>
        <v>0</v>
      </c>
      <c r="W489" t="str">
        <f>IF(samples!L26=0,"",samples!L26)</f>
        <v/>
      </c>
      <c r="X489">
        <f>IFERROR(SEARCH(search!$B$6,samples!L26,1),0)</f>
        <v>0</v>
      </c>
      <c r="Y489" t="str">
        <f>IF(samples!M26=0,"",samples!M26)</f>
        <v/>
      </c>
      <c r="Z489">
        <f>IFERROR(SEARCH(search!$B$6,samples!M26,1),0)</f>
        <v>0</v>
      </c>
      <c r="AA489" t="str">
        <f>IF(samples!N26=0,"",samples!N26)</f>
        <v/>
      </c>
      <c r="AB489">
        <f>IFERROR(SEARCH(search!$B$6,samples!N26,1),0)</f>
        <v>0</v>
      </c>
      <c r="AC489" t="str">
        <f>IF(samples!O26=0,"",samples!O26)</f>
        <v/>
      </c>
      <c r="AD489">
        <f>IFERROR(SEARCH(search!$B$6,samples!O26,1),0)</f>
        <v>0</v>
      </c>
    </row>
    <row r="490" spans="1:30">
      <c r="A490">
        <f t="shared" si="7"/>
        <v>0</v>
      </c>
      <c r="B490">
        <f>IF(SUM(D490,F490,H490,J490,L490,N490,P490,R490,T490,V490,X490,Z490,AB490,AD490)&gt;0,SUM($A$2:A490),0)</f>
        <v>0</v>
      </c>
      <c r="C490">
        <f>samples!B27</f>
        <v>0</v>
      </c>
      <c r="D490">
        <f>IFERROR(SEARCH(search!$B$6,samples!B27,1),0)</f>
        <v>0</v>
      </c>
      <c r="E490" t="str">
        <f>IF(samples!C27=0,"",samples!C27)</f>
        <v/>
      </c>
      <c r="F490">
        <f>IFERROR(SEARCH(search!$B$6,samples!C27,1),0)</f>
        <v>0</v>
      </c>
      <c r="G490" t="str">
        <f>IF(samples!D27=0,"",samples!D27)</f>
        <v/>
      </c>
      <c r="H490">
        <f>IFERROR(SEARCH(search!$B$6,samples!D27,1),0)</f>
        <v>0</v>
      </c>
      <c r="I490" t="str">
        <f>IF(samples!E27=0,"",samples!E27)</f>
        <v/>
      </c>
      <c r="J490">
        <f>IFERROR(SEARCH(search!$B$6,samples!E27,1),0)</f>
        <v>0</v>
      </c>
      <c r="K490" t="str">
        <f>IF(samples!F27=0,"",samples!F27)</f>
        <v/>
      </c>
      <c r="L490">
        <f>IFERROR(SEARCH(search!$B$6,samples!F27,1),0)</f>
        <v>0</v>
      </c>
      <c r="M490" t="str">
        <f>IF(samples!G27=0,"",samples!G27)</f>
        <v/>
      </c>
      <c r="N490">
        <f>IFERROR(SEARCH(search!$B$6,samples!G27,1),0)</f>
        <v>0</v>
      </c>
      <c r="O490" t="str">
        <f>IF(samples!H27=0,"",samples!H27)</f>
        <v/>
      </c>
      <c r="P490">
        <f>IFERROR(SEARCH(search!$B$6,samples!H27,1),0)</f>
        <v>0</v>
      </c>
      <c r="Q490" t="str">
        <f>IF(samples!I27=0,"",samples!I27)</f>
        <v/>
      </c>
      <c r="R490">
        <f>IFERROR(SEARCH(search!$B$6,samples!I27,1),0)</f>
        <v>0</v>
      </c>
      <c r="S490" t="str">
        <f>IF(samples!J27=0,"",samples!J27)</f>
        <v/>
      </c>
      <c r="T490">
        <f>IFERROR(SEARCH(search!$B$6,samples!J27,1),0)</f>
        <v>0</v>
      </c>
      <c r="U490" t="str">
        <f>IF(samples!K27=0,"",samples!K27)</f>
        <v/>
      </c>
      <c r="V490">
        <f>IFERROR(SEARCH(search!$B$6,samples!K27,1),0)</f>
        <v>0</v>
      </c>
      <c r="W490" t="str">
        <f>IF(samples!L27=0,"",samples!L27)</f>
        <v/>
      </c>
      <c r="X490">
        <f>IFERROR(SEARCH(search!$B$6,samples!L27,1),0)</f>
        <v>0</v>
      </c>
      <c r="Y490" t="str">
        <f>IF(samples!M27=0,"",samples!M27)</f>
        <v/>
      </c>
      <c r="Z490">
        <f>IFERROR(SEARCH(search!$B$6,samples!M27,1),0)</f>
        <v>0</v>
      </c>
      <c r="AA490" t="str">
        <f>IF(samples!N27=0,"",samples!N27)</f>
        <v/>
      </c>
      <c r="AB490">
        <f>IFERROR(SEARCH(search!$B$6,samples!N27,1),0)</f>
        <v>0</v>
      </c>
      <c r="AC490" t="str">
        <f>IF(samples!O27=0,"",samples!O27)</f>
        <v/>
      </c>
      <c r="AD490">
        <f>IFERROR(SEARCH(search!$B$6,samples!O27,1),0)</f>
        <v>0</v>
      </c>
    </row>
    <row r="491" spans="1:30">
      <c r="A491">
        <f t="shared" si="7"/>
        <v>0</v>
      </c>
      <c r="B491">
        <f>IF(SUM(D491,F491,H491,J491,L491,N491,P491,R491,T491,V491,X491,Z491,AB491,AD491)&gt;0,SUM($A$2:A491),0)</f>
        <v>0</v>
      </c>
      <c r="C491">
        <f>samples!B28</f>
        <v>0</v>
      </c>
      <c r="D491">
        <f>IFERROR(SEARCH(search!$B$6,samples!B28,1),0)</f>
        <v>0</v>
      </c>
      <c r="E491" t="str">
        <f>IF(samples!C28=0,"",samples!C28)</f>
        <v/>
      </c>
      <c r="F491">
        <f>IFERROR(SEARCH(search!$B$6,samples!C28,1),0)</f>
        <v>0</v>
      </c>
      <c r="G491" t="str">
        <f>IF(samples!D28=0,"",samples!D28)</f>
        <v/>
      </c>
      <c r="H491">
        <f>IFERROR(SEARCH(search!$B$6,samples!D28,1),0)</f>
        <v>0</v>
      </c>
      <c r="I491" t="str">
        <f>IF(samples!E28=0,"",samples!E28)</f>
        <v/>
      </c>
      <c r="J491">
        <f>IFERROR(SEARCH(search!$B$6,samples!E28,1),0)</f>
        <v>0</v>
      </c>
      <c r="K491" t="str">
        <f>IF(samples!F28=0,"",samples!F28)</f>
        <v/>
      </c>
      <c r="L491">
        <f>IFERROR(SEARCH(search!$B$6,samples!F28,1),0)</f>
        <v>0</v>
      </c>
      <c r="M491" t="str">
        <f>IF(samples!G28=0,"",samples!G28)</f>
        <v/>
      </c>
      <c r="N491">
        <f>IFERROR(SEARCH(search!$B$6,samples!G28,1),0)</f>
        <v>0</v>
      </c>
      <c r="O491" t="str">
        <f>IF(samples!H28=0,"",samples!H28)</f>
        <v/>
      </c>
      <c r="P491">
        <f>IFERROR(SEARCH(search!$B$6,samples!H28,1),0)</f>
        <v>0</v>
      </c>
      <c r="Q491" t="str">
        <f>IF(samples!I28=0,"",samples!I28)</f>
        <v/>
      </c>
      <c r="R491">
        <f>IFERROR(SEARCH(search!$B$6,samples!I28,1),0)</f>
        <v>0</v>
      </c>
      <c r="S491" t="str">
        <f>IF(samples!J28=0,"",samples!J28)</f>
        <v/>
      </c>
      <c r="T491">
        <f>IFERROR(SEARCH(search!$B$6,samples!J28,1),0)</f>
        <v>0</v>
      </c>
      <c r="U491" t="str">
        <f>IF(samples!K28=0,"",samples!K28)</f>
        <v/>
      </c>
      <c r="V491">
        <f>IFERROR(SEARCH(search!$B$6,samples!K28,1),0)</f>
        <v>0</v>
      </c>
      <c r="W491" t="str">
        <f>IF(samples!L28=0,"",samples!L28)</f>
        <v/>
      </c>
      <c r="X491">
        <f>IFERROR(SEARCH(search!$B$6,samples!L28,1),0)</f>
        <v>0</v>
      </c>
      <c r="Y491" t="str">
        <f>IF(samples!M28=0,"",samples!M28)</f>
        <v/>
      </c>
      <c r="Z491">
        <f>IFERROR(SEARCH(search!$B$6,samples!M28,1),0)</f>
        <v>0</v>
      </c>
      <c r="AA491" t="str">
        <f>IF(samples!N28=0,"",samples!N28)</f>
        <v/>
      </c>
      <c r="AB491">
        <f>IFERROR(SEARCH(search!$B$6,samples!N28,1),0)</f>
        <v>0</v>
      </c>
      <c r="AC491" t="str">
        <f>IF(samples!O28=0,"",samples!O28)</f>
        <v/>
      </c>
      <c r="AD491">
        <f>IFERROR(SEARCH(search!$B$6,samples!O28,1),0)</f>
        <v>0</v>
      </c>
    </row>
    <row r="492" spans="1:30">
      <c r="A492">
        <f t="shared" si="7"/>
        <v>0</v>
      </c>
      <c r="B492">
        <f>IF(SUM(D492,F492,H492,J492,L492,N492,P492,R492,T492,V492,X492,Z492,AB492,AD492)&gt;0,SUM($A$2:A492),0)</f>
        <v>0</v>
      </c>
      <c r="C492">
        <f>samples!B29</f>
        <v>0</v>
      </c>
      <c r="D492">
        <f>IFERROR(SEARCH(search!$B$6,samples!B29,1),0)</f>
        <v>0</v>
      </c>
      <c r="E492" t="str">
        <f>IF(samples!C29=0,"",samples!C29)</f>
        <v/>
      </c>
      <c r="F492">
        <f>IFERROR(SEARCH(search!$B$6,samples!C29,1),0)</f>
        <v>0</v>
      </c>
      <c r="G492" t="str">
        <f>IF(samples!D29=0,"",samples!D29)</f>
        <v/>
      </c>
      <c r="H492">
        <f>IFERROR(SEARCH(search!$B$6,samples!D29,1),0)</f>
        <v>0</v>
      </c>
      <c r="I492" t="str">
        <f>IF(samples!E29=0,"",samples!E29)</f>
        <v/>
      </c>
      <c r="J492">
        <f>IFERROR(SEARCH(search!$B$6,samples!E29,1),0)</f>
        <v>0</v>
      </c>
      <c r="K492" t="str">
        <f>IF(samples!F29=0,"",samples!F29)</f>
        <v/>
      </c>
      <c r="L492">
        <f>IFERROR(SEARCH(search!$B$6,samples!F29,1),0)</f>
        <v>0</v>
      </c>
      <c r="M492" t="str">
        <f>IF(samples!G29=0,"",samples!G29)</f>
        <v/>
      </c>
      <c r="N492">
        <f>IFERROR(SEARCH(search!$B$6,samples!G29,1),0)</f>
        <v>0</v>
      </c>
      <c r="O492" t="str">
        <f>IF(samples!H29=0,"",samples!H29)</f>
        <v/>
      </c>
      <c r="P492">
        <f>IFERROR(SEARCH(search!$B$6,samples!H29,1),0)</f>
        <v>0</v>
      </c>
      <c r="Q492" t="str">
        <f>IF(samples!I29=0,"",samples!I29)</f>
        <v/>
      </c>
      <c r="R492">
        <f>IFERROR(SEARCH(search!$B$6,samples!I29,1),0)</f>
        <v>0</v>
      </c>
      <c r="S492" t="str">
        <f>IF(samples!J29=0,"",samples!J29)</f>
        <v/>
      </c>
      <c r="T492">
        <f>IFERROR(SEARCH(search!$B$6,samples!J29,1),0)</f>
        <v>0</v>
      </c>
      <c r="U492" t="str">
        <f>IF(samples!K29=0,"",samples!K29)</f>
        <v/>
      </c>
      <c r="V492">
        <f>IFERROR(SEARCH(search!$B$6,samples!K29,1),0)</f>
        <v>0</v>
      </c>
      <c r="W492" t="str">
        <f>IF(samples!L29=0,"",samples!L29)</f>
        <v/>
      </c>
      <c r="X492">
        <f>IFERROR(SEARCH(search!$B$6,samples!L29,1),0)</f>
        <v>0</v>
      </c>
      <c r="Y492" t="str">
        <f>IF(samples!M29=0,"",samples!M29)</f>
        <v/>
      </c>
      <c r="Z492">
        <f>IFERROR(SEARCH(search!$B$6,samples!M29,1),0)</f>
        <v>0</v>
      </c>
      <c r="AA492" t="str">
        <f>IF(samples!N29=0,"",samples!N29)</f>
        <v/>
      </c>
      <c r="AB492">
        <f>IFERROR(SEARCH(search!$B$6,samples!N29,1),0)</f>
        <v>0</v>
      </c>
      <c r="AC492" t="str">
        <f>IF(samples!O29=0,"",samples!O29)</f>
        <v/>
      </c>
      <c r="AD492">
        <f>IFERROR(SEARCH(search!$B$6,samples!O29,1),0)</f>
        <v>0</v>
      </c>
    </row>
    <row r="493" spans="1:30">
      <c r="A493">
        <f t="shared" si="7"/>
        <v>0</v>
      </c>
      <c r="B493">
        <f>IF(SUM(D493,F493,H493,J493,L493,N493,P493,R493,T493,V493,X493,Z493,AB493,AD493)&gt;0,SUM($A$2:A493),0)</f>
        <v>0</v>
      </c>
      <c r="C493">
        <f>samples!B30</f>
        <v>0</v>
      </c>
      <c r="D493">
        <f>IFERROR(SEARCH(search!$B$6,samples!B30,1),0)</f>
        <v>0</v>
      </c>
      <c r="E493" t="str">
        <f>IF(samples!C30=0,"",samples!C30)</f>
        <v/>
      </c>
      <c r="F493">
        <f>IFERROR(SEARCH(search!$B$6,samples!C30,1),0)</f>
        <v>0</v>
      </c>
      <c r="G493" t="str">
        <f>IF(samples!D30=0,"",samples!D30)</f>
        <v/>
      </c>
      <c r="H493">
        <f>IFERROR(SEARCH(search!$B$6,samples!D30,1),0)</f>
        <v>0</v>
      </c>
      <c r="I493" t="str">
        <f>IF(samples!E30=0,"",samples!E30)</f>
        <v/>
      </c>
      <c r="J493">
        <f>IFERROR(SEARCH(search!$B$6,samples!E30,1),0)</f>
        <v>0</v>
      </c>
      <c r="K493" t="str">
        <f>IF(samples!F30=0,"",samples!F30)</f>
        <v/>
      </c>
      <c r="L493">
        <f>IFERROR(SEARCH(search!$B$6,samples!F30,1),0)</f>
        <v>0</v>
      </c>
      <c r="M493" t="str">
        <f>IF(samples!G30=0,"",samples!G30)</f>
        <v/>
      </c>
      <c r="N493">
        <f>IFERROR(SEARCH(search!$B$6,samples!G30,1),0)</f>
        <v>0</v>
      </c>
      <c r="O493" t="str">
        <f>IF(samples!H30=0,"",samples!H30)</f>
        <v/>
      </c>
      <c r="P493">
        <f>IFERROR(SEARCH(search!$B$6,samples!H30,1),0)</f>
        <v>0</v>
      </c>
      <c r="Q493" t="str">
        <f>IF(samples!I30=0,"",samples!I30)</f>
        <v/>
      </c>
      <c r="R493">
        <f>IFERROR(SEARCH(search!$B$6,samples!I30,1),0)</f>
        <v>0</v>
      </c>
      <c r="S493" t="str">
        <f>IF(samples!J30=0,"",samples!J30)</f>
        <v/>
      </c>
      <c r="T493">
        <f>IFERROR(SEARCH(search!$B$6,samples!J30,1),0)</f>
        <v>0</v>
      </c>
      <c r="U493" t="str">
        <f>IF(samples!K30=0,"",samples!K30)</f>
        <v/>
      </c>
      <c r="V493">
        <f>IFERROR(SEARCH(search!$B$6,samples!K30,1),0)</f>
        <v>0</v>
      </c>
      <c r="W493" t="str">
        <f>IF(samples!L30=0,"",samples!L30)</f>
        <v/>
      </c>
      <c r="X493">
        <f>IFERROR(SEARCH(search!$B$6,samples!L30,1),0)</f>
        <v>0</v>
      </c>
      <c r="Y493" t="str">
        <f>IF(samples!M30=0,"",samples!M30)</f>
        <v/>
      </c>
      <c r="Z493">
        <f>IFERROR(SEARCH(search!$B$6,samples!M30,1),0)</f>
        <v>0</v>
      </c>
      <c r="AA493" t="str">
        <f>IF(samples!N30=0,"",samples!N30)</f>
        <v/>
      </c>
      <c r="AB493">
        <f>IFERROR(SEARCH(search!$B$6,samples!N30,1),0)</f>
        <v>0</v>
      </c>
      <c r="AC493" t="str">
        <f>IF(samples!O30=0,"",samples!O30)</f>
        <v/>
      </c>
      <c r="AD493">
        <f>IFERROR(SEARCH(search!$B$6,samples!O30,1),0)</f>
        <v>0</v>
      </c>
    </row>
    <row r="494" spans="1:30">
      <c r="A494">
        <f t="shared" si="7"/>
        <v>0</v>
      </c>
      <c r="B494">
        <f>IF(SUM(D494,F494,H494,J494,L494,N494,P494,R494,T494,V494,X494,Z494,AB494,AD494)&gt;0,SUM($A$2:A494),0)</f>
        <v>0</v>
      </c>
      <c r="C494">
        <f>samples!B31</f>
        <v>0</v>
      </c>
      <c r="D494">
        <f>IFERROR(SEARCH(search!$B$6,samples!B31,1),0)</f>
        <v>0</v>
      </c>
      <c r="E494" t="str">
        <f>IF(samples!C31=0,"",samples!C31)</f>
        <v/>
      </c>
      <c r="F494">
        <f>IFERROR(SEARCH(search!$B$6,samples!C31,1),0)</f>
        <v>0</v>
      </c>
      <c r="G494" t="str">
        <f>IF(samples!D31=0,"",samples!D31)</f>
        <v/>
      </c>
      <c r="H494">
        <f>IFERROR(SEARCH(search!$B$6,samples!D31,1),0)</f>
        <v>0</v>
      </c>
      <c r="I494" t="str">
        <f>IF(samples!E31=0,"",samples!E31)</f>
        <v/>
      </c>
      <c r="J494">
        <f>IFERROR(SEARCH(search!$B$6,samples!E31,1),0)</f>
        <v>0</v>
      </c>
      <c r="K494" t="str">
        <f>IF(samples!F31=0,"",samples!F31)</f>
        <v/>
      </c>
      <c r="L494">
        <f>IFERROR(SEARCH(search!$B$6,samples!F31,1),0)</f>
        <v>0</v>
      </c>
      <c r="M494" t="str">
        <f>IF(samples!G31=0,"",samples!G31)</f>
        <v/>
      </c>
      <c r="N494">
        <f>IFERROR(SEARCH(search!$B$6,samples!G31,1),0)</f>
        <v>0</v>
      </c>
      <c r="O494" t="str">
        <f>IF(samples!H31=0,"",samples!H31)</f>
        <v/>
      </c>
      <c r="P494">
        <f>IFERROR(SEARCH(search!$B$6,samples!H31,1),0)</f>
        <v>0</v>
      </c>
      <c r="Q494" t="str">
        <f>IF(samples!I31=0,"",samples!I31)</f>
        <v/>
      </c>
      <c r="R494">
        <f>IFERROR(SEARCH(search!$B$6,samples!I31,1),0)</f>
        <v>0</v>
      </c>
      <c r="S494" t="str">
        <f>IF(samples!J31=0,"",samples!J31)</f>
        <v/>
      </c>
      <c r="T494">
        <f>IFERROR(SEARCH(search!$B$6,samples!J31,1),0)</f>
        <v>0</v>
      </c>
      <c r="U494" t="str">
        <f>IF(samples!K31=0,"",samples!K31)</f>
        <v/>
      </c>
      <c r="V494">
        <f>IFERROR(SEARCH(search!$B$6,samples!K31,1),0)</f>
        <v>0</v>
      </c>
      <c r="W494" t="str">
        <f>IF(samples!L31=0,"",samples!L31)</f>
        <v/>
      </c>
      <c r="X494">
        <f>IFERROR(SEARCH(search!$B$6,samples!L31,1),0)</f>
        <v>0</v>
      </c>
      <c r="Y494" t="str">
        <f>IF(samples!M31=0,"",samples!M31)</f>
        <v/>
      </c>
      <c r="Z494">
        <f>IFERROR(SEARCH(search!$B$6,samples!M31,1),0)</f>
        <v>0</v>
      </c>
      <c r="AA494" t="str">
        <f>IF(samples!N31=0,"",samples!N31)</f>
        <v/>
      </c>
      <c r="AB494">
        <f>IFERROR(SEARCH(search!$B$6,samples!N31,1),0)</f>
        <v>0</v>
      </c>
      <c r="AC494" t="str">
        <f>IF(samples!O31=0,"",samples!O31)</f>
        <v/>
      </c>
      <c r="AD494">
        <f>IFERROR(SEARCH(search!$B$6,samples!O31,1),0)</f>
        <v>0</v>
      </c>
    </row>
    <row r="495" spans="1:30">
      <c r="A495">
        <f t="shared" si="7"/>
        <v>0</v>
      </c>
      <c r="B495">
        <f>IF(SUM(D495,F495,H495,J495,L495,N495,P495,R495,T495,V495,X495,Z495,AB495,AD495)&gt;0,SUM($A$2:A495),0)</f>
        <v>0</v>
      </c>
      <c r="C495">
        <f>samples!B32</f>
        <v>0</v>
      </c>
      <c r="D495">
        <f>IFERROR(SEARCH(search!$B$6,samples!B32,1),0)</f>
        <v>0</v>
      </c>
      <c r="E495" t="str">
        <f>IF(samples!C32=0,"",samples!C32)</f>
        <v/>
      </c>
      <c r="F495">
        <f>IFERROR(SEARCH(search!$B$6,samples!C32,1),0)</f>
        <v>0</v>
      </c>
      <c r="G495" t="str">
        <f>IF(samples!D32=0,"",samples!D32)</f>
        <v/>
      </c>
      <c r="H495">
        <f>IFERROR(SEARCH(search!$B$6,samples!D32,1),0)</f>
        <v>0</v>
      </c>
      <c r="I495" t="str">
        <f>IF(samples!E32=0,"",samples!E32)</f>
        <v/>
      </c>
      <c r="J495">
        <f>IFERROR(SEARCH(search!$B$6,samples!E32,1),0)</f>
        <v>0</v>
      </c>
      <c r="K495" t="str">
        <f>IF(samples!F32=0,"",samples!F32)</f>
        <v/>
      </c>
      <c r="L495">
        <f>IFERROR(SEARCH(search!$B$6,samples!F32,1),0)</f>
        <v>0</v>
      </c>
      <c r="M495" t="str">
        <f>IF(samples!G32=0,"",samples!G32)</f>
        <v/>
      </c>
      <c r="N495">
        <f>IFERROR(SEARCH(search!$B$6,samples!G32,1),0)</f>
        <v>0</v>
      </c>
      <c r="O495" t="str">
        <f>IF(samples!H32=0,"",samples!H32)</f>
        <v/>
      </c>
      <c r="P495">
        <f>IFERROR(SEARCH(search!$B$6,samples!H32,1),0)</f>
        <v>0</v>
      </c>
      <c r="Q495" t="str">
        <f>IF(samples!I32=0,"",samples!I32)</f>
        <v/>
      </c>
      <c r="R495">
        <f>IFERROR(SEARCH(search!$B$6,samples!I32,1),0)</f>
        <v>0</v>
      </c>
      <c r="S495" t="str">
        <f>IF(samples!J32=0,"",samples!J32)</f>
        <v/>
      </c>
      <c r="T495">
        <f>IFERROR(SEARCH(search!$B$6,samples!J32,1),0)</f>
        <v>0</v>
      </c>
      <c r="U495" t="str">
        <f>IF(samples!K32=0,"",samples!K32)</f>
        <v/>
      </c>
      <c r="V495">
        <f>IFERROR(SEARCH(search!$B$6,samples!K32,1),0)</f>
        <v>0</v>
      </c>
      <c r="W495" t="str">
        <f>IF(samples!L32=0,"",samples!L32)</f>
        <v/>
      </c>
      <c r="X495">
        <f>IFERROR(SEARCH(search!$B$6,samples!L32,1),0)</f>
        <v>0</v>
      </c>
      <c r="Y495" t="str">
        <f>IF(samples!M32=0,"",samples!M32)</f>
        <v/>
      </c>
      <c r="Z495">
        <f>IFERROR(SEARCH(search!$B$6,samples!M32,1),0)</f>
        <v>0</v>
      </c>
      <c r="AA495" t="str">
        <f>IF(samples!N32=0,"",samples!N32)</f>
        <v/>
      </c>
      <c r="AB495">
        <f>IFERROR(SEARCH(search!$B$6,samples!N32,1),0)</f>
        <v>0</v>
      </c>
      <c r="AC495" t="str">
        <f>IF(samples!O32=0,"",samples!O32)</f>
        <v/>
      </c>
      <c r="AD495">
        <f>IFERROR(SEARCH(search!$B$6,samples!O32,1),0)</f>
        <v>0</v>
      </c>
    </row>
    <row r="496" spans="1:30">
      <c r="A496">
        <f t="shared" si="7"/>
        <v>0</v>
      </c>
      <c r="B496">
        <f>IF(SUM(D496,F496,H496,J496,L496,N496,P496,R496,T496,V496,X496,Z496,AB496,AD496)&gt;0,SUM($A$2:A496),0)</f>
        <v>0</v>
      </c>
      <c r="C496">
        <f>samples!B33</f>
        <v>0</v>
      </c>
      <c r="D496">
        <f>IFERROR(SEARCH(search!$B$6,samples!B33,1),0)</f>
        <v>0</v>
      </c>
      <c r="E496" t="str">
        <f>IF(samples!C33=0,"",samples!C33)</f>
        <v/>
      </c>
      <c r="F496">
        <f>IFERROR(SEARCH(search!$B$6,samples!C33,1),0)</f>
        <v>0</v>
      </c>
      <c r="G496" t="str">
        <f>IF(samples!D33=0,"",samples!D33)</f>
        <v/>
      </c>
      <c r="H496">
        <f>IFERROR(SEARCH(search!$B$6,samples!D33,1),0)</f>
        <v>0</v>
      </c>
      <c r="I496" t="str">
        <f>IF(samples!E33=0,"",samples!E33)</f>
        <v/>
      </c>
      <c r="J496">
        <f>IFERROR(SEARCH(search!$B$6,samples!E33,1),0)</f>
        <v>0</v>
      </c>
      <c r="K496" t="str">
        <f>IF(samples!F33=0,"",samples!F33)</f>
        <v/>
      </c>
      <c r="L496">
        <f>IFERROR(SEARCH(search!$B$6,samples!F33,1),0)</f>
        <v>0</v>
      </c>
      <c r="M496" t="str">
        <f>IF(samples!G33=0,"",samples!G33)</f>
        <v/>
      </c>
      <c r="N496">
        <f>IFERROR(SEARCH(search!$B$6,samples!G33,1),0)</f>
        <v>0</v>
      </c>
      <c r="O496" t="str">
        <f>IF(samples!H33=0,"",samples!H33)</f>
        <v/>
      </c>
      <c r="P496">
        <f>IFERROR(SEARCH(search!$B$6,samples!H33,1),0)</f>
        <v>0</v>
      </c>
      <c r="Q496" t="str">
        <f>IF(samples!I33=0,"",samples!I33)</f>
        <v/>
      </c>
      <c r="R496">
        <f>IFERROR(SEARCH(search!$B$6,samples!I33,1),0)</f>
        <v>0</v>
      </c>
      <c r="S496" t="str">
        <f>IF(samples!J33=0,"",samples!J33)</f>
        <v/>
      </c>
      <c r="T496">
        <f>IFERROR(SEARCH(search!$B$6,samples!J33,1),0)</f>
        <v>0</v>
      </c>
      <c r="U496" t="str">
        <f>IF(samples!K33=0,"",samples!K33)</f>
        <v/>
      </c>
      <c r="V496">
        <f>IFERROR(SEARCH(search!$B$6,samples!K33,1),0)</f>
        <v>0</v>
      </c>
      <c r="W496" t="str">
        <f>IF(samples!L33=0,"",samples!L33)</f>
        <v/>
      </c>
      <c r="X496">
        <f>IFERROR(SEARCH(search!$B$6,samples!L33,1),0)</f>
        <v>0</v>
      </c>
      <c r="Y496" t="str">
        <f>IF(samples!M33=0,"",samples!M33)</f>
        <v/>
      </c>
      <c r="Z496">
        <f>IFERROR(SEARCH(search!$B$6,samples!M33,1),0)</f>
        <v>0</v>
      </c>
      <c r="AA496" t="str">
        <f>IF(samples!N33=0,"",samples!N33)</f>
        <v/>
      </c>
      <c r="AB496">
        <f>IFERROR(SEARCH(search!$B$6,samples!N33,1),0)</f>
        <v>0</v>
      </c>
      <c r="AC496" t="str">
        <f>IF(samples!O33=0,"",samples!O33)</f>
        <v/>
      </c>
      <c r="AD496">
        <f>IFERROR(SEARCH(search!$B$6,samples!O33,1),0)</f>
        <v>0</v>
      </c>
    </row>
    <row r="497" spans="1:30">
      <c r="A497">
        <f t="shared" si="7"/>
        <v>0</v>
      </c>
      <c r="B497">
        <f>IF(SUM(D497,F497,H497,J497,L497,N497,P497,R497,T497,V497,X497,Z497,AB497,AD497)&gt;0,SUM($A$2:A497),0)</f>
        <v>0</v>
      </c>
      <c r="C497">
        <f>samples!B34</f>
        <v>0</v>
      </c>
      <c r="D497">
        <f>IFERROR(SEARCH(search!$B$6,samples!B34,1),0)</f>
        <v>0</v>
      </c>
      <c r="E497" t="str">
        <f>IF(samples!C34=0,"",samples!C34)</f>
        <v/>
      </c>
      <c r="F497">
        <f>IFERROR(SEARCH(search!$B$6,samples!C34,1),0)</f>
        <v>0</v>
      </c>
      <c r="G497" t="str">
        <f>IF(samples!D34=0,"",samples!D34)</f>
        <v/>
      </c>
      <c r="H497">
        <f>IFERROR(SEARCH(search!$B$6,samples!D34,1),0)</f>
        <v>0</v>
      </c>
      <c r="I497" t="str">
        <f>IF(samples!E34=0,"",samples!E34)</f>
        <v/>
      </c>
      <c r="J497">
        <f>IFERROR(SEARCH(search!$B$6,samples!E34,1),0)</f>
        <v>0</v>
      </c>
      <c r="K497" t="str">
        <f>IF(samples!F34=0,"",samples!F34)</f>
        <v/>
      </c>
      <c r="L497">
        <f>IFERROR(SEARCH(search!$B$6,samples!F34,1),0)</f>
        <v>0</v>
      </c>
      <c r="M497" t="str">
        <f>IF(samples!G34=0,"",samples!G34)</f>
        <v/>
      </c>
      <c r="N497">
        <f>IFERROR(SEARCH(search!$B$6,samples!G34,1),0)</f>
        <v>0</v>
      </c>
      <c r="O497" t="str">
        <f>IF(samples!H34=0,"",samples!H34)</f>
        <v/>
      </c>
      <c r="P497">
        <f>IFERROR(SEARCH(search!$B$6,samples!H34,1),0)</f>
        <v>0</v>
      </c>
      <c r="Q497" t="str">
        <f>IF(samples!I34=0,"",samples!I34)</f>
        <v/>
      </c>
      <c r="R497">
        <f>IFERROR(SEARCH(search!$B$6,samples!I34,1),0)</f>
        <v>0</v>
      </c>
      <c r="S497" t="str">
        <f>IF(samples!J34=0,"",samples!J34)</f>
        <v/>
      </c>
      <c r="T497">
        <f>IFERROR(SEARCH(search!$B$6,samples!J34,1),0)</f>
        <v>0</v>
      </c>
      <c r="U497" t="str">
        <f>IF(samples!K34=0,"",samples!K34)</f>
        <v/>
      </c>
      <c r="V497">
        <f>IFERROR(SEARCH(search!$B$6,samples!K34,1),0)</f>
        <v>0</v>
      </c>
      <c r="W497" t="str">
        <f>IF(samples!L34=0,"",samples!L34)</f>
        <v/>
      </c>
      <c r="X497">
        <f>IFERROR(SEARCH(search!$B$6,samples!L34,1),0)</f>
        <v>0</v>
      </c>
      <c r="Y497" t="str">
        <f>IF(samples!M34=0,"",samples!M34)</f>
        <v/>
      </c>
      <c r="Z497">
        <f>IFERROR(SEARCH(search!$B$6,samples!M34,1),0)</f>
        <v>0</v>
      </c>
      <c r="AA497" t="str">
        <f>IF(samples!N34=0,"",samples!N34)</f>
        <v/>
      </c>
      <c r="AB497">
        <f>IFERROR(SEARCH(search!$B$6,samples!N34,1),0)</f>
        <v>0</v>
      </c>
      <c r="AC497" t="str">
        <f>IF(samples!O34=0,"",samples!O34)</f>
        <v/>
      </c>
      <c r="AD497">
        <f>IFERROR(SEARCH(search!$B$6,samples!O34,1),0)</f>
        <v>0</v>
      </c>
    </row>
    <row r="498" spans="1:30">
      <c r="A498">
        <f t="shared" si="7"/>
        <v>0</v>
      </c>
      <c r="B498">
        <f>IF(SUM(D498,F498,H498,J498,L498,N498,P498,R498,T498,V498,X498,Z498,AB498,AD498)&gt;0,SUM($A$2:A498),0)</f>
        <v>0</v>
      </c>
      <c r="C498">
        <f>samples!B35</f>
        <v>0</v>
      </c>
      <c r="D498">
        <f>IFERROR(SEARCH(search!$B$6,samples!B35,1),0)</f>
        <v>0</v>
      </c>
      <c r="E498" t="str">
        <f>IF(samples!C35=0,"",samples!C35)</f>
        <v/>
      </c>
      <c r="F498">
        <f>IFERROR(SEARCH(search!$B$6,samples!C35,1),0)</f>
        <v>0</v>
      </c>
      <c r="G498" t="str">
        <f>IF(samples!D35=0,"",samples!D35)</f>
        <v/>
      </c>
      <c r="H498">
        <f>IFERROR(SEARCH(search!$B$6,samples!D35,1),0)</f>
        <v>0</v>
      </c>
      <c r="I498" t="str">
        <f>IF(samples!E35=0,"",samples!E35)</f>
        <v/>
      </c>
      <c r="J498">
        <f>IFERROR(SEARCH(search!$B$6,samples!E35,1),0)</f>
        <v>0</v>
      </c>
      <c r="K498" t="str">
        <f>IF(samples!F35=0,"",samples!F35)</f>
        <v/>
      </c>
      <c r="L498">
        <f>IFERROR(SEARCH(search!$B$6,samples!F35,1),0)</f>
        <v>0</v>
      </c>
      <c r="M498" t="str">
        <f>IF(samples!G35=0,"",samples!G35)</f>
        <v/>
      </c>
      <c r="N498">
        <f>IFERROR(SEARCH(search!$B$6,samples!G35,1),0)</f>
        <v>0</v>
      </c>
      <c r="O498" t="str">
        <f>IF(samples!H35=0,"",samples!H35)</f>
        <v/>
      </c>
      <c r="P498">
        <f>IFERROR(SEARCH(search!$B$6,samples!H35,1),0)</f>
        <v>0</v>
      </c>
      <c r="Q498" t="str">
        <f>IF(samples!I35=0,"",samples!I35)</f>
        <v/>
      </c>
      <c r="R498">
        <f>IFERROR(SEARCH(search!$B$6,samples!I35,1),0)</f>
        <v>0</v>
      </c>
      <c r="S498" t="str">
        <f>IF(samples!J35=0,"",samples!J35)</f>
        <v/>
      </c>
      <c r="T498">
        <f>IFERROR(SEARCH(search!$B$6,samples!J35,1),0)</f>
        <v>0</v>
      </c>
      <c r="U498" t="str">
        <f>IF(samples!K35=0,"",samples!K35)</f>
        <v/>
      </c>
      <c r="V498">
        <f>IFERROR(SEARCH(search!$B$6,samples!K35,1),0)</f>
        <v>0</v>
      </c>
      <c r="W498" t="str">
        <f>IF(samples!L35=0,"",samples!L35)</f>
        <v/>
      </c>
      <c r="X498">
        <f>IFERROR(SEARCH(search!$B$6,samples!L35,1),0)</f>
        <v>0</v>
      </c>
      <c r="Y498" t="str">
        <f>IF(samples!M35=0,"",samples!M35)</f>
        <v/>
      </c>
      <c r="Z498">
        <f>IFERROR(SEARCH(search!$B$6,samples!M35,1),0)</f>
        <v>0</v>
      </c>
      <c r="AA498" t="str">
        <f>IF(samples!N35=0,"",samples!N35)</f>
        <v/>
      </c>
      <c r="AB498">
        <f>IFERROR(SEARCH(search!$B$6,samples!N35,1),0)</f>
        <v>0</v>
      </c>
      <c r="AC498" t="str">
        <f>IF(samples!O35=0,"",samples!O35)</f>
        <v/>
      </c>
      <c r="AD498">
        <f>IFERROR(SEARCH(search!$B$6,samples!O35,1),0)</f>
        <v>0</v>
      </c>
    </row>
    <row r="499" spans="1:30">
      <c r="A499">
        <f t="shared" si="7"/>
        <v>0</v>
      </c>
      <c r="B499">
        <f>IF(SUM(D499,F499,H499,J499,L499,N499,P499,R499,T499,V499,X499,Z499,AB499,AD499)&gt;0,SUM($A$2:A499),0)</f>
        <v>0</v>
      </c>
      <c r="C499">
        <f>samples!B36</f>
        <v>0</v>
      </c>
      <c r="D499">
        <f>IFERROR(SEARCH(search!$B$6,samples!B36,1),0)</f>
        <v>0</v>
      </c>
      <c r="E499" t="str">
        <f>IF(samples!C36=0,"",samples!C36)</f>
        <v/>
      </c>
      <c r="F499">
        <f>IFERROR(SEARCH(search!$B$6,samples!C36,1),0)</f>
        <v>0</v>
      </c>
      <c r="G499" t="str">
        <f>IF(samples!D36=0,"",samples!D36)</f>
        <v/>
      </c>
      <c r="H499">
        <f>IFERROR(SEARCH(search!$B$6,samples!D36,1),0)</f>
        <v>0</v>
      </c>
      <c r="I499" t="str">
        <f>IF(samples!E36=0,"",samples!E36)</f>
        <v/>
      </c>
      <c r="J499">
        <f>IFERROR(SEARCH(search!$B$6,samples!E36,1),0)</f>
        <v>0</v>
      </c>
      <c r="K499" t="str">
        <f>IF(samples!F36=0,"",samples!F36)</f>
        <v/>
      </c>
      <c r="L499">
        <f>IFERROR(SEARCH(search!$B$6,samples!F36,1),0)</f>
        <v>0</v>
      </c>
      <c r="M499" t="str">
        <f>IF(samples!G36=0,"",samples!G36)</f>
        <v/>
      </c>
      <c r="N499">
        <f>IFERROR(SEARCH(search!$B$6,samples!G36,1),0)</f>
        <v>0</v>
      </c>
      <c r="O499" t="str">
        <f>IF(samples!H36=0,"",samples!H36)</f>
        <v/>
      </c>
      <c r="P499">
        <f>IFERROR(SEARCH(search!$B$6,samples!H36,1),0)</f>
        <v>0</v>
      </c>
      <c r="Q499" t="str">
        <f>IF(samples!I36=0,"",samples!I36)</f>
        <v/>
      </c>
      <c r="R499">
        <f>IFERROR(SEARCH(search!$B$6,samples!I36,1),0)</f>
        <v>0</v>
      </c>
      <c r="S499" t="str">
        <f>IF(samples!J36=0,"",samples!J36)</f>
        <v/>
      </c>
      <c r="T499">
        <f>IFERROR(SEARCH(search!$B$6,samples!J36,1),0)</f>
        <v>0</v>
      </c>
      <c r="U499" t="str">
        <f>IF(samples!K36=0,"",samples!K36)</f>
        <v/>
      </c>
      <c r="V499">
        <f>IFERROR(SEARCH(search!$B$6,samples!K36,1),0)</f>
        <v>0</v>
      </c>
      <c r="W499" t="str">
        <f>IF(samples!L36=0,"",samples!L36)</f>
        <v/>
      </c>
      <c r="X499">
        <f>IFERROR(SEARCH(search!$B$6,samples!L36,1),0)</f>
        <v>0</v>
      </c>
      <c r="Y499" t="str">
        <f>IF(samples!M36=0,"",samples!M36)</f>
        <v/>
      </c>
      <c r="Z499">
        <f>IFERROR(SEARCH(search!$B$6,samples!M36,1),0)</f>
        <v>0</v>
      </c>
      <c r="AA499" t="str">
        <f>IF(samples!N36=0,"",samples!N36)</f>
        <v/>
      </c>
      <c r="AB499">
        <f>IFERROR(SEARCH(search!$B$6,samples!N36,1),0)</f>
        <v>0</v>
      </c>
      <c r="AC499" t="str">
        <f>IF(samples!O36=0,"",samples!O36)</f>
        <v/>
      </c>
      <c r="AD499">
        <f>IFERROR(SEARCH(search!$B$6,samples!O36,1),0)</f>
        <v>0</v>
      </c>
    </row>
    <row r="500" spans="1:30">
      <c r="A500">
        <f t="shared" si="7"/>
        <v>0</v>
      </c>
      <c r="B500">
        <f>IF(SUM(D500,F500,H500,J500,L500,N500,P500,R500,T500,V500,X500,Z500,AB500,AD500)&gt;0,SUM($A$2:A500),0)</f>
        <v>0</v>
      </c>
      <c r="C500">
        <f>samples!B37</f>
        <v>0</v>
      </c>
      <c r="D500">
        <f>IFERROR(SEARCH(search!$B$6,samples!B37,1),0)</f>
        <v>0</v>
      </c>
      <c r="E500" t="str">
        <f>IF(samples!C37=0,"",samples!C37)</f>
        <v/>
      </c>
      <c r="F500">
        <f>IFERROR(SEARCH(search!$B$6,samples!C37,1),0)</f>
        <v>0</v>
      </c>
      <c r="G500" t="str">
        <f>IF(samples!D37=0,"",samples!D37)</f>
        <v/>
      </c>
      <c r="H500">
        <f>IFERROR(SEARCH(search!$B$6,samples!D37,1),0)</f>
        <v>0</v>
      </c>
      <c r="I500" t="str">
        <f>IF(samples!E37=0,"",samples!E37)</f>
        <v/>
      </c>
      <c r="J500">
        <f>IFERROR(SEARCH(search!$B$6,samples!E37,1),0)</f>
        <v>0</v>
      </c>
      <c r="K500" t="str">
        <f>IF(samples!F37=0,"",samples!F37)</f>
        <v/>
      </c>
      <c r="L500">
        <f>IFERROR(SEARCH(search!$B$6,samples!F37,1),0)</f>
        <v>0</v>
      </c>
      <c r="M500" t="str">
        <f>IF(samples!G37=0,"",samples!G37)</f>
        <v/>
      </c>
      <c r="N500">
        <f>IFERROR(SEARCH(search!$B$6,samples!G37,1),0)</f>
        <v>0</v>
      </c>
      <c r="O500" t="str">
        <f>IF(samples!H37=0,"",samples!H37)</f>
        <v/>
      </c>
      <c r="P500">
        <f>IFERROR(SEARCH(search!$B$6,samples!H37,1),0)</f>
        <v>0</v>
      </c>
      <c r="Q500" t="str">
        <f>IF(samples!I37=0,"",samples!I37)</f>
        <v/>
      </c>
      <c r="R500">
        <f>IFERROR(SEARCH(search!$B$6,samples!I37,1),0)</f>
        <v>0</v>
      </c>
      <c r="S500" t="str">
        <f>IF(samples!J37=0,"",samples!J37)</f>
        <v/>
      </c>
      <c r="T500">
        <f>IFERROR(SEARCH(search!$B$6,samples!J37,1),0)</f>
        <v>0</v>
      </c>
      <c r="U500" t="str">
        <f>IF(samples!K37=0,"",samples!K37)</f>
        <v/>
      </c>
      <c r="V500">
        <f>IFERROR(SEARCH(search!$B$6,samples!K37,1),0)</f>
        <v>0</v>
      </c>
      <c r="W500" t="str">
        <f>IF(samples!L37=0,"",samples!L37)</f>
        <v/>
      </c>
      <c r="X500">
        <f>IFERROR(SEARCH(search!$B$6,samples!L37,1),0)</f>
        <v>0</v>
      </c>
      <c r="Y500" t="str">
        <f>IF(samples!M37=0,"",samples!M37)</f>
        <v/>
      </c>
      <c r="Z500">
        <f>IFERROR(SEARCH(search!$B$6,samples!M37,1),0)</f>
        <v>0</v>
      </c>
      <c r="AA500" t="str">
        <f>IF(samples!N37=0,"",samples!N37)</f>
        <v/>
      </c>
      <c r="AB500">
        <f>IFERROR(SEARCH(search!$B$6,samples!N37,1),0)</f>
        <v>0</v>
      </c>
      <c r="AC500" t="str">
        <f>IF(samples!O37=0,"",samples!O37)</f>
        <v/>
      </c>
      <c r="AD500">
        <f>IFERROR(SEARCH(search!$B$6,samples!O37,1),0)</f>
        <v>0</v>
      </c>
    </row>
    <row r="501" spans="1:30">
      <c r="A501">
        <f t="shared" si="7"/>
        <v>0</v>
      </c>
      <c r="B501">
        <f>IF(SUM(D501,F501,H501,J501,L501,N501,P501,R501,T501,V501,X501,Z501,AB501,AD501)&gt;0,SUM($A$2:A501),0)</f>
        <v>0</v>
      </c>
      <c r="C501">
        <f>samples!B38</f>
        <v>0</v>
      </c>
      <c r="D501">
        <f>IFERROR(SEARCH(search!$B$6,samples!B38,1),0)</f>
        <v>0</v>
      </c>
      <c r="E501" t="str">
        <f>IF(samples!C38=0,"",samples!C38)</f>
        <v/>
      </c>
      <c r="F501">
        <f>IFERROR(SEARCH(search!$B$6,samples!C38,1),0)</f>
        <v>0</v>
      </c>
      <c r="G501" t="str">
        <f>IF(samples!D38=0,"",samples!D38)</f>
        <v/>
      </c>
      <c r="H501">
        <f>IFERROR(SEARCH(search!$B$6,samples!D38,1),0)</f>
        <v>0</v>
      </c>
      <c r="I501" t="str">
        <f>IF(samples!E38=0,"",samples!E38)</f>
        <v/>
      </c>
      <c r="J501">
        <f>IFERROR(SEARCH(search!$B$6,samples!E38,1),0)</f>
        <v>0</v>
      </c>
      <c r="K501" t="str">
        <f>IF(samples!F38=0,"",samples!F38)</f>
        <v/>
      </c>
      <c r="L501">
        <f>IFERROR(SEARCH(search!$B$6,samples!F38,1),0)</f>
        <v>0</v>
      </c>
      <c r="M501" t="str">
        <f>IF(samples!G38=0,"",samples!G38)</f>
        <v/>
      </c>
      <c r="N501">
        <f>IFERROR(SEARCH(search!$B$6,samples!G38,1),0)</f>
        <v>0</v>
      </c>
      <c r="O501" t="str">
        <f>IF(samples!H38=0,"",samples!H38)</f>
        <v/>
      </c>
      <c r="P501">
        <f>IFERROR(SEARCH(search!$B$6,samples!H38,1),0)</f>
        <v>0</v>
      </c>
      <c r="Q501" t="str">
        <f>IF(samples!I38=0,"",samples!I38)</f>
        <v/>
      </c>
      <c r="R501">
        <f>IFERROR(SEARCH(search!$B$6,samples!I38,1),0)</f>
        <v>0</v>
      </c>
      <c r="S501" t="str">
        <f>IF(samples!J38=0,"",samples!J38)</f>
        <v/>
      </c>
      <c r="T501">
        <f>IFERROR(SEARCH(search!$B$6,samples!J38,1),0)</f>
        <v>0</v>
      </c>
      <c r="U501" t="str">
        <f>IF(samples!K38=0,"",samples!K38)</f>
        <v/>
      </c>
      <c r="V501">
        <f>IFERROR(SEARCH(search!$B$6,samples!K38,1),0)</f>
        <v>0</v>
      </c>
      <c r="W501" t="str">
        <f>IF(samples!L38=0,"",samples!L38)</f>
        <v/>
      </c>
      <c r="X501">
        <f>IFERROR(SEARCH(search!$B$6,samples!L38,1),0)</f>
        <v>0</v>
      </c>
      <c r="Y501" t="str">
        <f>IF(samples!M38=0,"",samples!M38)</f>
        <v/>
      </c>
      <c r="Z501">
        <f>IFERROR(SEARCH(search!$B$6,samples!M38,1),0)</f>
        <v>0</v>
      </c>
      <c r="AA501" t="str">
        <f>IF(samples!N38=0,"",samples!N38)</f>
        <v/>
      </c>
      <c r="AB501">
        <f>IFERROR(SEARCH(search!$B$6,samples!N38,1),0)</f>
        <v>0</v>
      </c>
      <c r="AC501" t="str">
        <f>IF(samples!O38=0,"",samples!O38)</f>
        <v/>
      </c>
      <c r="AD501">
        <f>IFERROR(SEARCH(search!$B$6,samples!O38,1),0)</f>
        <v>0</v>
      </c>
    </row>
    <row r="502" spans="1:30">
      <c r="A502">
        <f t="shared" si="7"/>
        <v>0</v>
      </c>
      <c r="B502">
        <f>IF(SUM(D502,F502,H502,J502,L502,N502,P502,R502,T502,V502,X502,Z502,AB502,AD502)&gt;0,SUM($A$2:A502),0)</f>
        <v>0</v>
      </c>
      <c r="C502">
        <f>samples!B39</f>
        <v>0</v>
      </c>
      <c r="D502">
        <f>IFERROR(SEARCH(search!$B$6,samples!B39,1),0)</f>
        <v>0</v>
      </c>
      <c r="E502" t="str">
        <f>IF(samples!C39=0,"",samples!C39)</f>
        <v/>
      </c>
      <c r="F502">
        <f>IFERROR(SEARCH(search!$B$6,samples!C39,1),0)</f>
        <v>0</v>
      </c>
      <c r="G502" t="str">
        <f>IF(samples!D39=0,"",samples!D39)</f>
        <v/>
      </c>
      <c r="H502">
        <f>IFERROR(SEARCH(search!$B$6,samples!D39,1),0)</f>
        <v>0</v>
      </c>
      <c r="I502" t="str">
        <f>IF(samples!E39=0,"",samples!E39)</f>
        <v/>
      </c>
      <c r="J502">
        <f>IFERROR(SEARCH(search!$B$6,samples!E39,1),0)</f>
        <v>0</v>
      </c>
      <c r="K502" t="str">
        <f>IF(samples!F39=0,"",samples!F39)</f>
        <v/>
      </c>
      <c r="L502">
        <f>IFERROR(SEARCH(search!$B$6,samples!F39,1),0)</f>
        <v>0</v>
      </c>
      <c r="M502" t="str">
        <f>IF(samples!G39=0,"",samples!G39)</f>
        <v/>
      </c>
      <c r="N502">
        <f>IFERROR(SEARCH(search!$B$6,samples!G39,1),0)</f>
        <v>0</v>
      </c>
      <c r="O502" t="str">
        <f>IF(samples!H39=0,"",samples!H39)</f>
        <v/>
      </c>
      <c r="P502">
        <f>IFERROR(SEARCH(search!$B$6,samples!H39,1),0)</f>
        <v>0</v>
      </c>
      <c r="Q502" t="str">
        <f>IF(samples!I39=0,"",samples!I39)</f>
        <v/>
      </c>
      <c r="R502">
        <f>IFERROR(SEARCH(search!$B$6,samples!I39,1),0)</f>
        <v>0</v>
      </c>
      <c r="S502" t="str">
        <f>IF(samples!J39=0,"",samples!J39)</f>
        <v/>
      </c>
      <c r="T502">
        <f>IFERROR(SEARCH(search!$B$6,samples!J39,1),0)</f>
        <v>0</v>
      </c>
      <c r="U502" t="str">
        <f>IF(samples!K39=0,"",samples!K39)</f>
        <v/>
      </c>
      <c r="V502">
        <f>IFERROR(SEARCH(search!$B$6,samples!K39,1),0)</f>
        <v>0</v>
      </c>
      <c r="W502" t="str">
        <f>IF(samples!L39=0,"",samples!L39)</f>
        <v/>
      </c>
      <c r="X502">
        <f>IFERROR(SEARCH(search!$B$6,samples!L39,1),0)</f>
        <v>0</v>
      </c>
      <c r="Y502" t="str">
        <f>IF(samples!M39=0,"",samples!M39)</f>
        <v/>
      </c>
      <c r="Z502">
        <f>IFERROR(SEARCH(search!$B$6,samples!M39,1),0)</f>
        <v>0</v>
      </c>
      <c r="AA502" t="str">
        <f>IF(samples!N39=0,"",samples!N39)</f>
        <v/>
      </c>
      <c r="AB502">
        <f>IFERROR(SEARCH(search!$B$6,samples!N39,1),0)</f>
        <v>0</v>
      </c>
      <c r="AC502" t="str">
        <f>IF(samples!O39=0,"",samples!O39)</f>
        <v/>
      </c>
      <c r="AD502">
        <f>IFERROR(SEARCH(search!$B$6,samples!O39,1),0)</f>
        <v>0</v>
      </c>
    </row>
    <row r="503" spans="1:30">
      <c r="A503">
        <f t="shared" si="7"/>
        <v>0</v>
      </c>
      <c r="B503">
        <f>IF(SUM(D503,F503,H503,J503,L503,N503,P503,R503,T503,V503,X503,Z503,AB503,AD503)&gt;0,SUM($A$2:A503),0)</f>
        <v>0</v>
      </c>
      <c r="C503">
        <f>samples!B40</f>
        <v>0</v>
      </c>
      <c r="D503">
        <f>IFERROR(SEARCH(search!$B$6,samples!B40,1),0)</f>
        <v>0</v>
      </c>
      <c r="E503" t="str">
        <f>IF(samples!C40=0,"",samples!C40)</f>
        <v/>
      </c>
      <c r="F503">
        <f>IFERROR(SEARCH(search!$B$6,samples!C40,1),0)</f>
        <v>0</v>
      </c>
      <c r="G503" t="str">
        <f>IF(samples!D40=0,"",samples!D40)</f>
        <v/>
      </c>
      <c r="H503">
        <f>IFERROR(SEARCH(search!$B$6,samples!D40,1),0)</f>
        <v>0</v>
      </c>
      <c r="I503" t="str">
        <f>IF(samples!E40=0,"",samples!E40)</f>
        <v/>
      </c>
      <c r="J503">
        <f>IFERROR(SEARCH(search!$B$6,samples!E40,1),0)</f>
        <v>0</v>
      </c>
      <c r="K503" t="str">
        <f>IF(samples!F40=0,"",samples!F40)</f>
        <v/>
      </c>
      <c r="L503">
        <f>IFERROR(SEARCH(search!$B$6,samples!F40,1),0)</f>
        <v>0</v>
      </c>
      <c r="M503" t="str">
        <f>IF(samples!G40=0,"",samples!G40)</f>
        <v/>
      </c>
      <c r="N503">
        <f>IFERROR(SEARCH(search!$B$6,samples!G40,1),0)</f>
        <v>0</v>
      </c>
      <c r="O503" t="str">
        <f>IF(samples!H40=0,"",samples!H40)</f>
        <v/>
      </c>
      <c r="P503">
        <f>IFERROR(SEARCH(search!$B$6,samples!H40,1),0)</f>
        <v>0</v>
      </c>
      <c r="Q503" t="str">
        <f>IF(samples!I40=0,"",samples!I40)</f>
        <v/>
      </c>
      <c r="R503">
        <f>IFERROR(SEARCH(search!$B$6,samples!I40,1),0)</f>
        <v>0</v>
      </c>
      <c r="S503" t="str">
        <f>IF(samples!J40=0,"",samples!J40)</f>
        <v/>
      </c>
      <c r="T503">
        <f>IFERROR(SEARCH(search!$B$6,samples!J40,1),0)</f>
        <v>0</v>
      </c>
      <c r="U503" t="str">
        <f>IF(samples!K40=0,"",samples!K40)</f>
        <v/>
      </c>
      <c r="V503">
        <f>IFERROR(SEARCH(search!$B$6,samples!K40,1),0)</f>
        <v>0</v>
      </c>
      <c r="W503" t="str">
        <f>IF(samples!L40=0,"",samples!L40)</f>
        <v/>
      </c>
      <c r="X503">
        <f>IFERROR(SEARCH(search!$B$6,samples!L40,1),0)</f>
        <v>0</v>
      </c>
      <c r="Y503" t="str">
        <f>IF(samples!M40=0,"",samples!M40)</f>
        <v/>
      </c>
      <c r="Z503">
        <f>IFERROR(SEARCH(search!$B$6,samples!M40,1),0)</f>
        <v>0</v>
      </c>
      <c r="AA503" t="str">
        <f>IF(samples!N40=0,"",samples!N40)</f>
        <v/>
      </c>
      <c r="AB503">
        <f>IFERROR(SEARCH(search!$B$6,samples!N40,1),0)</f>
        <v>0</v>
      </c>
      <c r="AC503" t="str">
        <f>IF(samples!O40=0,"",samples!O40)</f>
        <v/>
      </c>
      <c r="AD503">
        <f>IFERROR(SEARCH(search!$B$6,samples!O40,1),0)</f>
        <v>0</v>
      </c>
    </row>
    <row r="504" spans="1:30">
      <c r="A504">
        <f t="shared" si="7"/>
        <v>0</v>
      </c>
      <c r="B504">
        <f>IF(SUM(D504,F504,H504,J504,L504,N504,P504,R504,T504,V504,X504,Z504,AB504,AD504)&gt;0,SUM($A$2:A504),0)</f>
        <v>0</v>
      </c>
      <c r="C504">
        <f>samples!B41</f>
        <v>0</v>
      </c>
      <c r="D504">
        <f>IFERROR(SEARCH(search!$B$6,samples!B41,1),0)</f>
        <v>0</v>
      </c>
      <c r="E504" t="str">
        <f>IF(samples!C41=0,"",samples!C41)</f>
        <v/>
      </c>
      <c r="F504">
        <f>IFERROR(SEARCH(search!$B$6,samples!C41,1),0)</f>
        <v>0</v>
      </c>
      <c r="G504" t="str">
        <f>IF(samples!D41=0,"",samples!D41)</f>
        <v/>
      </c>
      <c r="H504">
        <f>IFERROR(SEARCH(search!$B$6,samples!D41,1),0)</f>
        <v>0</v>
      </c>
      <c r="I504" t="str">
        <f>IF(samples!E41=0,"",samples!E41)</f>
        <v/>
      </c>
      <c r="J504">
        <f>IFERROR(SEARCH(search!$B$6,samples!E41,1),0)</f>
        <v>0</v>
      </c>
      <c r="K504" t="str">
        <f>IF(samples!F41=0,"",samples!F41)</f>
        <v/>
      </c>
      <c r="L504">
        <f>IFERROR(SEARCH(search!$B$6,samples!F41,1),0)</f>
        <v>0</v>
      </c>
      <c r="M504" t="str">
        <f>IF(samples!G41=0,"",samples!G41)</f>
        <v/>
      </c>
      <c r="N504">
        <f>IFERROR(SEARCH(search!$B$6,samples!G41,1),0)</f>
        <v>0</v>
      </c>
      <c r="O504" t="str">
        <f>IF(samples!H41=0,"",samples!H41)</f>
        <v/>
      </c>
      <c r="P504">
        <f>IFERROR(SEARCH(search!$B$6,samples!H41,1),0)</f>
        <v>0</v>
      </c>
      <c r="Q504" t="str">
        <f>IF(samples!I41=0,"",samples!I41)</f>
        <v/>
      </c>
      <c r="R504">
        <f>IFERROR(SEARCH(search!$B$6,samples!I41,1),0)</f>
        <v>0</v>
      </c>
      <c r="S504" t="str">
        <f>IF(samples!J41=0,"",samples!J41)</f>
        <v/>
      </c>
      <c r="T504">
        <f>IFERROR(SEARCH(search!$B$6,samples!J41,1),0)</f>
        <v>0</v>
      </c>
      <c r="U504" t="str">
        <f>IF(samples!K41=0,"",samples!K41)</f>
        <v/>
      </c>
      <c r="V504">
        <f>IFERROR(SEARCH(search!$B$6,samples!K41,1),0)</f>
        <v>0</v>
      </c>
      <c r="W504" t="str">
        <f>IF(samples!L41=0,"",samples!L41)</f>
        <v/>
      </c>
      <c r="X504">
        <f>IFERROR(SEARCH(search!$B$6,samples!L41,1),0)</f>
        <v>0</v>
      </c>
      <c r="Y504" t="str">
        <f>IF(samples!M41=0,"",samples!M41)</f>
        <v/>
      </c>
      <c r="Z504">
        <f>IFERROR(SEARCH(search!$B$6,samples!M41,1),0)</f>
        <v>0</v>
      </c>
      <c r="AA504" t="str">
        <f>IF(samples!N41=0,"",samples!N41)</f>
        <v/>
      </c>
      <c r="AB504">
        <f>IFERROR(SEARCH(search!$B$6,samples!N41,1),0)</f>
        <v>0</v>
      </c>
      <c r="AC504" t="str">
        <f>IF(samples!O41=0,"",samples!O41)</f>
        <v/>
      </c>
      <c r="AD504">
        <f>IFERROR(SEARCH(search!$B$6,samples!O41,1),0)</f>
        <v>0</v>
      </c>
    </row>
    <row r="505" spans="1:30">
      <c r="A505">
        <f t="shared" si="7"/>
        <v>0</v>
      </c>
      <c r="B505">
        <f>IF(SUM(D505,F505,H505,J505,L505,N505,P505,R505,T505,V505,X505,Z505,AB505,AD505)&gt;0,SUM($A$2:A505),0)</f>
        <v>0</v>
      </c>
      <c r="C505">
        <f>samples!B42</f>
        <v>0</v>
      </c>
      <c r="D505">
        <f>IFERROR(SEARCH(search!$B$6,samples!B42,1),0)</f>
        <v>0</v>
      </c>
      <c r="E505" t="str">
        <f>IF(samples!C42=0,"",samples!C42)</f>
        <v/>
      </c>
      <c r="F505">
        <f>IFERROR(SEARCH(search!$B$6,samples!C42,1),0)</f>
        <v>0</v>
      </c>
      <c r="G505" t="str">
        <f>IF(samples!D42=0,"",samples!D42)</f>
        <v/>
      </c>
      <c r="H505">
        <f>IFERROR(SEARCH(search!$B$6,samples!D42,1),0)</f>
        <v>0</v>
      </c>
      <c r="I505" t="str">
        <f>IF(samples!E42=0,"",samples!E42)</f>
        <v/>
      </c>
      <c r="J505">
        <f>IFERROR(SEARCH(search!$B$6,samples!E42,1),0)</f>
        <v>0</v>
      </c>
      <c r="K505" t="str">
        <f>IF(samples!F42=0,"",samples!F42)</f>
        <v/>
      </c>
      <c r="L505">
        <f>IFERROR(SEARCH(search!$B$6,samples!F42,1),0)</f>
        <v>0</v>
      </c>
      <c r="M505" t="str">
        <f>IF(samples!G42=0,"",samples!G42)</f>
        <v/>
      </c>
      <c r="N505">
        <f>IFERROR(SEARCH(search!$B$6,samples!G42,1),0)</f>
        <v>0</v>
      </c>
      <c r="O505" t="str">
        <f>IF(samples!H42=0,"",samples!H42)</f>
        <v/>
      </c>
      <c r="P505">
        <f>IFERROR(SEARCH(search!$B$6,samples!H42,1),0)</f>
        <v>0</v>
      </c>
      <c r="Q505" t="str">
        <f>IF(samples!I42=0,"",samples!I42)</f>
        <v/>
      </c>
      <c r="R505">
        <f>IFERROR(SEARCH(search!$B$6,samples!I42,1),0)</f>
        <v>0</v>
      </c>
      <c r="S505" t="str">
        <f>IF(samples!J42=0,"",samples!J42)</f>
        <v/>
      </c>
      <c r="T505">
        <f>IFERROR(SEARCH(search!$B$6,samples!J42,1),0)</f>
        <v>0</v>
      </c>
      <c r="U505" t="str">
        <f>IF(samples!K42=0,"",samples!K42)</f>
        <v/>
      </c>
      <c r="V505">
        <f>IFERROR(SEARCH(search!$B$6,samples!K42,1),0)</f>
        <v>0</v>
      </c>
      <c r="W505" t="str">
        <f>IF(samples!L42=0,"",samples!L42)</f>
        <v/>
      </c>
      <c r="X505">
        <f>IFERROR(SEARCH(search!$B$6,samples!L42,1),0)</f>
        <v>0</v>
      </c>
      <c r="Y505" t="str">
        <f>IF(samples!M42=0,"",samples!M42)</f>
        <v/>
      </c>
      <c r="Z505">
        <f>IFERROR(SEARCH(search!$B$6,samples!M42,1),0)</f>
        <v>0</v>
      </c>
      <c r="AA505" t="str">
        <f>IF(samples!N42=0,"",samples!N42)</f>
        <v/>
      </c>
      <c r="AB505">
        <f>IFERROR(SEARCH(search!$B$6,samples!N42,1),0)</f>
        <v>0</v>
      </c>
      <c r="AC505" t="str">
        <f>IF(samples!O42=0,"",samples!O42)</f>
        <v/>
      </c>
      <c r="AD505">
        <f>IFERROR(SEARCH(search!$B$6,samples!O42,1),0)</f>
        <v>0</v>
      </c>
    </row>
    <row r="506" spans="1:30">
      <c r="A506">
        <f t="shared" si="7"/>
        <v>0</v>
      </c>
      <c r="B506">
        <f>IF(SUM(D506,F506,H506,J506,L506,N506,P506,R506,T506,V506,X506,Z506,AB506,AD506)&gt;0,SUM($A$2:A506),0)</f>
        <v>0</v>
      </c>
      <c r="C506">
        <f>samples!B43</f>
        <v>0</v>
      </c>
      <c r="D506">
        <f>IFERROR(SEARCH(search!$B$6,samples!B43,1),0)</f>
        <v>0</v>
      </c>
      <c r="E506" t="str">
        <f>IF(samples!C43=0,"",samples!C43)</f>
        <v/>
      </c>
      <c r="F506">
        <f>IFERROR(SEARCH(search!$B$6,samples!C43,1),0)</f>
        <v>0</v>
      </c>
      <c r="G506" t="str">
        <f>IF(samples!D43=0,"",samples!D43)</f>
        <v/>
      </c>
      <c r="H506">
        <f>IFERROR(SEARCH(search!$B$6,samples!D43,1),0)</f>
        <v>0</v>
      </c>
      <c r="I506" t="str">
        <f>IF(samples!E43=0,"",samples!E43)</f>
        <v/>
      </c>
      <c r="J506">
        <f>IFERROR(SEARCH(search!$B$6,samples!E43,1),0)</f>
        <v>0</v>
      </c>
      <c r="K506" t="str">
        <f>IF(samples!F43=0,"",samples!F43)</f>
        <v/>
      </c>
      <c r="L506">
        <f>IFERROR(SEARCH(search!$B$6,samples!F43,1),0)</f>
        <v>0</v>
      </c>
      <c r="M506" t="str">
        <f>IF(samples!G43=0,"",samples!G43)</f>
        <v/>
      </c>
      <c r="N506">
        <f>IFERROR(SEARCH(search!$B$6,samples!G43,1),0)</f>
        <v>0</v>
      </c>
      <c r="O506" t="str">
        <f>IF(samples!H43=0,"",samples!H43)</f>
        <v/>
      </c>
      <c r="P506">
        <f>IFERROR(SEARCH(search!$B$6,samples!H43,1),0)</f>
        <v>0</v>
      </c>
      <c r="Q506" t="str">
        <f>IF(samples!I43=0,"",samples!I43)</f>
        <v/>
      </c>
      <c r="R506">
        <f>IFERROR(SEARCH(search!$B$6,samples!I43,1),0)</f>
        <v>0</v>
      </c>
      <c r="S506" t="str">
        <f>IF(samples!J43=0,"",samples!J43)</f>
        <v/>
      </c>
      <c r="T506">
        <f>IFERROR(SEARCH(search!$B$6,samples!J43,1),0)</f>
        <v>0</v>
      </c>
      <c r="U506" t="str">
        <f>IF(samples!K43=0,"",samples!K43)</f>
        <v/>
      </c>
      <c r="V506">
        <f>IFERROR(SEARCH(search!$B$6,samples!K43,1),0)</f>
        <v>0</v>
      </c>
      <c r="W506" t="str">
        <f>IF(samples!L43=0,"",samples!L43)</f>
        <v/>
      </c>
      <c r="X506">
        <f>IFERROR(SEARCH(search!$B$6,samples!L43,1),0)</f>
        <v>0</v>
      </c>
      <c r="Y506" t="str">
        <f>IF(samples!M43=0,"",samples!M43)</f>
        <v/>
      </c>
      <c r="Z506">
        <f>IFERROR(SEARCH(search!$B$6,samples!M43,1),0)</f>
        <v>0</v>
      </c>
      <c r="AA506" t="str">
        <f>IF(samples!N43=0,"",samples!N43)</f>
        <v/>
      </c>
      <c r="AB506">
        <f>IFERROR(SEARCH(search!$B$6,samples!N43,1),0)</f>
        <v>0</v>
      </c>
      <c r="AC506" t="str">
        <f>IF(samples!O43=0,"",samples!O43)</f>
        <v/>
      </c>
      <c r="AD506">
        <f>IFERROR(SEARCH(search!$B$6,samples!O43,1),0)</f>
        <v>0</v>
      </c>
    </row>
    <row r="507" spans="1:30">
      <c r="A507">
        <f t="shared" si="7"/>
        <v>0</v>
      </c>
      <c r="B507">
        <f>IF(SUM(D507,F507,H507,J507,L507,N507,P507,R507,T507,V507,X507,Z507,AB507,AD507)&gt;0,SUM($A$2:A507),0)</f>
        <v>0</v>
      </c>
      <c r="C507">
        <f>samples!B44</f>
        <v>0</v>
      </c>
      <c r="D507">
        <f>IFERROR(SEARCH(search!$B$6,samples!B44,1),0)</f>
        <v>0</v>
      </c>
      <c r="E507" t="str">
        <f>IF(samples!C44=0,"",samples!C44)</f>
        <v/>
      </c>
      <c r="F507">
        <f>IFERROR(SEARCH(search!$B$6,samples!C44,1),0)</f>
        <v>0</v>
      </c>
      <c r="G507" t="str">
        <f>IF(samples!D44=0,"",samples!D44)</f>
        <v/>
      </c>
      <c r="H507">
        <f>IFERROR(SEARCH(search!$B$6,samples!D44,1),0)</f>
        <v>0</v>
      </c>
      <c r="I507" t="str">
        <f>IF(samples!E44=0,"",samples!E44)</f>
        <v/>
      </c>
      <c r="J507">
        <f>IFERROR(SEARCH(search!$B$6,samples!E44,1),0)</f>
        <v>0</v>
      </c>
      <c r="K507" t="str">
        <f>IF(samples!F44=0,"",samples!F44)</f>
        <v/>
      </c>
      <c r="L507">
        <f>IFERROR(SEARCH(search!$B$6,samples!F44,1),0)</f>
        <v>0</v>
      </c>
      <c r="M507" t="str">
        <f>IF(samples!G44=0,"",samples!G44)</f>
        <v/>
      </c>
      <c r="N507">
        <f>IFERROR(SEARCH(search!$B$6,samples!G44,1),0)</f>
        <v>0</v>
      </c>
      <c r="O507" t="str">
        <f>IF(samples!H44=0,"",samples!H44)</f>
        <v/>
      </c>
      <c r="P507">
        <f>IFERROR(SEARCH(search!$B$6,samples!H44,1),0)</f>
        <v>0</v>
      </c>
      <c r="Q507" t="str">
        <f>IF(samples!I44=0,"",samples!I44)</f>
        <v/>
      </c>
      <c r="R507">
        <f>IFERROR(SEARCH(search!$B$6,samples!I44,1),0)</f>
        <v>0</v>
      </c>
      <c r="S507" t="str">
        <f>IF(samples!J44=0,"",samples!J44)</f>
        <v/>
      </c>
      <c r="T507">
        <f>IFERROR(SEARCH(search!$B$6,samples!J44,1),0)</f>
        <v>0</v>
      </c>
      <c r="U507" t="str">
        <f>IF(samples!K44=0,"",samples!K44)</f>
        <v/>
      </c>
      <c r="V507">
        <f>IFERROR(SEARCH(search!$B$6,samples!K44,1),0)</f>
        <v>0</v>
      </c>
      <c r="W507" t="str">
        <f>IF(samples!L44=0,"",samples!L44)</f>
        <v/>
      </c>
      <c r="X507">
        <f>IFERROR(SEARCH(search!$B$6,samples!L44,1),0)</f>
        <v>0</v>
      </c>
      <c r="Y507" t="str">
        <f>IF(samples!M44=0,"",samples!M44)</f>
        <v/>
      </c>
      <c r="Z507">
        <f>IFERROR(SEARCH(search!$B$6,samples!M44,1),0)</f>
        <v>0</v>
      </c>
      <c r="AA507" t="str">
        <f>IF(samples!N44=0,"",samples!N44)</f>
        <v/>
      </c>
      <c r="AB507">
        <f>IFERROR(SEARCH(search!$B$6,samples!N44,1),0)</f>
        <v>0</v>
      </c>
      <c r="AC507" t="str">
        <f>IF(samples!O44=0,"",samples!O44)</f>
        <v/>
      </c>
      <c r="AD507">
        <f>IFERROR(SEARCH(search!$B$6,samples!O44,1),0)</f>
        <v>0</v>
      </c>
    </row>
    <row r="508" spans="1:30">
      <c r="A508">
        <f t="shared" si="7"/>
        <v>0</v>
      </c>
      <c r="B508">
        <f>IF(SUM(D508,F508,H508,J508,L508,N508,P508,R508,T508,V508,X508,Z508,AB508,AD508)&gt;0,SUM($A$2:A508),0)</f>
        <v>0</v>
      </c>
      <c r="C508">
        <f>samples!B45</f>
        <v>0</v>
      </c>
      <c r="D508">
        <f>IFERROR(SEARCH(search!$B$6,samples!B45,1),0)</f>
        <v>0</v>
      </c>
      <c r="E508" t="str">
        <f>IF(samples!C45=0,"",samples!C45)</f>
        <v/>
      </c>
      <c r="F508">
        <f>IFERROR(SEARCH(search!$B$6,samples!C45,1),0)</f>
        <v>0</v>
      </c>
      <c r="G508" t="str">
        <f>IF(samples!D45=0,"",samples!D45)</f>
        <v/>
      </c>
      <c r="H508">
        <f>IFERROR(SEARCH(search!$B$6,samples!D45,1),0)</f>
        <v>0</v>
      </c>
      <c r="I508" t="str">
        <f>IF(samples!E45=0,"",samples!E45)</f>
        <v/>
      </c>
      <c r="J508">
        <f>IFERROR(SEARCH(search!$B$6,samples!E45,1),0)</f>
        <v>0</v>
      </c>
      <c r="K508" t="str">
        <f>IF(samples!F45=0,"",samples!F45)</f>
        <v/>
      </c>
      <c r="L508">
        <f>IFERROR(SEARCH(search!$B$6,samples!F45,1),0)</f>
        <v>0</v>
      </c>
      <c r="M508" t="str">
        <f>IF(samples!G45=0,"",samples!G45)</f>
        <v/>
      </c>
      <c r="N508">
        <f>IFERROR(SEARCH(search!$B$6,samples!G45,1),0)</f>
        <v>0</v>
      </c>
      <c r="O508" t="str">
        <f>IF(samples!H45=0,"",samples!H45)</f>
        <v/>
      </c>
      <c r="P508">
        <f>IFERROR(SEARCH(search!$B$6,samples!H45,1),0)</f>
        <v>0</v>
      </c>
      <c r="Q508" t="str">
        <f>IF(samples!I45=0,"",samples!I45)</f>
        <v/>
      </c>
      <c r="R508">
        <f>IFERROR(SEARCH(search!$B$6,samples!I45,1),0)</f>
        <v>0</v>
      </c>
      <c r="S508" t="str">
        <f>IF(samples!J45=0,"",samples!J45)</f>
        <v/>
      </c>
      <c r="T508">
        <f>IFERROR(SEARCH(search!$B$6,samples!J45,1),0)</f>
        <v>0</v>
      </c>
      <c r="U508" t="str">
        <f>IF(samples!K45=0,"",samples!K45)</f>
        <v/>
      </c>
      <c r="V508">
        <f>IFERROR(SEARCH(search!$B$6,samples!K45,1),0)</f>
        <v>0</v>
      </c>
      <c r="W508" t="str">
        <f>IF(samples!L45=0,"",samples!L45)</f>
        <v/>
      </c>
      <c r="X508">
        <f>IFERROR(SEARCH(search!$B$6,samples!L45,1),0)</f>
        <v>0</v>
      </c>
      <c r="Y508" t="str">
        <f>IF(samples!M45=0,"",samples!M45)</f>
        <v/>
      </c>
      <c r="Z508">
        <f>IFERROR(SEARCH(search!$B$6,samples!M45,1),0)</f>
        <v>0</v>
      </c>
      <c r="AA508" t="str">
        <f>IF(samples!N45=0,"",samples!N45)</f>
        <v/>
      </c>
      <c r="AB508">
        <f>IFERROR(SEARCH(search!$B$6,samples!N45,1),0)</f>
        <v>0</v>
      </c>
      <c r="AC508" t="str">
        <f>IF(samples!O45=0,"",samples!O45)</f>
        <v/>
      </c>
      <c r="AD508">
        <f>IFERROR(SEARCH(search!$B$6,samples!O45,1),0)</f>
        <v>0</v>
      </c>
    </row>
    <row r="509" spans="1:30">
      <c r="A509">
        <f t="shared" si="7"/>
        <v>0</v>
      </c>
      <c r="B509">
        <f>IF(SUM(D509,F509,H509,J509,L509,N509,P509,R509,T509,V509,X509,Z509,AB509,AD509)&gt;0,SUM($A$2:A509),0)</f>
        <v>0</v>
      </c>
      <c r="C509">
        <f>samples!B46</f>
        <v>0</v>
      </c>
      <c r="D509">
        <f>IFERROR(SEARCH(search!$B$6,samples!B46,1),0)</f>
        <v>0</v>
      </c>
      <c r="E509" t="str">
        <f>IF(samples!C46=0,"",samples!C46)</f>
        <v/>
      </c>
      <c r="F509">
        <f>IFERROR(SEARCH(search!$B$6,samples!C46,1),0)</f>
        <v>0</v>
      </c>
      <c r="G509" t="str">
        <f>IF(samples!D46=0,"",samples!D46)</f>
        <v/>
      </c>
      <c r="H509">
        <f>IFERROR(SEARCH(search!$B$6,samples!D46,1),0)</f>
        <v>0</v>
      </c>
      <c r="I509" t="str">
        <f>IF(samples!E46=0,"",samples!E46)</f>
        <v/>
      </c>
      <c r="J509">
        <f>IFERROR(SEARCH(search!$B$6,samples!E46,1),0)</f>
        <v>0</v>
      </c>
      <c r="K509" t="str">
        <f>IF(samples!F46=0,"",samples!F46)</f>
        <v/>
      </c>
      <c r="L509">
        <f>IFERROR(SEARCH(search!$B$6,samples!F46,1),0)</f>
        <v>0</v>
      </c>
      <c r="M509" t="str">
        <f>IF(samples!G46=0,"",samples!G46)</f>
        <v/>
      </c>
      <c r="N509">
        <f>IFERROR(SEARCH(search!$B$6,samples!G46,1),0)</f>
        <v>0</v>
      </c>
      <c r="O509" t="str">
        <f>IF(samples!H46=0,"",samples!H46)</f>
        <v/>
      </c>
      <c r="P509">
        <f>IFERROR(SEARCH(search!$B$6,samples!H46,1),0)</f>
        <v>0</v>
      </c>
      <c r="Q509" t="str">
        <f>IF(samples!I46=0,"",samples!I46)</f>
        <v/>
      </c>
      <c r="R509">
        <f>IFERROR(SEARCH(search!$B$6,samples!I46,1),0)</f>
        <v>0</v>
      </c>
      <c r="S509" t="str">
        <f>IF(samples!J46=0,"",samples!J46)</f>
        <v/>
      </c>
      <c r="T509">
        <f>IFERROR(SEARCH(search!$B$6,samples!J46,1),0)</f>
        <v>0</v>
      </c>
      <c r="U509" t="str">
        <f>IF(samples!K46=0,"",samples!K46)</f>
        <v/>
      </c>
      <c r="V509">
        <f>IFERROR(SEARCH(search!$B$6,samples!K46,1),0)</f>
        <v>0</v>
      </c>
      <c r="W509" t="str">
        <f>IF(samples!L46=0,"",samples!L46)</f>
        <v/>
      </c>
      <c r="X509">
        <f>IFERROR(SEARCH(search!$B$6,samples!L46,1),0)</f>
        <v>0</v>
      </c>
      <c r="Y509" t="str">
        <f>IF(samples!M46=0,"",samples!M46)</f>
        <v/>
      </c>
      <c r="Z509">
        <f>IFERROR(SEARCH(search!$B$6,samples!M46,1),0)</f>
        <v>0</v>
      </c>
      <c r="AA509" t="str">
        <f>IF(samples!N46=0,"",samples!N46)</f>
        <v/>
      </c>
      <c r="AB509">
        <f>IFERROR(SEARCH(search!$B$6,samples!N46,1),0)</f>
        <v>0</v>
      </c>
      <c r="AC509" t="str">
        <f>IF(samples!O46=0,"",samples!O46)</f>
        <v/>
      </c>
      <c r="AD509">
        <f>IFERROR(SEARCH(search!$B$6,samples!O46,1),0)</f>
        <v>0</v>
      </c>
    </row>
    <row r="510" spans="1:30">
      <c r="A510">
        <f t="shared" si="7"/>
        <v>0</v>
      </c>
      <c r="B510">
        <f>IF(SUM(D510,F510,H510,J510,L510,N510,P510,R510,T510,V510,X510,Z510,AB510,AD510)&gt;0,SUM($A$2:A510),0)</f>
        <v>0</v>
      </c>
      <c r="C510">
        <f>samples!B47</f>
        <v>0</v>
      </c>
      <c r="D510">
        <f>IFERROR(SEARCH(search!$B$6,samples!B47,1),0)</f>
        <v>0</v>
      </c>
      <c r="E510" t="str">
        <f>IF(samples!C47=0,"",samples!C47)</f>
        <v/>
      </c>
      <c r="F510">
        <f>IFERROR(SEARCH(search!$B$6,samples!C47,1),0)</f>
        <v>0</v>
      </c>
      <c r="G510" t="str">
        <f>IF(samples!D47=0,"",samples!D47)</f>
        <v/>
      </c>
      <c r="H510">
        <f>IFERROR(SEARCH(search!$B$6,samples!D47,1),0)</f>
        <v>0</v>
      </c>
      <c r="I510" t="str">
        <f>IF(samples!E47=0,"",samples!E47)</f>
        <v/>
      </c>
      <c r="J510">
        <f>IFERROR(SEARCH(search!$B$6,samples!E47,1),0)</f>
        <v>0</v>
      </c>
      <c r="K510" t="str">
        <f>IF(samples!F47=0,"",samples!F47)</f>
        <v/>
      </c>
      <c r="L510">
        <f>IFERROR(SEARCH(search!$B$6,samples!F47,1),0)</f>
        <v>0</v>
      </c>
      <c r="M510" t="str">
        <f>IF(samples!G47=0,"",samples!G47)</f>
        <v/>
      </c>
      <c r="N510">
        <f>IFERROR(SEARCH(search!$B$6,samples!G47,1),0)</f>
        <v>0</v>
      </c>
      <c r="O510" t="str">
        <f>IF(samples!H47=0,"",samples!H47)</f>
        <v/>
      </c>
      <c r="P510">
        <f>IFERROR(SEARCH(search!$B$6,samples!H47,1),0)</f>
        <v>0</v>
      </c>
      <c r="Q510" t="str">
        <f>IF(samples!I47=0,"",samples!I47)</f>
        <v/>
      </c>
      <c r="R510">
        <f>IFERROR(SEARCH(search!$B$6,samples!I47,1),0)</f>
        <v>0</v>
      </c>
      <c r="S510" t="str">
        <f>IF(samples!J47=0,"",samples!J47)</f>
        <v/>
      </c>
      <c r="T510">
        <f>IFERROR(SEARCH(search!$B$6,samples!J47,1),0)</f>
        <v>0</v>
      </c>
      <c r="U510" t="str">
        <f>IF(samples!K47=0,"",samples!K47)</f>
        <v/>
      </c>
      <c r="V510">
        <f>IFERROR(SEARCH(search!$B$6,samples!K47,1),0)</f>
        <v>0</v>
      </c>
      <c r="W510" t="str">
        <f>IF(samples!L47=0,"",samples!L47)</f>
        <v/>
      </c>
      <c r="X510">
        <f>IFERROR(SEARCH(search!$B$6,samples!L47,1),0)</f>
        <v>0</v>
      </c>
      <c r="Y510" t="str">
        <f>IF(samples!M47=0,"",samples!M47)</f>
        <v/>
      </c>
      <c r="Z510">
        <f>IFERROR(SEARCH(search!$B$6,samples!M47,1),0)</f>
        <v>0</v>
      </c>
      <c r="AA510" t="str">
        <f>IF(samples!N47=0,"",samples!N47)</f>
        <v/>
      </c>
      <c r="AB510">
        <f>IFERROR(SEARCH(search!$B$6,samples!N47,1),0)</f>
        <v>0</v>
      </c>
      <c r="AC510" t="str">
        <f>IF(samples!O47=0,"",samples!O47)</f>
        <v/>
      </c>
      <c r="AD510">
        <f>IFERROR(SEARCH(search!$B$6,samples!O47,1),0)</f>
        <v>0</v>
      </c>
    </row>
    <row r="511" spans="1:30">
      <c r="A511">
        <f t="shared" si="7"/>
        <v>0</v>
      </c>
      <c r="B511">
        <f>IF(SUM(D511,F511,H511,J511,L511,N511,P511,R511,T511,V511,X511,Z511,AB511,AD511)&gt;0,SUM($A$2:A511),0)</f>
        <v>0</v>
      </c>
      <c r="C511">
        <f>samples!B48</f>
        <v>0</v>
      </c>
      <c r="D511">
        <f>IFERROR(SEARCH(search!$B$6,samples!B48,1),0)</f>
        <v>0</v>
      </c>
      <c r="E511" t="str">
        <f>IF(samples!C48=0,"",samples!C48)</f>
        <v/>
      </c>
      <c r="F511">
        <f>IFERROR(SEARCH(search!$B$6,samples!C48,1),0)</f>
        <v>0</v>
      </c>
      <c r="G511" t="str">
        <f>IF(samples!D48=0,"",samples!D48)</f>
        <v/>
      </c>
      <c r="H511">
        <f>IFERROR(SEARCH(search!$B$6,samples!D48,1),0)</f>
        <v>0</v>
      </c>
      <c r="I511" t="str">
        <f>IF(samples!E48=0,"",samples!E48)</f>
        <v/>
      </c>
      <c r="J511">
        <f>IFERROR(SEARCH(search!$B$6,samples!E48,1),0)</f>
        <v>0</v>
      </c>
      <c r="K511" t="str">
        <f>IF(samples!F48=0,"",samples!F48)</f>
        <v/>
      </c>
      <c r="L511">
        <f>IFERROR(SEARCH(search!$B$6,samples!F48,1),0)</f>
        <v>0</v>
      </c>
      <c r="M511" t="str">
        <f>IF(samples!G48=0,"",samples!G48)</f>
        <v/>
      </c>
      <c r="N511">
        <f>IFERROR(SEARCH(search!$B$6,samples!G48,1),0)</f>
        <v>0</v>
      </c>
      <c r="O511" t="str">
        <f>IF(samples!H48=0,"",samples!H48)</f>
        <v/>
      </c>
      <c r="P511">
        <f>IFERROR(SEARCH(search!$B$6,samples!H48,1),0)</f>
        <v>0</v>
      </c>
      <c r="Q511" t="str">
        <f>IF(samples!I48=0,"",samples!I48)</f>
        <v/>
      </c>
      <c r="R511">
        <f>IFERROR(SEARCH(search!$B$6,samples!I48,1),0)</f>
        <v>0</v>
      </c>
      <c r="S511" t="str">
        <f>IF(samples!J48=0,"",samples!J48)</f>
        <v/>
      </c>
      <c r="T511">
        <f>IFERROR(SEARCH(search!$B$6,samples!J48,1),0)</f>
        <v>0</v>
      </c>
      <c r="U511" t="str">
        <f>IF(samples!K48=0,"",samples!K48)</f>
        <v/>
      </c>
      <c r="V511">
        <f>IFERROR(SEARCH(search!$B$6,samples!K48,1),0)</f>
        <v>0</v>
      </c>
      <c r="W511" t="str">
        <f>IF(samples!L48=0,"",samples!L48)</f>
        <v/>
      </c>
      <c r="X511">
        <f>IFERROR(SEARCH(search!$B$6,samples!L48,1),0)</f>
        <v>0</v>
      </c>
      <c r="Y511" t="str">
        <f>IF(samples!M48=0,"",samples!M48)</f>
        <v/>
      </c>
      <c r="Z511">
        <f>IFERROR(SEARCH(search!$B$6,samples!M48,1),0)</f>
        <v>0</v>
      </c>
      <c r="AA511" t="str">
        <f>IF(samples!N48=0,"",samples!N48)</f>
        <v/>
      </c>
      <c r="AB511">
        <f>IFERROR(SEARCH(search!$B$6,samples!N48,1),0)</f>
        <v>0</v>
      </c>
      <c r="AC511" t="str">
        <f>IF(samples!O48=0,"",samples!O48)</f>
        <v/>
      </c>
      <c r="AD511">
        <f>IFERROR(SEARCH(search!$B$6,samples!O48,1),0)</f>
        <v>0</v>
      </c>
    </row>
    <row r="512" spans="1:30">
      <c r="A512">
        <f t="shared" si="7"/>
        <v>0</v>
      </c>
      <c r="B512">
        <f>IF(SUM(D512,F512,H512,J512,L512,N512,P512,R512,T512,V512,X512,Z512,AB512,AD512)&gt;0,SUM($A$2:A512),0)</f>
        <v>0</v>
      </c>
      <c r="C512">
        <f>samples!B49</f>
        <v>0</v>
      </c>
      <c r="D512">
        <f>IFERROR(SEARCH(search!$B$6,samples!B49,1),0)</f>
        <v>0</v>
      </c>
      <c r="E512" t="str">
        <f>IF(samples!C49=0,"",samples!C49)</f>
        <v/>
      </c>
      <c r="F512">
        <f>IFERROR(SEARCH(search!$B$6,samples!C49,1),0)</f>
        <v>0</v>
      </c>
      <c r="G512" t="str">
        <f>IF(samples!D49=0,"",samples!D49)</f>
        <v/>
      </c>
      <c r="H512">
        <f>IFERROR(SEARCH(search!$B$6,samples!D49,1),0)</f>
        <v>0</v>
      </c>
      <c r="I512" t="str">
        <f>IF(samples!E49=0,"",samples!E49)</f>
        <v/>
      </c>
      <c r="J512">
        <f>IFERROR(SEARCH(search!$B$6,samples!E49,1),0)</f>
        <v>0</v>
      </c>
      <c r="K512" t="str">
        <f>IF(samples!F49=0,"",samples!F49)</f>
        <v/>
      </c>
      <c r="L512">
        <f>IFERROR(SEARCH(search!$B$6,samples!F49,1),0)</f>
        <v>0</v>
      </c>
      <c r="M512" t="str">
        <f>IF(samples!G49=0,"",samples!G49)</f>
        <v/>
      </c>
      <c r="N512">
        <f>IFERROR(SEARCH(search!$B$6,samples!G49,1),0)</f>
        <v>0</v>
      </c>
      <c r="O512" t="str">
        <f>IF(samples!H49=0,"",samples!H49)</f>
        <v/>
      </c>
      <c r="P512">
        <f>IFERROR(SEARCH(search!$B$6,samples!H49,1),0)</f>
        <v>0</v>
      </c>
      <c r="Q512" t="str">
        <f>IF(samples!I49=0,"",samples!I49)</f>
        <v/>
      </c>
      <c r="R512">
        <f>IFERROR(SEARCH(search!$B$6,samples!I49,1),0)</f>
        <v>0</v>
      </c>
      <c r="S512" t="str">
        <f>IF(samples!J49=0,"",samples!J49)</f>
        <v/>
      </c>
      <c r="T512">
        <f>IFERROR(SEARCH(search!$B$6,samples!J49,1),0)</f>
        <v>0</v>
      </c>
      <c r="U512" t="str">
        <f>IF(samples!K49=0,"",samples!K49)</f>
        <v/>
      </c>
      <c r="V512">
        <f>IFERROR(SEARCH(search!$B$6,samples!K49,1),0)</f>
        <v>0</v>
      </c>
      <c r="W512" t="str">
        <f>IF(samples!L49=0,"",samples!L49)</f>
        <v/>
      </c>
      <c r="X512">
        <f>IFERROR(SEARCH(search!$B$6,samples!L49,1),0)</f>
        <v>0</v>
      </c>
      <c r="Y512" t="str">
        <f>IF(samples!M49=0,"",samples!M49)</f>
        <v/>
      </c>
      <c r="Z512">
        <f>IFERROR(SEARCH(search!$B$6,samples!M49,1),0)</f>
        <v>0</v>
      </c>
      <c r="AA512" t="str">
        <f>IF(samples!N49=0,"",samples!N49)</f>
        <v/>
      </c>
      <c r="AB512">
        <f>IFERROR(SEARCH(search!$B$6,samples!N49,1),0)</f>
        <v>0</v>
      </c>
      <c r="AC512" t="str">
        <f>IF(samples!O49=0,"",samples!O49)</f>
        <v/>
      </c>
      <c r="AD512">
        <f>IFERROR(SEARCH(search!$B$6,samples!O49,1),0)</f>
        <v>0</v>
      </c>
    </row>
    <row r="513" spans="1:30">
      <c r="A513">
        <f t="shared" si="7"/>
        <v>0</v>
      </c>
      <c r="B513">
        <f>IF(SUM(D513,F513,H513,J513,L513,N513,P513,R513,T513,V513,X513,Z513,AB513,AD513)&gt;0,SUM($A$2:A513),0)</f>
        <v>0</v>
      </c>
      <c r="C513">
        <f>samples!B50</f>
        <v>0</v>
      </c>
      <c r="D513">
        <f>IFERROR(SEARCH(search!$B$6,samples!B50,1),0)</f>
        <v>0</v>
      </c>
      <c r="E513" t="str">
        <f>IF(samples!C50=0,"",samples!C50)</f>
        <v/>
      </c>
      <c r="F513">
        <f>IFERROR(SEARCH(search!$B$6,samples!C50,1),0)</f>
        <v>0</v>
      </c>
      <c r="G513" t="str">
        <f>IF(samples!D50=0,"",samples!D50)</f>
        <v/>
      </c>
      <c r="H513">
        <f>IFERROR(SEARCH(search!$B$6,samples!D50,1),0)</f>
        <v>0</v>
      </c>
      <c r="I513" t="str">
        <f>IF(samples!E50=0,"",samples!E50)</f>
        <v/>
      </c>
      <c r="J513">
        <f>IFERROR(SEARCH(search!$B$6,samples!E50,1),0)</f>
        <v>0</v>
      </c>
      <c r="K513" t="str">
        <f>IF(samples!F50=0,"",samples!F50)</f>
        <v/>
      </c>
      <c r="L513">
        <f>IFERROR(SEARCH(search!$B$6,samples!F50,1),0)</f>
        <v>0</v>
      </c>
      <c r="M513" t="str">
        <f>IF(samples!G50=0,"",samples!G50)</f>
        <v/>
      </c>
      <c r="N513">
        <f>IFERROR(SEARCH(search!$B$6,samples!G50,1),0)</f>
        <v>0</v>
      </c>
      <c r="O513" t="str">
        <f>IF(samples!H50=0,"",samples!H50)</f>
        <v/>
      </c>
      <c r="P513">
        <f>IFERROR(SEARCH(search!$B$6,samples!H50,1),0)</f>
        <v>0</v>
      </c>
      <c r="Q513" t="str">
        <f>IF(samples!I50=0,"",samples!I50)</f>
        <v/>
      </c>
      <c r="R513">
        <f>IFERROR(SEARCH(search!$B$6,samples!I50,1),0)</f>
        <v>0</v>
      </c>
      <c r="S513" t="str">
        <f>IF(samples!J50=0,"",samples!J50)</f>
        <v/>
      </c>
      <c r="T513">
        <f>IFERROR(SEARCH(search!$B$6,samples!J50,1),0)</f>
        <v>0</v>
      </c>
      <c r="U513" t="str">
        <f>IF(samples!K50=0,"",samples!K50)</f>
        <v/>
      </c>
      <c r="V513">
        <f>IFERROR(SEARCH(search!$B$6,samples!K50,1),0)</f>
        <v>0</v>
      </c>
      <c r="W513" t="str">
        <f>IF(samples!L50=0,"",samples!L50)</f>
        <v/>
      </c>
      <c r="X513">
        <f>IFERROR(SEARCH(search!$B$6,samples!L50,1),0)</f>
        <v>0</v>
      </c>
      <c r="Y513" t="str">
        <f>IF(samples!M50=0,"",samples!M50)</f>
        <v/>
      </c>
      <c r="Z513">
        <f>IFERROR(SEARCH(search!$B$6,samples!M50,1),0)</f>
        <v>0</v>
      </c>
      <c r="AA513" t="str">
        <f>IF(samples!N50=0,"",samples!N50)</f>
        <v/>
      </c>
      <c r="AB513">
        <f>IFERROR(SEARCH(search!$B$6,samples!N50,1),0)</f>
        <v>0</v>
      </c>
      <c r="AC513" t="str">
        <f>IF(samples!O50=0,"",samples!O50)</f>
        <v/>
      </c>
      <c r="AD513">
        <f>IFERROR(SEARCH(search!$B$6,samples!O50,1),0)</f>
        <v>0</v>
      </c>
    </row>
    <row r="514" spans="1:30">
      <c r="A514">
        <f t="shared" si="7"/>
        <v>0</v>
      </c>
      <c r="B514">
        <f>IF(SUM(D514,F514,H514,J514,L514,N514,P514,R514,T514,V514,X514,Z514,AB514,AD514)&gt;0,SUM($A$2:A514),0)</f>
        <v>0</v>
      </c>
      <c r="C514">
        <f>samples!B51</f>
        <v>0</v>
      </c>
      <c r="D514">
        <f>IFERROR(SEARCH(search!$B$6,samples!B51,1),0)</f>
        <v>0</v>
      </c>
      <c r="E514" t="str">
        <f>IF(samples!C51=0,"",samples!C51)</f>
        <v/>
      </c>
      <c r="F514">
        <f>IFERROR(SEARCH(search!$B$6,samples!C51,1),0)</f>
        <v>0</v>
      </c>
      <c r="G514" t="str">
        <f>IF(samples!D51=0,"",samples!D51)</f>
        <v/>
      </c>
      <c r="H514">
        <f>IFERROR(SEARCH(search!$B$6,samples!D51,1),0)</f>
        <v>0</v>
      </c>
      <c r="I514" t="str">
        <f>IF(samples!E51=0,"",samples!E51)</f>
        <v/>
      </c>
      <c r="J514">
        <f>IFERROR(SEARCH(search!$B$6,samples!E51,1),0)</f>
        <v>0</v>
      </c>
      <c r="K514" t="str">
        <f>IF(samples!F51=0,"",samples!F51)</f>
        <v/>
      </c>
      <c r="L514">
        <f>IFERROR(SEARCH(search!$B$6,samples!F51,1),0)</f>
        <v>0</v>
      </c>
      <c r="M514" t="str">
        <f>IF(samples!G51=0,"",samples!G51)</f>
        <v/>
      </c>
      <c r="N514">
        <f>IFERROR(SEARCH(search!$B$6,samples!G51,1),0)</f>
        <v>0</v>
      </c>
      <c r="O514" t="str">
        <f>IF(samples!H51=0,"",samples!H51)</f>
        <v/>
      </c>
      <c r="P514">
        <f>IFERROR(SEARCH(search!$B$6,samples!H51,1),0)</f>
        <v>0</v>
      </c>
      <c r="Q514" t="str">
        <f>IF(samples!I51=0,"",samples!I51)</f>
        <v/>
      </c>
      <c r="R514">
        <f>IFERROR(SEARCH(search!$B$6,samples!I51,1),0)</f>
        <v>0</v>
      </c>
      <c r="S514" t="str">
        <f>IF(samples!J51=0,"",samples!J51)</f>
        <v/>
      </c>
      <c r="T514">
        <f>IFERROR(SEARCH(search!$B$6,samples!J51,1),0)</f>
        <v>0</v>
      </c>
      <c r="U514" t="str">
        <f>IF(samples!K51=0,"",samples!K51)</f>
        <v/>
      </c>
      <c r="V514">
        <f>IFERROR(SEARCH(search!$B$6,samples!K51,1),0)</f>
        <v>0</v>
      </c>
      <c r="W514" t="str">
        <f>IF(samples!L51=0,"",samples!L51)</f>
        <v/>
      </c>
      <c r="X514">
        <f>IFERROR(SEARCH(search!$B$6,samples!L51,1),0)</f>
        <v>0</v>
      </c>
      <c r="Y514" t="str">
        <f>IF(samples!M51=0,"",samples!M51)</f>
        <v/>
      </c>
      <c r="Z514">
        <f>IFERROR(SEARCH(search!$B$6,samples!M51,1),0)</f>
        <v>0</v>
      </c>
      <c r="AA514" t="str">
        <f>IF(samples!N51=0,"",samples!N51)</f>
        <v/>
      </c>
      <c r="AB514">
        <f>IFERROR(SEARCH(search!$B$6,samples!N51,1),0)</f>
        <v>0</v>
      </c>
      <c r="AC514" t="str">
        <f>IF(samples!O51=0,"",samples!O51)</f>
        <v/>
      </c>
      <c r="AD514">
        <f>IFERROR(SEARCH(search!$B$6,samples!O51,1),0)</f>
        <v>0</v>
      </c>
    </row>
    <row r="515" spans="1:30">
      <c r="A515">
        <f t="shared" ref="A515:A578" si="8">IF(SUM(D515,F515,H515,J515,L515,N515,P515,R515,T515,V515,X515,Z515,AB515,AD515)&gt;0,1,0)</f>
        <v>0</v>
      </c>
      <c r="B515">
        <f>IF(SUM(D515,F515,H515,J515,L515,N515,P515,R515,T515,V515,X515,Z515,AB515,AD515)&gt;0,SUM($A$2:A515),0)</f>
        <v>0</v>
      </c>
      <c r="C515">
        <f>samples!B52</f>
        <v>0</v>
      </c>
      <c r="D515">
        <f>IFERROR(SEARCH(search!$B$6,samples!B52,1),0)</f>
        <v>0</v>
      </c>
      <c r="E515" t="str">
        <f>IF(samples!C52=0,"",samples!C52)</f>
        <v/>
      </c>
      <c r="F515">
        <f>IFERROR(SEARCH(search!$B$6,samples!C52,1),0)</f>
        <v>0</v>
      </c>
      <c r="G515" t="str">
        <f>IF(samples!D52=0,"",samples!D52)</f>
        <v/>
      </c>
      <c r="H515">
        <f>IFERROR(SEARCH(search!$B$6,samples!D52,1),0)</f>
        <v>0</v>
      </c>
      <c r="I515" t="str">
        <f>IF(samples!E52=0,"",samples!E52)</f>
        <v/>
      </c>
      <c r="J515">
        <f>IFERROR(SEARCH(search!$B$6,samples!E52,1),0)</f>
        <v>0</v>
      </c>
      <c r="K515" t="str">
        <f>IF(samples!F52=0,"",samples!F52)</f>
        <v/>
      </c>
      <c r="L515">
        <f>IFERROR(SEARCH(search!$B$6,samples!F52,1),0)</f>
        <v>0</v>
      </c>
      <c r="M515" t="str">
        <f>IF(samples!G52=0,"",samples!G52)</f>
        <v/>
      </c>
      <c r="N515">
        <f>IFERROR(SEARCH(search!$B$6,samples!G52,1),0)</f>
        <v>0</v>
      </c>
      <c r="O515" t="str">
        <f>IF(samples!H52=0,"",samples!H52)</f>
        <v/>
      </c>
      <c r="P515">
        <f>IFERROR(SEARCH(search!$B$6,samples!H52,1),0)</f>
        <v>0</v>
      </c>
      <c r="Q515" t="str">
        <f>IF(samples!I52=0,"",samples!I52)</f>
        <v/>
      </c>
      <c r="R515">
        <f>IFERROR(SEARCH(search!$B$6,samples!I52,1),0)</f>
        <v>0</v>
      </c>
      <c r="S515" t="str">
        <f>IF(samples!J52=0,"",samples!J52)</f>
        <v/>
      </c>
      <c r="T515">
        <f>IFERROR(SEARCH(search!$B$6,samples!J52,1),0)</f>
        <v>0</v>
      </c>
      <c r="U515" t="str">
        <f>IF(samples!K52=0,"",samples!K52)</f>
        <v/>
      </c>
      <c r="V515">
        <f>IFERROR(SEARCH(search!$B$6,samples!K52,1),0)</f>
        <v>0</v>
      </c>
      <c r="W515" t="str">
        <f>IF(samples!L52=0,"",samples!L52)</f>
        <v/>
      </c>
      <c r="X515">
        <f>IFERROR(SEARCH(search!$B$6,samples!L52,1),0)</f>
        <v>0</v>
      </c>
      <c r="Y515" t="str">
        <f>IF(samples!M52=0,"",samples!M52)</f>
        <v/>
      </c>
      <c r="Z515">
        <f>IFERROR(SEARCH(search!$B$6,samples!M52,1),0)</f>
        <v>0</v>
      </c>
      <c r="AA515" t="str">
        <f>IF(samples!N52=0,"",samples!N52)</f>
        <v/>
      </c>
      <c r="AB515">
        <f>IFERROR(SEARCH(search!$B$6,samples!N52,1),0)</f>
        <v>0</v>
      </c>
      <c r="AC515" t="str">
        <f>IF(samples!O52=0,"",samples!O52)</f>
        <v/>
      </c>
      <c r="AD515">
        <f>IFERROR(SEARCH(search!$B$6,samples!O52,1),0)</f>
        <v>0</v>
      </c>
    </row>
    <row r="516" spans="1:30">
      <c r="A516">
        <f t="shared" si="8"/>
        <v>0</v>
      </c>
      <c r="B516">
        <f>IF(SUM(D516,F516,H516,J516,L516,N516,P516,R516,T516,V516,X516,Z516,AB516,AD516)&gt;0,SUM($A$2:A516),0)</f>
        <v>0</v>
      </c>
      <c r="C516">
        <f>samples!B53</f>
        <v>0</v>
      </c>
      <c r="D516">
        <f>IFERROR(SEARCH(search!$B$6,samples!B53,1),0)</f>
        <v>0</v>
      </c>
      <c r="E516" t="str">
        <f>IF(samples!C53=0,"",samples!C53)</f>
        <v/>
      </c>
      <c r="F516">
        <f>IFERROR(SEARCH(search!$B$6,samples!C53,1),0)</f>
        <v>0</v>
      </c>
      <c r="G516" t="str">
        <f>IF(samples!D53=0,"",samples!D53)</f>
        <v/>
      </c>
      <c r="H516">
        <f>IFERROR(SEARCH(search!$B$6,samples!D53,1),0)</f>
        <v>0</v>
      </c>
      <c r="I516" t="str">
        <f>IF(samples!E53=0,"",samples!E53)</f>
        <v/>
      </c>
      <c r="J516">
        <f>IFERROR(SEARCH(search!$B$6,samples!E53,1),0)</f>
        <v>0</v>
      </c>
      <c r="K516" t="str">
        <f>IF(samples!F53=0,"",samples!F53)</f>
        <v/>
      </c>
      <c r="L516">
        <f>IFERROR(SEARCH(search!$B$6,samples!F53,1),0)</f>
        <v>0</v>
      </c>
      <c r="M516" t="str">
        <f>IF(samples!G53=0,"",samples!G53)</f>
        <v/>
      </c>
      <c r="N516">
        <f>IFERROR(SEARCH(search!$B$6,samples!G53,1),0)</f>
        <v>0</v>
      </c>
      <c r="O516" t="str">
        <f>IF(samples!H53=0,"",samples!H53)</f>
        <v/>
      </c>
      <c r="P516">
        <f>IFERROR(SEARCH(search!$B$6,samples!H53,1),0)</f>
        <v>0</v>
      </c>
      <c r="Q516" t="str">
        <f>IF(samples!I53=0,"",samples!I53)</f>
        <v/>
      </c>
      <c r="R516">
        <f>IFERROR(SEARCH(search!$B$6,samples!I53,1),0)</f>
        <v>0</v>
      </c>
      <c r="S516" t="str">
        <f>IF(samples!J53=0,"",samples!J53)</f>
        <v/>
      </c>
      <c r="T516">
        <f>IFERROR(SEARCH(search!$B$6,samples!J53,1),0)</f>
        <v>0</v>
      </c>
      <c r="U516" t="str">
        <f>IF(samples!K53=0,"",samples!K53)</f>
        <v/>
      </c>
      <c r="V516">
        <f>IFERROR(SEARCH(search!$B$6,samples!K53,1),0)</f>
        <v>0</v>
      </c>
      <c r="W516" t="str">
        <f>IF(samples!L53=0,"",samples!L53)</f>
        <v/>
      </c>
      <c r="X516">
        <f>IFERROR(SEARCH(search!$B$6,samples!L53,1),0)</f>
        <v>0</v>
      </c>
      <c r="Y516" t="str">
        <f>IF(samples!M53=0,"",samples!M53)</f>
        <v/>
      </c>
      <c r="Z516">
        <f>IFERROR(SEARCH(search!$B$6,samples!M53,1),0)</f>
        <v>0</v>
      </c>
      <c r="AA516" t="str">
        <f>IF(samples!N53=0,"",samples!N53)</f>
        <v/>
      </c>
      <c r="AB516">
        <f>IFERROR(SEARCH(search!$B$6,samples!N53,1),0)</f>
        <v>0</v>
      </c>
      <c r="AC516" t="str">
        <f>IF(samples!O53=0,"",samples!O53)</f>
        <v/>
      </c>
      <c r="AD516">
        <f>IFERROR(SEARCH(search!$B$6,samples!O53,1),0)</f>
        <v>0</v>
      </c>
    </row>
    <row r="517" spans="1:30">
      <c r="A517">
        <f t="shared" si="8"/>
        <v>0</v>
      </c>
      <c r="B517">
        <f>IF(SUM(D517,F517,H517,J517,L517,N517,P517,R517,T517,V517,X517,Z517,AB517,AD517)&gt;0,SUM($A$2:A517),0)</f>
        <v>0</v>
      </c>
      <c r="C517">
        <f>samples!B54</f>
        <v>0</v>
      </c>
      <c r="D517">
        <f>IFERROR(SEARCH(search!$B$6,samples!B54,1),0)</f>
        <v>0</v>
      </c>
      <c r="E517" t="str">
        <f>IF(samples!C54=0,"",samples!C54)</f>
        <v/>
      </c>
      <c r="F517">
        <f>IFERROR(SEARCH(search!$B$6,samples!C54,1),0)</f>
        <v>0</v>
      </c>
      <c r="G517" t="str">
        <f>IF(samples!D54=0,"",samples!D54)</f>
        <v/>
      </c>
      <c r="H517">
        <f>IFERROR(SEARCH(search!$B$6,samples!D54,1),0)</f>
        <v>0</v>
      </c>
      <c r="I517" t="str">
        <f>IF(samples!E54=0,"",samples!E54)</f>
        <v/>
      </c>
      <c r="J517">
        <f>IFERROR(SEARCH(search!$B$6,samples!E54,1),0)</f>
        <v>0</v>
      </c>
      <c r="K517" t="str">
        <f>IF(samples!F54=0,"",samples!F54)</f>
        <v/>
      </c>
      <c r="L517">
        <f>IFERROR(SEARCH(search!$B$6,samples!F54,1),0)</f>
        <v>0</v>
      </c>
      <c r="M517" t="str">
        <f>IF(samples!G54=0,"",samples!G54)</f>
        <v/>
      </c>
      <c r="N517">
        <f>IFERROR(SEARCH(search!$B$6,samples!G54,1),0)</f>
        <v>0</v>
      </c>
      <c r="O517" t="str">
        <f>IF(samples!H54=0,"",samples!H54)</f>
        <v/>
      </c>
      <c r="P517">
        <f>IFERROR(SEARCH(search!$B$6,samples!H54,1),0)</f>
        <v>0</v>
      </c>
      <c r="Q517" t="str">
        <f>IF(samples!I54=0,"",samples!I54)</f>
        <v/>
      </c>
      <c r="R517">
        <f>IFERROR(SEARCH(search!$B$6,samples!I54,1),0)</f>
        <v>0</v>
      </c>
      <c r="S517" t="str">
        <f>IF(samples!J54=0,"",samples!J54)</f>
        <v/>
      </c>
      <c r="T517">
        <f>IFERROR(SEARCH(search!$B$6,samples!J54,1),0)</f>
        <v>0</v>
      </c>
      <c r="U517" t="str">
        <f>IF(samples!K54=0,"",samples!K54)</f>
        <v/>
      </c>
      <c r="V517">
        <f>IFERROR(SEARCH(search!$B$6,samples!K54,1),0)</f>
        <v>0</v>
      </c>
      <c r="W517" t="str">
        <f>IF(samples!L54=0,"",samples!L54)</f>
        <v/>
      </c>
      <c r="X517">
        <f>IFERROR(SEARCH(search!$B$6,samples!L54,1),0)</f>
        <v>0</v>
      </c>
      <c r="Y517" t="str">
        <f>IF(samples!M54=0,"",samples!M54)</f>
        <v/>
      </c>
      <c r="Z517">
        <f>IFERROR(SEARCH(search!$B$6,samples!M54,1),0)</f>
        <v>0</v>
      </c>
      <c r="AA517" t="str">
        <f>IF(samples!N54=0,"",samples!N54)</f>
        <v/>
      </c>
      <c r="AB517">
        <f>IFERROR(SEARCH(search!$B$6,samples!N54,1),0)</f>
        <v>0</v>
      </c>
      <c r="AC517" t="str">
        <f>IF(samples!O54=0,"",samples!O54)</f>
        <v/>
      </c>
      <c r="AD517">
        <f>IFERROR(SEARCH(search!$B$6,samples!O54,1),0)</f>
        <v>0</v>
      </c>
    </row>
    <row r="518" spans="1:30">
      <c r="A518">
        <f t="shared" si="8"/>
        <v>0</v>
      </c>
      <c r="B518">
        <f>IF(SUM(D518,F518,H518,J518,L518,N518,P518,R518,T518,V518,X518,Z518,AB518,AD518)&gt;0,SUM($A$2:A518),0)</f>
        <v>0</v>
      </c>
      <c r="C518">
        <f>samples!B55</f>
        <v>0</v>
      </c>
      <c r="D518">
        <f>IFERROR(SEARCH(search!$B$6,samples!B55,1),0)</f>
        <v>0</v>
      </c>
      <c r="E518" t="str">
        <f>IF(samples!C55=0,"",samples!C55)</f>
        <v/>
      </c>
      <c r="F518">
        <f>IFERROR(SEARCH(search!$B$6,samples!C55,1),0)</f>
        <v>0</v>
      </c>
      <c r="G518" t="str">
        <f>IF(samples!D55=0,"",samples!D55)</f>
        <v/>
      </c>
      <c r="H518">
        <f>IFERROR(SEARCH(search!$B$6,samples!D55,1),0)</f>
        <v>0</v>
      </c>
      <c r="I518" t="str">
        <f>IF(samples!E55=0,"",samples!E55)</f>
        <v/>
      </c>
      <c r="J518">
        <f>IFERROR(SEARCH(search!$B$6,samples!E55,1),0)</f>
        <v>0</v>
      </c>
      <c r="K518" t="str">
        <f>IF(samples!F55=0,"",samples!F55)</f>
        <v/>
      </c>
      <c r="L518">
        <f>IFERROR(SEARCH(search!$B$6,samples!F55,1),0)</f>
        <v>0</v>
      </c>
      <c r="M518" t="str">
        <f>IF(samples!G55=0,"",samples!G55)</f>
        <v/>
      </c>
      <c r="N518">
        <f>IFERROR(SEARCH(search!$B$6,samples!G55,1),0)</f>
        <v>0</v>
      </c>
      <c r="O518" t="str">
        <f>IF(samples!H55=0,"",samples!H55)</f>
        <v/>
      </c>
      <c r="P518">
        <f>IFERROR(SEARCH(search!$B$6,samples!H55,1),0)</f>
        <v>0</v>
      </c>
      <c r="Q518" t="str">
        <f>IF(samples!I55=0,"",samples!I55)</f>
        <v/>
      </c>
      <c r="R518">
        <f>IFERROR(SEARCH(search!$B$6,samples!I55,1),0)</f>
        <v>0</v>
      </c>
      <c r="S518" t="str">
        <f>IF(samples!J55=0,"",samples!J55)</f>
        <v/>
      </c>
      <c r="T518">
        <f>IFERROR(SEARCH(search!$B$6,samples!J55,1),0)</f>
        <v>0</v>
      </c>
      <c r="U518" t="str">
        <f>IF(samples!K55=0,"",samples!K55)</f>
        <v/>
      </c>
      <c r="V518">
        <f>IFERROR(SEARCH(search!$B$6,samples!K55,1),0)</f>
        <v>0</v>
      </c>
      <c r="W518" t="str">
        <f>IF(samples!L55=0,"",samples!L55)</f>
        <v/>
      </c>
      <c r="X518">
        <f>IFERROR(SEARCH(search!$B$6,samples!L55,1),0)</f>
        <v>0</v>
      </c>
      <c r="Y518" t="str">
        <f>IF(samples!M55=0,"",samples!M55)</f>
        <v/>
      </c>
      <c r="Z518">
        <f>IFERROR(SEARCH(search!$B$6,samples!M55,1),0)</f>
        <v>0</v>
      </c>
      <c r="AA518" t="str">
        <f>IF(samples!N55=0,"",samples!N55)</f>
        <v/>
      </c>
      <c r="AB518">
        <f>IFERROR(SEARCH(search!$B$6,samples!N55,1),0)</f>
        <v>0</v>
      </c>
      <c r="AC518" t="str">
        <f>IF(samples!O55=0,"",samples!O55)</f>
        <v/>
      </c>
      <c r="AD518">
        <f>IFERROR(SEARCH(search!$B$6,samples!O55,1),0)</f>
        <v>0</v>
      </c>
    </row>
    <row r="519" spans="1:30">
      <c r="A519">
        <f t="shared" si="8"/>
        <v>0</v>
      </c>
      <c r="B519">
        <f>IF(SUM(D519,F519,H519,J519,L519,N519,P519,R519,T519,V519,X519,Z519,AB519,AD519)&gt;0,SUM($A$2:A519),0)</f>
        <v>0</v>
      </c>
      <c r="C519">
        <f>samples!B56</f>
        <v>0</v>
      </c>
      <c r="D519">
        <f>IFERROR(SEARCH(search!$B$6,samples!B56,1),0)</f>
        <v>0</v>
      </c>
      <c r="E519" t="str">
        <f>IF(samples!C56=0,"",samples!C56)</f>
        <v/>
      </c>
      <c r="F519">
        <f>IFERROR(SEARCH(search!$B$6,samples!C56,1),0)</f>
        <v>0</v>
      </c>
      <c r="G519" t="str">
        <f>IF(samples!D56=0,"",samples!D56)</f>
        <v/>
      </c>
      <c r="H519">
        <f>IFERROR(SEARCH(search!$B$6,samples!D56,1),0)</f>
        <v>0</v>
      </c>
      <c r="I519" t="str">
        <f>IF(samples!E56=0,"",samples!E56)</f>
        <v/>
      </c>
      <c r="J519">
        <f>IFERROR(SEARCH(search!$B$6,samples!E56,1),0)</f>
        <v>0</v>
      </c>
      <c r="K519" t="str">
        <f>IF(samples!F56=0,"",samples!F56)</f>
        <v/>
      </c>
      <c r="L519">
        <f>IFERROR(SEARCH(search!$B$6,samples!F56,1),0)</f>
        <v>0</v>
      </c>
      <c r="M519" t="str">
        <f>IF(samples!G56=0,"",samples!G56)</f>
        <v/>
      </c>
      <c r="N519">
        <f>IFERROR(SEARCH(search!$B$6,samples!G56,1),0)</f>
        <v>0</v>
      </c>
      <c r="O519" t="str">
        <f>IF(samples!H56=0,"",samples!H56)</f>
        <v/>
      </c>
      <c r="P519">
        <f>IFERROR(SEARCH(search!$B$6,samples!H56,1),0)</f>
        <v>0</v>
      </c>
      <c r="Q519" t="str">
        <f>IF(samples!I56=0,"",samples!I56)</f>
        <v/>
      </c>
      <c r="R519">
        <f>IFERROR(SEARCH(search!$B$6,samples!I56,1),0)</f>
        <v>0</v>
      </c>
      <c r="S519" t="str">
        <f>IF(samples!J56=0,"",samples!J56)</f>
        <v/>
      </c>
      <c r="T519">
        <f>IFERROR(SEARCH(search!$B$6,samples!J56,1),0)</f>
        <v>0</v>
      </c>
      <c r="U519" t="str">
        <f>IF(samples!K56=0,"",samples!K56)</f>
        <v/>
      </c>
      <c r="V519">
        <f>IFERROR(SEARCH(search!$B$6,samples!K56,1),0)</f>
        <v>0</v>
      </c>
      <c r="W519" t="str">
        <f>IF(samples!L56=0,"",samples!L56)</f>
        <v/>
      </c>
      <c r="X519">
        <f>IFERROR(SEARCH(search!$B$6,samples!L56,1),0)</f>
        <v>0</v>
      </c>
      <c r="Y519" t="str">
        <f>IF(samples!M56=0,"",samples!M56)</f>
        <v/>
      </c>
      <c r="Z519">
        <f>IFERROR(SEARCH(search!$B$6,samples!M56,1),0)</f>
        <v>0</v>
      </c>
      <c r="AA519" t="str">
        <f>IF(samples!N56=0,"",samples!N56)</f>
        <v/>
      </c>
      <c r="AB519">
        <f>IFERROR(SEARCH(search!$B$6,samples!N56,1),0)</f>
        <v>0</v>
      </c>
      <c r="AC519" t="str">
        <f>IF(samples!O56=0,"",samples!O56)</f>
        <v/>
      </c>
      <c r="AD519">
        <f>IFERROR(SEARCH(search!$B$6,samples!O56,1),0)</f>
        <v>0</v>
      </c>
    </row>
    <row r="520" spans="1:30">
      <c r="A520">
        <f t="shared" si="8"/>
        <v>0</v>
      </c>
      <c r="B520">
        <f>IF(SUM(D520,F520,H520,J520,L520,N520,P520,R520,T520,V520,X520,Z520,AB520,AD520)&gt;0,SUM($A$2:A520),0)</f>
        <v>0</v>
      </c>
      <c r="C520">
        <f>samples!B57</f>
        <v>0</v>
      </c>
      <c r="D520">
        <f>IFERROR(SEARCH(search!$B$6,samples!B57,1),0)</f>
        <v>0</v>
      </c>
      <c r="E520" t="str">
        <f>IF(samples!C57=0,"",samples!C57)</f>
        <v/>
      </c>
      <c r="F520">
        <f>IFERROR(SEARCH(search!$B$6,samples!C57,1),0)</f>
        <v>0</v>
      </c>
      <c r="G520" t="str">
        <f>IF(samples!D57=0,"",samples!D57)</f>
        <v/>
      </c>
      <c r="H520">
        <f>IFERROR(SEARCH(search!$B$6,samples!D57,1),0)</f>
        <v>0</v>
      </c>
      <c r="I520" t="str">
        <f>IF(samples!E57=0,"",samples!E57)</f>
        <v/>
      </c>
      <c r="J520">
        <f>IFERROR(SEARCH(search!$B$6,samples!E57,1),0)</f>
        <v>0</v>
      </c>
      <c r="K520" t="str">
        <f>IF(samples!F57=0,"",samples!F57)</f>
        <v/>
      </c>
      <c r="L520">
        <f>IFERROR(SEARCH(search!$B$6,samples!F57,1),0)</f>
        <v>0</v>
      </c>
      <c r="M520" t="str">
        <f>IF(samples!G57=0,"",samples!G57)</f>
        <v/>
      </c>
      <c r="N520">
        <f>IFERROR(SEARCH(search!$B$6,samples!G57,1),0)</f>
        <v>0</v>
      </c>
      <c r="O520" t="str">
        <f>IF(samples!H57=0,"",samples!H57)</f>
        <v/>
      </c>
      <c r="P520">
        <f>IFERROR(SEARCH(search!$B$6,samples!H57,1),0)</f>
        <v>0</v>
      </c>
      <c r="Q520" t="str">
        <f>IF(samples!I57=0,"",samples!I57)</f>
        <v/>
      </c>
      <c r="R520">
        <f>IFERROR(SEARCH(search!$B$6,samples!I57,1),0)</f>
        <v>0</v>
      </c>
      <c r="S520" t="str">
        <f>IF(samples!J57=0,"",samples!J57)</f>
        <v/>
      </c>
      <c r="T520">
        <f>IFERROR(SEARCH(search!$B$6,samples!J57,1),0)</f>
        <v>0</v>
      </c>
      <c r="U520" t="str">
        <f>IF(samples!K57=0,"",samples!K57)</f>
        <v/>
      </c>
      <c r="V520">
        <f>IFERROR(SEARCH(search!$B$6,samples!K57,1),0)</f>
        <v>0</v>
      </c>
      <c r="W520" t="str">
        <f>IF(samples!L57=0,"",samples!L57)</f>
        <v/>
      </c>
      <c r="X520">
        <f>IFERROR(SEARCH(search!$B$6,samples!L57,1),0)</f>
        <v>0</v>
      </c>
      <c r="Y520" t="str">
        <f>IF(samples!M57=0,"",samples!M57)</f>
        <v/>
      </c>
      <c r="Z520">
        <f>IFERROR(SEARCH(search!$B$6,samples!M57,1),0)</f>
        <v>0</v>
      </c>
      <c r="AA520" t="str">
        <f>IF(samples!N57=0,"",samples!N57)</f>
        <v/>
      </c>
      <c r="AB520">
        <f>IFERROR(SEARCH(search!$B$6,samples!N57,1),0)</f>
        <v>0</v>
      </c>
      <c r="AC520" t="str">
        <f>IF(samples!O57=0,"",samples!O57)</f>
        <v/>
      </c>
      <c r="AD520">
        <f>IFERROR(SEARCH(search!$B$6,samples!O57,1),0)</f>
        <v>0</v>
      </c>
    </row>
    <row r="521" spans="1:30">
      <c r="A521">
        <f t="shared" si="8"/>
        <v>0</v>
      </c>
      <c r="B521">
        <f>IF(SUM(D521,F521,H521,J521,L521,N521,P521,R521,T521,V521,X521,Z521,AB521,AD521)&gt;0,SUM($A$2:A521),0)</f>
        <v>0</v>
      </c>
      <c r="C521">
        <f>samples!B58</f>
        <v>0</v>
      </c>
      <c r="D521">
        <f>IFERROR(SEARCH(search!$B$6,samples!B58,1),0)</f>
        <v>0</v>
      </c>
      <c r="E521" t="str">
        <f>IF(samples!C58=0,"",samples!C58)</f>
        <v/>
      </c>
      <c r="F521">
        <f>IFERROR(SEARCH(search!$B$6,samples!C58,1),0)</f>
        <v>0</v>
      </c>
      <c r="G521" t="str">
        <f>IF(samples!D58=0,"",samples!D58)</f>
        <v/>
      </c>
      <c r="H521">
        <f>IFERROR(SEARCH(search!$B$6,samples!D58,1),0)</f>
        <v>0</v>
      </c>
      <c r="I521" t="str">
        <f>IF(samples!E58=0,"",samples!E58)</f>
        <v/>
      </c>
      <c r="J521">
        <f>IFERROR(SEARCH(search!$B$6,samples!E58,1),0)</f>
        <v>0</v>
      </c>
      <c r="K521" t="str">
        <f>IF(samples!F58=0,"",samples!F58)</f>
        <v/>
      </c>
      <c r="L521">
        <f>IFERROR(SEARCH(search!$B$6,samples!F58,1),0)</f>
        <v>0</v>
      </c>
      <c r="M521" t="str">
        <f>IF(samples!G58=0,"",samples!G58)</f>
        <v/>
      </c>
      <c r="N521">
        <f>IFERROR(SEARCH(search!$B$6,samples!G58,1),0)</f>
        <v>0</v>
      </c>
      <c r="O521" t="str">
        <f>IF(samples!H58=0,"",samples!H58)</f>
        <v/>
      </c>
      <c r="P521">
        <f>IFERROR(SEARCH(search!$B$6,samples!H58,1),0)</f>
        <v>0</v>
      </c>
      <c r="Q521" t="str">
        <f>IF(samples!I58=0,"",samples!I58)</f>
        <v/>
      </c>
      <c r="R521">
        <f>IFERROR(SEARCH(search!$B$6,samples!I58,1),0)</f>
        <v>0</v>
      </c>
      <c r="S521" t="str">
        <f>IF(samples!J58=0,"",samples!J58)</f>
        <v/>
      </c>
      <c r="T521">
        <f>IFERROR(SEARCH(search!$B$6,samples!J58,1),0)</f>
        <v>0</v>
      </c>
      <c r="U521" t="str">
        <f>IF(samples!K58=0,"",samples!K58)</f>
        <v/>
      </c>
      <c r="V521">
        <f>IFERROR(SEARCH(search!$B$6,samples!K58,1),0)</f>
        <v>0</v>
      </c>
      <c r="W521" t="str">
        <f>IF(samples!L58=0,"",samples!L58)</f>
        <v/>
      </c>
      <c r="X521">
        <f>IFERROR(SEARCH(search!$B$6,samples!L58,1),0)</f>
        <v>0</v>
      </c>
      <c r="Y521" t="str">
        <f>IF(samples!M58=0,"",samples!M58)</f>
        <v/>
      </c>
      <c r="Z521">
        <f>IFERROR(SEARCH(search!$B$6,samples!M58,1),0)</f>
        <v>0</v>
      </c>
      <c r="AA521" t="str">
        <f>IF(samples!N58=0,"",samples!N58)</f>
        <v/>
      </c>
      <c r="AB521">
        <f>IFERROR(SEARCH(search!$B$6,samples!N58,1),0)</f>
        <v>0</v>
      </c>
      <c r="AC521" t="str">
        <f>IF(samples!O58=0,"",samples!O58)</f>
        <v/>
      </c>
      <c r="AD521">
        <f>IFERROR(SEARCH(search!$B$6,samples!O58,1),0)</f>
        <v>0</v>
      </c>
    </row>
    <row r="522" spans="1:30">
      <c r="A522">
        <f t="shared" si="8"/>
        <v>0</v>
      </c>
      <c r="B522">
        <f>IF(SUM(D522,F522,H522,J522,L522,N522,P522,R522,T522,V522,X522,Z522,AB522,AD522)&gt;0,SUM($A$2:A522),0)</f>
        <v>0</v>
      </c>
      <c r="C522">
        <f>samples!B59</f>
        <v>0</v>
      </c>
      <c r="D522">
        <f>IFERROR(SEARCH(search!$B$6,samples!B59,1),0)</f>
        <v>0</v>
      </c>
      <c r="E522" t="str">
        <f>IF(samples!C59=0,"",samples!C59)</f>
        <v/>
      </c>
      <c r="F522">
        <f>IFERROR(SEARCH(search!$B$6,samples!C59,1),0)</f>
        <v>0</v>
      </c>
      <c r="G522" t="str">
        <f>IF(samples!D59=0,"",samples!D59)</f>
        <v/>
      </c>
      <c r="H522">
        <f>IFERROR(SEARCH(search!$B$6,samples!D59,1),0)</f>
        <v>0</v>
      </c>
      <c r="I522" t="str">
        <f>IF(samples!E59=0,"",samples!E59)</f>
        <v/>
      </c>
      <c r="J522">
        <f>IFERROR(SEARCH(search!$B$6,samples!E59,1),0)</f>
        <v>0</v>
      </c>
      <c r="K522" t="str">
        <f>IF(samples!F59=0,"",samples!F59)</f>
        <v/>
      </c>
      <c r="L522">
        <f>IFERROR(SEARCH(search!$B$6,samples!F59,1),0)</f>
        <v>0</v>
      </c>
      <c r="M522" t="str">
        <f>IF(samples!G59=0,"",samples!G59)</f>
        <v/>
      </c>
      <c r="N522">
        <f>IFERROR(SEARCH(search!$B$6,samples!G59,1),0)</f>
        <v>0</v>
      </c>
      <c r="O522" t="str">
        <f>IF(samples!H59=0,"",samples!H59)</f>
        <v/>
      </c>
      <c r="P522">
        <f>IFERROR(SEARCH(search!$B$6,samples!H59,1),0)</f>
        <v>0</v>
      </c>
      <c r="Q522" t="str">
        <f>IF(samples!I59=0,"",samples!I59)</f>
        <v/>
      </c>
      <c r="R522">
        <f>IFERROR(SEARCH(search!$B$6,samples!I59,1),0)</f>
        <v>0</v>
      </c>
      <c r="S522" t="str">
        <f>IF(samples!J59=0,"",samples!J59)</f>
        <v/>
      </c>
      <c r="T522">
        <f>IFERROR(SEARCH(search!$B$6,samples!J59,1),0)</f>
        <v>0</v>
      </c>
      <c r="U522" t="str">
        <f>IF(samples!K59=0,"",samples!K59)</f>
        <v/>
      </c>
      <c r="V522">
        <f>IFERROR(SEARCH(search!$B$6,samples!K59,1),0)</f>
        <v>0</v>
      </c>
      <c r="W522" t="str">
        <f>IF(samples!L59=0,"",samples!L59)</f>
        <v/>
      </c>
      <c r="X522">
        <f>IFERROR(SEARCH(search!$B$6,samples!L59,1),0)</f>
        <v>0</v>
      </c>
      <c r="Y522" t="str">
        <f>IF(samples!M59=0,"",samples!M59)</f>
        <v/>
      </c>
      <c r="Z522">
        <f>IFERROR(SEARCH(search!$B$6,samples!M59,1),0)</f>
        <v>0</v>
      </c>
      <c r="AA522" t="str">
        <f>IF(samples!N59=0,"",samples!N59)</f>
        <v/>
      </c>
      <c r="AB522">
        <f>IFERROR(SEARCH(search!$B$6,samples!N59,1),0)</f>
        <v>0</v>
      </c>
      <c r="AC522" t="str">
        <f>IF(samples!O59=0,"",samples!O59)</f>
        <v/>
      </c>
      <c r="AD522">
        <f>IFERROR(SEARCH(search!$B$6,samples!O59,1),0)</f>
        <v>0</v>
      </c>
    </row>
    <row r="523" spans="1:30">
      <c r="A523">
        <f t="shared" si="8"/>
        <v>0</v>
      </c>
      <c r="B523">
        <f>IF(SUM(D523,F523,H523,J523,L523,N523,P523,R523,T523,V523,X523,Z523,AB523,AD523)&gt;0,SUM($A$2:A523),0)</f>
        <v>0</v>
      </c>
      <c r="C523">
        <f>samples!B60</f>
        <v>0</v>
      </c>
      <c r="D523">
        <f>IFERROR(SEARCH(search!$B$6,samples!B60,1),0)</f>
        <v>0</v>
      </c>
      <c r="E523" t="str">
        <f>IF(samples!C60=0,"",samples!C60)</f>
        <v/>
      </c>
      <c r="F523">
        <f>IFERROR(SEARCH(search!$B$6,samples!C60,1),0)</f>
        <v>0</v>
      </c>
      <c r="G523" t="str">
        <f>IF(samples!D60=0,"",samples!D60)</f>
        <v/>
      </c>
      <c r="H523">
        <f>IFERROR(SEARCH(search!$B$6,samples!D60,1),0)</f>
        <v>0</v>
      </c>
      <c r="I523" t="str">
        <f>IF(samples!E60=0,"",samples!E60)</f>
        <v/>
      </c>
      <c r="J523">
        <f>IFERROR(SEARCH(search!$B$6,samples!E60,1),0)</f>
        <v>0</v>
      </c>
      <c r="K523" t="str">
        <f>IF(samples!F60=0,"",samples!F60)</f>
        <v/>
      </c>
      <c r="L523">
        <f>IFERROR(SEARCH(search!$B$6,samples!F60,1),0)</f>
        <v>0</v>
      </c>
      <c r="M523" t="str">
        <f>IF(samples!G60=0,"",samples!G60)</f>
        <v/>
      </c>
      <c r="N523">
        <f>IFERROR(SEARCH(search!$B$6,samples!G60,1),0)</f>
        <v>0</v>
      </c>
      <c r="O523" t="str">
        <f>IF(samples!H60=0,"",samples!H60)</f>
        <v/>
      </c>
      <c r="P523">
        <f>IFERROR(SEARCH(search!$B$6,samples!H60,1),0)</f>
        <v>0</v>
      </c>
      <c r="Q523" t="str">
        <f>IF(samples!I60=0,"",samples!I60)</f>
        <v/>
      </c>
      <c r="R523">
        <f>IFERROR(SEARCH(search!$B$6,samples!I60,1),0)</f>
        <v>0</v>
      </c>
      <c r="S523" t="str">
        <f>IF(samples!J60=0,"",samples!J60)</f>
        <v/>
      </c>
      <c r="T523">
        <f>IFERROR(SEARCH(search!$B$6,samples!J60,1),0)</f>
        <v>0</v>
      </c>
      <c r="U523" t="str">
        <f>IF(samples!K60=0,"",samples!K60)</f>
        <v/>
      </c>
      <c r="V523">
        <f>IFERROR(SEARCH(search!$B$6,samples!K60,1),0)</f>
        <v>0</v>
      </c>
      <c r="W523" t="str">
        <f>IF(samples!L60=0,"",samples!L60)</f>
        <v/>
      </c>
      <c r="X523">
        <f>IFERROR(SEARCH(search!$B$6,samples!L60,1),0)</f>
        <v>0</v>
      </c>
      <c r="Y523" t="str">
        <f>IF(samples!M60=0,"",samples!M60)</f>
        <v/>
      </c>
      <c r="Z523">
        <f>IFERROR(SEARCH(search!$B$6,samples!M60,1),0)</f>
        <v>0</v>
      </c>
      <c r="AA523" t="str">
        <f>IF(samples!N60=0,"",samples!N60)</f>
        <v/>
      </c>
      <c r="AB523">
        <f>IFERROR(SEARCH(search!$B$6,samples!N60,1),0)</f>
        <v>0</v>
      </c>
      <c r="AC523" t="str">
        <f>IF(samples!O60=0,"",samples!O60)</f>
        <v/>
      </c>
      <c r="AD523">
        <f>IFERROR(SEARCH(search!$B$6,samples!O60,1),0)</f>
        <v>0</v>
      </c>
    </row>
    <row r="524" spans="1:30">
      <c r="A524">
        <f t="shared" si="8"/>
        <v>0</v>
      </c>
      <c r="B524">
        <f>IF(SUM(D524,F524,H524,J524,L524,N524,P524,R524,T524,V524,X524,Z524,AB524,AD524)&gt;0,SUM($A$2:A524),0)</f>
        <v>0</v>
      </c>
      <c r="C524">
        <f>samples!B61</f>
        <v>0</v>
      </c>
      <c r="D524">
        <f>IFERROR(SEARCH(search!$B$6,samples!B61,1),0)</f>
        <v>0</v>
      </c>
      <c r="E524" t="str">
        <f>IF(samples!C61=0,"",samples!C61)</f>
        <v/>
      </c>
      <c r="F524">
        <f>IFERROR(SEARCH(search!$B$6,samples!C61,1),0)</f>
        <v>0</v>
      </c>
      <c r="G524" t="str">
        <f>IF(samples!D61=0,"",samples!D61)</f>
        <v/>
      </c>
      <c r="H524">
        <f>IFERROR(SEARCH(search!$B$6,samples!D61,1),0)</f>
        <v>0</v>
      </c>
      <c r="I524" t="str">
        <f>IF(samples!E61=0,"",samples!E61)</f>
        <v/>
      </c>
      <c r="J524">
        <f>IFERROR(SEARCH(search!$B$6,samples!E61,1),0)</f>
        <v>0</v>
      </c>
      <c r="K524" t="str">
        <f>IF(samples!F61=0,"",samples!F61)</f>
        <v/>
      </c>
      <c r="L524">
        <f>IFERROR(SEARCH(search!$B$6,samples!F61,1),0)</f>
        <v>0</v>
      </c>
      <c r="M524" t="str">
        <f>IF(samples!G61=0,"",samples!G61)</f>
        <v/>
      </c>
      <c r="N524">
        <f>IFERROR(SEARCH(search!$B$6,samples!G61,1),0)</f>
        <v>0</v>
      </c>
      <c r="O524" t="str">
        <f>IF(samples!H61=0,"",samples!H61)</f>
        <v/>
      </c>
      <c r="P524">
        <f>IFERROR(SEARCH(search!$B$6,samples!H61,1),0)</f>
        <v>0</v>
      </c>
      <c r="Q524" t="str">
        <f>IF(samples!I61=0,"",samples!I61)</f>
        <v/>
      </c>
      <c r="R524">
        <f>IFERROR(SEARCH(search!$B$6,samples!I61,1),0)</f>
        <v>0</v>
      </c>
      <c r="S524" t="str">
        <f>IF(samples!J61=0,"",samples!J61)</f>
        <v/>
      </c>
      <c r="T524">
        <f>IFERROR(SEARCH(search!$B$6,samples!J61,1),0)</f>
        <v>0</v>
      </c>
      <c r="U524" t="str">
        <f>IF(samples!K61=0,"",samples!K61)</f>
        <v/>
      </c>
      <c r="V524">
        <f>IFERROR(SEARCH(search!$B$6,samples!K61,1),0)</f>
        <v>0</v>
      </c>
      <c r="W524" t="str">
        <f>IF(samples!L61=0,"",samples!L61)</f>
        <v/>
      </c>
      <c r="X524">
        <f>IFERROR(SEARCH(search!$B$6,samples!L61,1),0)</f>
        <v>0</v>
      </c>
      <c r="Y524" t="str">
        <f>IF(samples!M61=0,"",samples!M61)</f>
        <v/>
      </c>
      <c r="Z524">
        <f>IFERROR(SEARCH(search!$B$6,samples!M61,1),0)</f>
        <v>0</v>
      </c>
      <c r="AA524" t="str">
        <f>IF(samples!N61=0,"",samples!N61)</f>
        <v/>
      </c>
      <c r="AB524">
        <f>IFERROR(SEARCH(search!$B$6,samples!N61,1),0)</f>
        <v>0</v>
      </c>
      <c r="AC524" t="str">
        <f>IF(samples!O61=0,"",samples!O61)</f>
        <v/>
      </c>
      <c r="AD524">
        <f>IFERROR(SEARCH(search!$B$6,samples!O61,1),0)</f>
        <v>0</v>
      </c>
    </row>
    <row r="525" spans="1:30">
      <c r="A525">
        <f t="shared" si="8"/>
        <v>0</v>
      </c>
      <c r="B525">
        <f>IF(SUM(D525,F525,H525,J525,L525,N525,P525,R525,T525,V525,X525,Z525,AB525,AD525)&gt;0,SUM($A$2:A525),0)</f>
        <v>0</v>
      </c>
      <c r="C525">
        <f>samples!B62</f>
        <v>0</v>
      </c>
      <c r="D525">
        <f>IFERROR(SEARCH(search!$B$6,samples!B62,1),0)</f>
        <v>0</v>
      </c>
      <c r="E525" t="str">
        <f>IF(samples!C62=0,"",samples!C62)</f>
        <v/>
      </c>
      <c r="F525">
        <f>IFERROR(SEARCH(search!$B$6,samples!C62,1),0)</f>
        <v>0</v>
      </c>
      <c r="G525" t="str">
        <f>IF(samples!D62=0,"",samples!D62)</f>
        <v/>
      </c>
      <c r="H525">
        <f>IFERROR(SEARCH(search!$B$6,samples!D62,1),0)</f>
        <v>0</v>
      </c>
      <c r="I525" t="str">
        <f>IF(samples!E62=0,"",samples!E62)</f>
        <v/>
      </c>
      <c r="J525">
        <f>IFERROR(SEARCH(search!$B$6,samples!E62,1),0)</f>
        <v>0</v>
      </c>
      <c r="K525" t="str">
        <f>IF(samples!F62=0,"",samples!F62)</f>
        <v/>
      </c>
      <c r="L525">
        <f>IFERROR(SEARCH(search!$B$6,samples!F62,1),0)</f>
        <v>0</v>
      </c>
      <c r="M525" t="str">
        <f>IF(samples!G62=0,"",samples!G62)</f>
        <v/>
      </c>
      <c r="N525">
        <f>IFERROR(SEARCH(search!$B$6,samples!G62,1),0)</f>
        <v>0</v>
      </c>
      <c r="O525" t="str">
        <f>IF(samples!H62=0,"",samples!H62)</f>
        <v/>
      </c>
      <c r="P525">
        <f>IFERROR(SEARCH(search!$B$6,samples!H62,1),0)</f>
        <v>0</v>
      </c>
      <c r="Q525" t="str">
        <f>IF(samples!I62=0,"",samples!I62)</f>
        <v/>
      </c>
      <c r="R525">
        <f>IFERROR(SEARCH(search!$B$6,samples!I62,1),0)</f>
        <v>0</v>
      </c>
      <c r="S525" t="str">
        <f>IF(samples!J62=0,"",samples!J62)</f>
        <v/>
      </c>
      <c r="T525">
        <f>IFERROR(SEARCH(search!$B$6,samples!J62,1),0)</f>
        <v>0</v>
      </c>
      <c r="U525" t="str">
        <f>IF(samples!K62=0,"",samples!K62)</f>
        <v/>
      </c>
      <c r="V525">
        <f>IFERROR(SEARCH(search!$B$6,samples!K62,1),0)</f>
        <v>0</v>
      </c>
      <c r="W525" t="str">
        <f>IF(samples!L62=0,"",samples!L62)</f>
        <v/>
      </c>
      <c r="X525">
        <f>IFERROR(SEARCH(search!$B$6,samples!L62,1),0)</f>
        <v>0</v>
      </c>
      <c r="Y525" t="str">
        <f>IF(samples!M62=0,"",samples!M62)</f>
        <v/>
      </c>
      <c r="Z525">
        <f>IFERROR(SEARCH(search!$B$6,samples!M62,1),0)</f>
        <v>0</v>
      </c>
      <c r="AA525" t="str">
        <f>IF(samples!N62=0,"",samples!N62)</f>
        <v/>
      </c>
      <c r="AB525">
        <f>IFERROR(SEARCH(search!$B$6,samples!N62,1),0)</f>
        <v>0</v>
      </c>
      <c r="AC525" t="str">
        <f>IF(samples!O62=0,"",samples!O62)</f>
        <v/>
      </c>
      <c r="AD525">
        <f>IFERROR(SEARCH(search!$B$6,samples!O62,1),0)</f>
        <v>0</v>
      </c>
    </row>
    <row r="526" spans="1:30">
      <c r="A526">
        <f t="shared" si="8"/>
        <v>0</v>
      </c>
      <c r="B526">
        <f>IF(SUM(D526,F526,H526,J526,L526,N526,P526,R526,T526,V526,X526,Z526,AB526,AD526)&gt;0,SUM($A$2:A526),0)</f>
        <v>0</v>
      </c>
      <c r="C526">
        <f>samples!B63</f>
        <v>0</v>
      </c>
      <c r="D526">
        <f>IFERROR(SEARCH(search!$B$6,samples!B63,1),0)</f>
        <v>0</v>
      </c>
      <c r="E526" t="str">
        <f>IF(samples!C63=0,"",samples!C63)</f>
        <v/>
      </c>
      <c r="F526">
        <f>IFERROR(SEARCH(search!$B$6,samples!C63,1),0)</f>
        <v>0</v>
      </c>
      <c r="G526" t="str">
        <f>IF(samples!D63=0,"",samples!D63)</f>
        <v/>
      </c>
      <c r="H526">
        <f>IFERROR(SEARCH(search!$B$6,samples!D63,1),0)</f>
        <v>0</v>
      </c>
      <c r="I526" t="str">
        <f>IF(samples!E63=0,"",samples!E63)</f>
        <v/>
      </c>
      <c r="J526">
        <f>IFERROR(SEARCH(search!$B$6,samples!E63,1),0)</f>
        <v>0</v>
      </c>
      <c r="K526" t="str">
        <f>IF(samples!F63=0,"",samples!F63)</f>
        <v/>
      </c>
      <c r="L526">
        <f>IFERROR(SEARCH(search!$B$6,samples!F63,1),0)</f>
        <v>0</v>
      </c>
      <c r="M526" t="str">
        <f>IF(samples!G63=0,"",samples!G63)</f>
        <v/>
      </c>
      <c r="N526">
        <f>IFERROR(SEARCH(search!$B$6,samples!G63,1),0)</f>
        <v>0</v>
      </c>
      <c r="O526" t="str">
        <f>IF(samples!H63=0,"",samples!H63)</f>
        <v/>
      </c>
      <c r="P526">
        <f>IFERROR(SEARCH(search!$B$6,samples!H63,1),0)</f>
        <v>0</v>
      </c>
      <c r="Q526" t="str">
        <f>IF(samples!I63=0,"",samples!I63)</f>
        <v/>
      </c>
      <c r="R526">
        <f>IFERROR(SEARCH(search!$B$6,samples!I63,1),0)</f>
        <v>0</v>
      </c>
      <c r="S526" t="str">
        <f>IF(samples!J63=0,"",samples!J63)</f>
        <v/>
      </c>
      <c r="T526">
        <f>IFERROR(SEARCH(search!$B$6,samples!J63,1),0)</f>
        <v>0</v>
      </c>
      <c r="U526" t="str">
        <f>IF(samples!K63=0,"",samples!K63)</f>
        <v/>
      </c>
      <c r="V526">
        <f>IFERROR(SEARCH(search!$B$6,samples!K63,1),0)</f>
        <v>0</v>
      </c>
      <c r="W526" t="str">
        <f>IF(samples!L63=0,"",samples!L63)</f>
        <v/>
      </c>
      <c r="X526">
        <f>IFERROR(SEARCH(search!$B$6,samples!L63,1),0)</f>
        <v>0</v>
      </c>
      <c r="Y526" t="str">
        <f>IF(samples!M63=0,"",samples!M63)</f>
        <v/>
      </c>
      <c r="Z526">
        <f>IFERROR(SEARCH(search!$B$6,samples!M63,1),0)</f>
        <v>0</v>
      </c>
      <c r="AA526" t="str">
        <f>IF(samples!N63=0,"",samples!N63)</f>
        <v/>
      </c>
      <c r="AB526">
        <f>IFERROR(SEARCH(search!$B$6,samples!N63,1),0)</f>
        <v>0</v>
      </c>
      <c r="AC526" t="str">
        <f>IF(samples!O63=0,"",samples!O63)</f>
        <v/>
      </c>
      <c r="AD526">
        <f>IFERROR(SEARCH(search!$B$6,samples!O63,1),0)</f>
        <v>0</v>
      </c>
    </row>
    <row r="527" spans="1:30">
      <c r="A527">
        <f t="shared" si="8"/>
        <v>0</v>
      </c>
      <c r="B527">
        <f>IF(SUM(D527,F527,H527,J527,L527,N527,P527,R527,T527,V527,X527,Z527,AB527,AD527)&gt;0,SUM($A$2:A527),0)</f>
        <v>0</v>
      </c>
      <c r="C527">
        <f>samples!B64</f>
        <v>0</v>
      </c>
      <c r="D527">
        <f>IFERROR(SEARCH(search!$B$6,samples!B64,1),0)</f>
        <v>0</v>
      </c>
      <c r="E527" t="str">
        <f>IF(samples!C64=0,"",samples!C64)</f>
        <v/>
      </c>
      <c r="F527">
        <f>IFERROR(SEARCH(search!$B$6,samples!C64,1),0)</f>
        <v>0</v>
      </c>
      <c r="G527" t="str">
        <f>IF(samples!D64=0,"",samples!D64)</f>
        <v/>
      </c>
      <c r="H527">
        <f>IFERROR(SEARCH(search!$B$6,samples!D64,1),0)</f>
        <v>0</v>
      </c>
      <c r="I527" t="str">
        <f>IF(samples!E64=0,"",samples!E64)</f>
        <v/>
      </c>
      <c r="J527">
        <f>IFERROR(SEARCH(search!$B$6,samples!E64,1),0)</f>
        <v>0</v>
      </c>
      <c r="K527" t="str">
        <f>IF(samples!F64=0,"",samples!F64)</f>
        <v/>
      </c>
      <c r="L527">
        <f>IFERROR(SEARCH(search!$B$6,samples!F64,1),0)</f>
        <v>0</v>
      </c>
      <c r="M527" t="str">
        <f>IF(samples!G64=0,"",samples!G64)</f>
        <v/>
      </c>
      <c r="N527">
        <f>IFERROR(SEARCH(search!$B$6,samples!G64,1),0)</f>
        <v>0</v>
      </c>
      <c r="O527" t="str">
        <f>IF(samples!H64=0,"",samples!H64)</f>
        <v/>
      </c>
      <c r="P527">
        <f>IFERROR(SEARCH(search!$B$6,samples!H64,1),0)</f>
        <v>0</v>
      </c>
      <c r="Q527" t="str">
        <f>IF(samples!I64=0,"",samples!I64)</f>
        <v/>
      </c>
      <c r="R527">
        <f>IFERROR(SEARCH(search!$B$6,samples!I64,1),0)</f>
        <v>0</v>
      </c>
      <c r="S527" t="str">
        <f>IF(samples!J64=0,"",samples!J64)</f>
        <v/>
      </c>
      <c r="T527">
        <f>IFERROR(SEARCH(search!$B$6,samples!J64,1),0)</f>
        <v>0</v>
      </c>
      <c r="U527" t="str">
        <f>IF(samples!K64=0,"",samples!K64)</f>
        <v/>
      </c>
      <c r="V527">
        <f>IFERROR(SEARCH(search!$B$6,samples!K64,1),0)</f>
        <v>0</v>
      </c>
      <c r="W527" t="str">
        <f>IF(samples!L64=0,"",samples!L64)</f>
        <v/>
      </c>
      <c r="X527">
        <f>IFERROR(SEARCH(search!$B$6,samples!L64,1),0)</f>
        <v>0</v>
      </c>
      <c r="Y527" t="str">
        <f>IF(samples!M64=0,"",samples!M64)</f>
        <v/>
      </c>
      <c r="Z527">
        <f>IFERROR(SEARCH(search!$B$6,samples!M64,1),0)</f>
        <v>0</v>
      </c>
      <c r="AA527" t="str">
        <f>IF(samples!N64=0,"",samples!N64)</f>
        <v/>
      </c>
      <c r="AB527">
        <f>IFERROR(SEARCH(search!$B$6,samples!N64,1),0)</f>
        <v>0</v>
      </c>
      <c r="AC527" t="str">
        <f>IF(samples!O64=0,"",samples!O64)</f>
        <v/>
      </c>
      <c r="AD527">
        <f>IFERROR(SEARCH(search!$B$6,samples!O64,1),0)</f>
        <v>0</v>
      </c>
    </row>
    <row r="528" spans="1:30">
      <c r="A528">
        <f t="shared" si="8"/>
        <v>0</v>
      </c>
      <c r="B528">
        <f>IF(SUM(D528,F528,H528,J528,L528,N528,P528,R528,T528,V528,X528,Z528,AB528,AD528)&gt;0,SUM($A$2:A528),0)</f>
        <v>0</v>
      </c>
      <c r="C528">
        <f>samples!B65</f>
        <v>0</v>
      </c>
      <c r="D528">
        <f>IFERROR(SEARCH(search!$B$6,samples!B65,1),0)</f>
        <v>0</v>
      </c>
      <c r="E528" t="str">
        <f>IF(samples!C65=0,"",samples!C65)</f>
        <v/>
      </c>
      <c r="F528">
        <f>IFERROR(SEARCH(search!$B$6,samples!C65,1),0)</f>
        <v>0</v>
      </c>
      <c r="G528" t="str">
        <f>IF(samples!D65=0,"",samples!D65)</f>
        <v/>
      </c>
      <c r="H528">
        <f>IFERROR(SEARCH(search!$B$6,samples!D65,1),0)</f>
        <v>0</v>
      </c>
      <c r="I528" t="str">
        <f>IF(samples!E65=0,"",samples!E65)</f>
        <v/>
      </c>
      <c r="J528">
        <f>IFERROR(SEARCH(search!$B$6,samples!E65,1),0)</f>
        <v>0</v>
      </c>
      <c r="K528" t="str">
        <f>IF(samples!F65=0,"",samples!F65)</f>
        <v/>
      </c>
      <c r="L528">
        <f>IFERROR(SEARCH(search!$B$6,samples!F65,1),0)</f>
        <v>0</v>
      </c>
      <c r="M528" t="str">
        <f>IF(samples!G65=0,"",samples!G65)</f>
        <v/>
      </c>
      <c r="N528">
        <f>IFERROR(SEARCH(search!$B$6,samples!G65,1),0)</f>
        <v>0</v>
      </c>
      <c r="O528" t="str">
        <f>IF(samples!H65=0,"",samples!H65)</f>
        <v/>
      </c>
      <c r="P528">
        <f>IFERROR(SEARCH(search!$B$6,samples!H65,1),0)</f>
        <v>0</v>
      </c>
      <c r="Q528" t="str">
        <f>IF(samples!I65=0,"",samples!I65)</f>
        <v/>
      </c>
      <c r="R528">
        <f>IFERROR(SEARCH(search!$B$6,samples!I65,1),0)</f>
        <v>0</v>
      </c>
      <c r="S528" t="str">
        <f>IF(samples!J65=0,"",samples!J65)</f>
        <v/>
      </c>
      <c r="T528">
        <f>IFERROR(SEARCH(search!$B$6,samples!J65,1),0)</f>
        <v>0</v>
      </c>
      <c r="U528" t="str">
        <f>IF(samples!K65=0,"",samples!K65)</f>
        <v/>
      </c>
      <c r="V528">
        <f>IFERROR(SEARCH(search!$B$6,samples!K65,1),0)</f>
        <v>0</v>
      </c>
      <c r="W528" t="str">
        <f>IF(samples!L65=0,"",samples!L65)</f>
        <v/>
      </c>
      <c r="X528">
        <f>IFERROR(SEARCH(search!$B$6,samples!L65,1),0)</f>
        <v>0</v>
      </c>
      <c r="Y528" t="str">
        <f>IF(samples!M65=0,"",samples!M65)</f>
        <v/>
      </c>
      <c r="Z528">
        <f>IFERROR(SEARCH(search!$B$6,samples!M65,1),0)</f>
        <v>0</v>
      </c>
      <c r="AA528" t="str">
        <f>IF(samples!N65=0,"",samples!N65)</f>
        <v/>
      </c>
      <c r="AB528">
        <f>IFERROR(SEARCH(search!$B$6,samples!N65,1),0)</f>
        <v>0</v>
      </c>
      <c r="AC528" t="str">
        <f>IF(samples!O65=0,"",samples!O65)</f>
        <v/>
      </c>
      <c r="AD528">
        <f>IFERROR(SEARCH(search!$B$6,samples!O65,1),0)</f>
        <v>0</v>
      </c>
    </row>
    <row r="529" spans="1:30">
      <c r="A529">
        <f t="shared" si="8"/>
        <v>0</v>
      </c>
      <c r="B529">
        <f>IF(SUM(D529,F529,H529,J529,L529,N529,P529,R529,T529,V529,X529,Z529,AB529,AD529)&gt;0,SUM($A$2:A529),0)</f>
        <v>0</v>
      </c>
      <c r="C529">
        <f>samples!B66</f>
        <v>0</v>
      </c>
      <c r="D529">
        <f>IFERROR(SEARCH(search!$B$6,samples!B66,1),0)</f>
        <v>0</v>
      </c>
      <c r="E529" t="str">
        <f>IF(samples!C66=0,"",samples!C66)</f>
        <v/>
      </c>
      <c r="F529">
        <f>IFERROR(SEARCH(search!$B$6,samples!C66,1),0)</f>
        <v>0</v>
      </c>
      <c r="G529" t="str">
        <f>IF(samples!D66=0,"",samples!D66)</f>
        <v/>
      </c>
      <c r="H529">
        <f>IFERROR(SEARCH(search!$B$6,samples!D66,1),0)</f>
        <v>0</v>
      </c>
      <c r="I529" t="str">
        <f>IF(samples!E66=0,"",samples!E66)</f>
        <v/>
      </c>
      <c r="J529">
        <f>IFERROR(SEARCH(search!$B$6,samples!E66,1),0)</f>
        <v>0</v>
      </c>
      <c r="K529" t="str">
        <f>IF(samples!F66=0,"",samples!F66)</f>
        <v/>
      </c>
      <c r="L529">
        <f>IFERROR(SEARCH(search!$B$6,samples!F66,1),0)</f>
        <v>0</v>
      </c>
      <c r="M529" t="str">
        <f>IF(samples!G66=0,"",samples!G66)</f>
        <v/>
      </c>
      <c r="N529">
        <f>IFERROR(SEARCH(search!$B$6,samples!G66,1),0)</f>
        <v>0</v>
      </c>
      <c r="O529" t="str">
        <f>IF(samples!H66=0,"",samples!H66)</f>
        <v/>
      </c>
      <c r="P529">
        <f>IFERROR(SEARCH(search!$B$6,samples!H66,1),0)</f>
        <v>0</v>
      </c>
      <c r="Q529" t="str">
        <f>IF(samples!I66=0,"",samples!I66)</f>
        <v/>
      </c>
      <c r="R529">
        <f>IFERROR(SEARCH(search!$B$6,samples!I66,1),0)</f>
        <v>0</v>
      </c>
      <c r="S529" t="str">
        <f>IF(samples!J66=0,"",samples!J66)</f>
        <v/>
      </c>
      <c r="T529">
        <f>IFERROR(SEARCH(search!$B$6,samples!J66,1),0)</f>
        <v>0</v>
      </c>
      <c r="U529" t="str">
        <f>IF(samples!K66=0,"",samples!K66)</f>
        <v/>
      </c>
      <c r="V529">
        <f>IFERROR(SEARCH(search!$B$6,samples!K66,1),0)</f>
        <v>0</v>
      </c>
      <c r="W529" t="str">
        <f>IF(samples!L66=0,"",samples!L66)</f>
        <v/>
      </c>
      <c r="X529">
        <f>IFERROR(SEARCH(search!$B$6,samples!L66,1),0)</f>
        <v>0</v>
      </c>
      <c r="Y529" t="str">
        <f>IF(samples!M66=0,"",samples!M66)</f>
        <v/>
      </c>
      <c r="Z529">
        <f>IFERROR(SEARCH(search!$B$6,samples!M66,1),0)</f>
        <v>0</v>
      </c>
      <c r="AA529" t="str">
        <f>IF(samples!N66=0,"",samples!N66)</f>
        <v/>
      </c>
      <c r="AB529">
        <f>IFERROR(SEARCH(search!$B$6,samples!N66,1),0)</f>
        <v>0</v>
      </c>
      <c r="AC529" t="str">
        <f>IF(samples!O66=0,"",samples!O66)</f>
        <v/>
      </c>
      <c r="AD529">
        <f>IFERROR(SEARCH(search!$B$6,samples!O66,1),0)</f>
        <v>0</v>
      </c>
    </row>
    <row r="530" spans="1:30">
      <c r="A530">
        <f t="shared" si="8"/>
        <v>0</v>
      </c>
      <c r="B530">
        <f>IF(SUM(D530,F530,H530,J530,L530,N530,P530,R530,T530,V530,X530,Z530,AB530,AD530)&gt;0,SUM($A$2:A530),0)</f>
        <v>0</v>
      </c>
      <c r="C530">
        <f>samples!B67</f>
        <v>0</v>
      </c>
      <c r="D530">
        <f>IFERROR(SEARCH(search!$B$6,samples!B67,1),0)</f>
        <v>0</v>
      </c>
      <c r="E530" t="str">
        <f>IF(samples!C67=0,"",samples!C67)</f>
        <v/>
      </c>
      <c r="F530">
        <f>IFERROR(SEARCH(search!$B$6,samples!C67,1),0)</f>
        <v>0</v>
      </c>
      <c r="G530" t="str">
        <f>IF(samples!D67=0,"",samples!D67)</f>
        <v/>
      </c>
      <c r="H530">
        <f>IFERROR(SEARCH(search!$B$6,samples!D67,1),0)</f>
        <v>0</v>
      </c>
      <c r="I530" t="str">
        <f>IF(samples!E67=0,"",samples!E67)</f>
        <v/>
      </c>
      <c r="J530">
        <f>IFERROR(SEARCH(search!$B$6,samples!E67,1),0)</f>
        <v>0</v>
      </c>
      <c r="K530" t="str">
        <f>IF(samples!F67=0,"",samples!F67)</f>
        <v/>
      </c>
      <c r="L530">
        <f>IFERROR(SEARCH(search!$B$6,samples!F67,1),0)</f>
        <v>0</v>
      </c>
      <c r="M530" t="str">
        <f>IF(samples!G67=0,"",samples!G67)</f>
        <v/>
      </c>
      <c r="N530">
        <f>IFERROR(SEARCH(search!$B$6,samples!G67,1),0)</f>
        <v>0</v>
      </c>
      <c r="O530" t="str">
        <f>IF(samples!H67=0,"",samples!H67)</f>
        <v/>
      </c>
      <c r="P530">
        <f>IFERROR(SEARCH(search!$B$6,samples!H67,1),0)</f>
        <v>0</v>
      </c>
      <c r="Q530" t="str">
        <f>IF(samples!I67=0,"",samples!I67)</f>
        <v/>
      </c>
      <c r="R530">
        <f>IFERROR(SEARCH(search!$B$6,samples!I67,1),0)</f>
        <v>0</v>
      </c>
      <c r="S530" t="str">
        <f>IF(samples!J67=0,"",samples!J67)</f>
        <v/>
      </c>
      <c r="T530">
        <f>IFERROR(SEARCH(search!$B$6,samples!J67,1),0)</f>
        <v>0</v>
      </c>
      <c r="U530" t="str">
        <f>IF(samples!K67=0,"",samples!K67)</f>
        <v/>
      </c>
      <c r="V530">
        <f>IFERROR(SEARCH(search!$B$6,samples!K67,1),0)</f>
        <v>0</v>
      </c>
      <c r="W530" t="str">
        <f>IF(samples!L67=0,"",samples!L67)</f>
        <v/>
      </c>
      <c r="X530">
        <f>IFERROR(SEARCH(search!$B$6,samples!L67,1),0)</f>
        <v>0</v>
      </c>
      <c r="Y530" t="str">
        <f>IF(samples!M67=0,"",samples!M67)</f>
        <v/>
      </c>
      <c r="Z530">
        <f>IFERROR(SEARCH(search!$B$6,samples!M67,1),0)</f>
        <v>0</v>
      </c>
      <c r="AA530" t="str">
        <f>IF(samples!N67=0,"",samples!N67)</f>
        <v/>
      </c>
      <c r="AB530">
        <f>IFERROR(SEARCH(search!$B$6,samples!N67,1),0)</f>
        <v>0</v>
      </c>
      <c r="AC530" t="str">
        <f>IF(samples!O67=0,"",samples!O67)</f>
        <v/>
      </c>
      <c r="AD530">
        <f>IFERROR(SEARCH(search!$B$6,samples!O67,1),0)</f>
        <v>0</v>
      </c>
    </row>
    <row r="531" spans="1:30">
      <c r="A531">
        <f t="shared" si="8"/>
        <v>0</v>
      </c>
      <c r="B531">
        <f>IF(SUM(D531,F531,H531,J531,L531,N531,P531,R531,T531,V531,X531,Z531,AB531,AD531)&gt;0,SUM($A$2:A531),0)</f>
        <v>0</v>
      </c>
      <c r="C531">
        <f>samples!B68</f>
        <v>0</v>
      </c>
      <c r="D531">
        <f>IFERROR(SEARCH(search!$B$6,samples!B68,1),0)</f>
        <v>0</v>
      </c>
      <c r="E531" t="str">
        <f>IF(samples!C68=0,"",samples!C68)</f>
        <v/>
      </c>
      <c r="F531">
        <f>IFERROR(SEARCH(search!$B$6,samples!C68,1),0)</f>
        <v>0</v>
      </c>
      <c r="G531" t="str">
        <f>IF(samples!D68=0,"",samples!D68)</f>
        <v/>
      </c>
      <c r="H531">
        <f>IFERROR(SEARCH(search!$B$6,samples!D68,1),0)</f>
        <v>0</v>
      </c>
      <c r="I531" t="str">
        <f>IF(samples!E68=0,"",samples!E68)</f>
        <v/>
      </c>
      <c r="J531">
        <f>IFERROR(SEARCH(search!$B$6,samples!E68,1),0)</f>
        <v>0</v>
      </c>
      <c r="K531" t="str">
        <f>IF(samples!F68=0,"",samples!F68)</f>
        <v/>
      </c>
      <c r="L531">
        <f>IFERROR(SEARCH(search!$B$6,samples!F68,1),0)</f>
        <v>0</v>
      </c>
      <c r="M531" t="str">
        <f>IF(samples!G68=0,"",samples!G68)</f>
        <v/>
      </c>
      <c r="N531">
        <f>IFERROR(SEARCH(search!$B$6,samples!G68,1),0)</f>
        <v>0</v>
      </c>
      <c r="O531" t="str">
        <f>IF(samples!H68=0,"",samples!H68)</f>
        <v/>
      </c>
      <c r="P531">
        <f>IFERROR(SEARCH(search!$B$6,samples!H68,1),0)</f>
        <v>0</v>
      </c>
      <c r="Q531" t="str">
        <f>IF(samples!I68=0,"",samples!I68)</f>
        <v/>
      </c>
      <c r="R531">
        <f>IFERROR(SEARCH(search!$B$6,samples!I68,1),0)</f>
        <v>0</v>
      </c>
      <c r="S531" t="str">
        <f>IF(samples!J68=0,"",samples!J68)</f>
        <v/>
      </c>
      <c r="T531">
        <f>IFERROR(SEARCH(search!$B$6,samples!J68,1),0)</f>
        <v>0</v>
      </c>
      <c r="U531" t="str">
        <f>IF(samples!K68=0,"",samples!K68)</f>
        <v/>
      </c>
      <c r="V531">
        <f>IFERROR(SEARCH(search!$B$6,samples!K68,1),0)</f>
        <v>0</v>
      </c>
      <c r="W531" t="str">
        <f>IF(samples!L68=0,"",samples!L68)</f>
        <v/>
      </c>
      <c r="X531">
        <f>IFERROR(SEARCH(search!$B$6,samples!L68,1),0)</f>
        <v>0</v>
      </c>
      <c r="Y531" t="str">
        <f>IF(samples!M68=0,"",samples!M68)</f>
        <v/>
      </c>
      <c r="Z531">
        <f>IFERROR(SEARCH(search!$B$6,samples!M68,1),0)</f>
        <v>0</v>
      </c>
      <c r="AA531" t="str">
        <f>IF(samples!N68=0,"",samples!N68)</f>
        <v/>
      </c>
      <c r="AB531">
        <f>IFERROR(SEARCH(search!$B$6,samples!N68,1),0)</f>
        <v>0</v>
      </c>
      <c r="AC531" t="str">
        <f>IF(samples!O68=0,"",samples!O68)</f>
        <v/>
      </c>
      <c r="AD531">
        <f>IFERROR(SEARCH(search!$B$6,samples!O68,1),0)</f>
        <v>0</v>
      </c>
    </row>
    <row r="532" spans="1:30">
      <c r="A532">
        <f t="shared" si="8"/>
        <v>0</v>
      </c>
      <c r="B532">
        <f>IF(SUM(D532,F532,H532,J532,L532,N532,P532,R532,T532,V532,X532,Z532,AB532,AD532)&gt;0,SUM($A$2:A532),0)</f>
        <v>0</v>
      </c>
      <c r="C532">
        <f>samples!B69</f>
        <v>0</v>
      </c>
      <c r="D532">
        <f>IFERROR(SEARCH(search!$B$6,samples!B69,1),0)</f>
        <v>0</v>
      </c>
      <c r="E532" t="str">
        <f>IF(samples!C69=0,"",samples!C69)</f>
        <v/>
      </c>
      <c r="F532">
        <f>IFERROR(SEARCH(search!$B$6,samples!C69,1),0)</f>
        <v>0</v>
      </c>
      <c r="G532" t="str">
        <f>IF(samples!D69=0,"",samples!D69)</f>
        <v/>
      </c>
      <c r="H532">
        <f>IFERROR(SEARCH(search!$B$6,samples!D69,1),0)</f>
        <v>0</v>
      </c>
      <c r="I532" t="str">
        <f>IF(samples!E69=0,"",samples!E69)</f>
        <v/>
      </c>
      <c r="J532">
        <f>IFERROR(SEARCH(search!$B$6,samples!E69,1),0)</f>
        <v>0</v>
      </c>
      <c r="K532" t="str">
        <f>IF(samples!F69=0,"",samples!F69)</f>
        <v/>
      </c>
      <c r="L532">
        <f>IFERROR(SEARCH(search!$B$6,samples!F69,1),0)</f>
        <v>0</v>
      </c>
      <c r="M532" t="str">
        <f>IF(samples!G69=0,"",samples!G69)</f>
        <v/>
      </c>
      <c r="N532">
        <f>IFERROR(SEARCH(search!$B$6,samples!G69,1),0)</f>
        <v>0</v>
      </c>
      <c r="O532" t="str">
        <f>IF(samples!H69=0,"",samples!H69)</f>
        <v/>
      </c>
      <c r="P532">
        <f>IFERROR(SEARCH(search!$B$6,samples!H69,1),0)</f>
        <v>0</v>
      </c>
      <c r="Q532" t="str">
        <f>IF(samples!I69=0,"",samples!I69)</f>
        <v/>
      </c>
      <c r="R532">
        <f>IFERROR(SEARCH(search!$B$6,samples!I69,1),0)</f>
        <v>0</v>
      </c>
      <c r="S532" t="str">
        <f>IF(samples!J69=0,"",samples!J69)</f>
        <v/>
      </c>
      <c r="T532">
        <f>IFERROR(SEARCH(search!$B$6,samples!J69,1),0)</f>
        <v>0</v>
      </c>
      <c r="U532" t="str">
        <f>IF(samples!K69=0,"",samples!K69)</f>
        <v/>
      </c>
      <c r="V532">
        <f>IFERROR(SEARCH(search!$B$6,samples!K69,1),0)</f>
        <v>0</v>
      </c>
      <c r="W532" t="str">
        <f>IF(samples!L69=0,"",samples!L69)</f>
        <v/>
      </c>
      <c r="X532">
        <f>IFERROR(SEARCH(search!$B$6,samples!L69,1),0)</f>
        <v>0</v>
      </c>
      <c r="Y532" t="str">
        <f>IF(samples!M69=0,"",samples!M69)</f>
        <v/>
      </c>
      <c r="Z532">
        <f>IFERROR(SEARCH(search!$B$6,samples!M69,1),0)</f>
        <v>0</v>
      </c>
      <c r="AA532" t="str">
        <f>IF(samples!N69=0,"",samples!N69)</f>
        <v/>
      </c>
      <c r="AB532">
        <f>IFERROR(SEARCH(search!$B$6,samples!N69,1),0)</f>
        <v>0</v>
      </c>
      <c r="AC532" t="str">
        <f>IF(samples!O69=0,"",samples!O69)</f>
        <v/>
      </c>
      <c r="AD532">
        <f>IFERROR(SEARCH(search!$B$6,samples!O69,1),0)</f>
        <v>0</v>
      </c>
    </row>
    <row r="533" spans="1:30">
      <c r="A533">
        <f t="shared" si="8"/>
        <v>0</v>
      </c>
      <c r="B533">
        <f>IF(SUM(D533,F533,H533,J533,L533,N533,P533,R533,T533,V533,X533,Z533,AB533,AD533)&gt;0,SUM($A$2:A533),0)</f>
        <v>0</v>
      </c>
      <c r="C533">
        <f>samples!B70</f>
        <v>0</v>
      </c>
      <c r="D533">
        <f>IFERROR(SEARCH(search!$B$6,samples!B70,1),0)</f>
        <v>0</v>
      </c>
      <c r="E533" t="str">
        <f>IF(samples!C70=0,"",samples!C70)</f>
        <v/>
      </c>
      <c r="F533">
        <f>IFERROR(SEARCH(search!$B$6,samples!C70,1),0)</f>
        <v>0</v>
      </c>
      <c r="G533" t="str">
        <f>IF(samples!D70=0,"",samples!D70)</f>
        <v/>
      </c>
      <c r="H533">
        <f>IFERROR(SEARCH(search!$B$6,samples!D70,1),0)</f>
        <v>0</v>
      </c>
      <c r="I533" t="str">
        <f>IF(samples!E70=0,"",samples!E70)</f>
        <v/>
      </c>
      <c r="J533">
        <f>IFERROR(SEARCH(search!$B$6,samples!E70,1),0)</f>
        <v>0</v>
      </c>
      <c r="K533" t="str">
        <f>IF(samples!F70=0,"",samples!F70)</f>
        <v/>
      </c>
      <c r="L533">
        <f>IFERROR(SEARCH(search!$B$6,samples!F70,1),0)</f>
        <v>0</v>
      </c>
      <c r="M533" t="str">
        <f>IF(samples!G70=0,"",samples!G70)</f>
        <v/>
      </c>
      <c r="N533">
        <f>IFERROR(SEARCH(search!$B$6,samples!G70,1),0)</f>
        <v>0</v>
      </c>
      <c r="O533" t="str">
        <f>IF(samples!H70=0,"",samples!H70)</f>
        <v/>
      </c>
      <c r="P533">
        <f>IFERROR(SEARCH(search!$B$6,samples!H70,1),0)</f>
        <v>0</v>
      </c>
      <c r="Q533" t="str">
        <f>IF(samples!I70=0,"",samples!I70)</f>
        <v/>
      </c>
      <c r="R533">
        <f>IFERROR(SEARCH(search!$B$6,samples!I70,1),0)</f>
        <v>0</v>
      </c>
      <c r="S533" t="str">
        <f>IF(samples!J70=0,"",samples!J70)</f>
        <v/>
      </c>
      <c r="T533">
        <f>IFERROR(SEARCH(search!$B$6,samples!J70,1),0)</f>
        <v>0</v>
      </c>
      <c r="U533" t="str">
        <f>IF(samples!K70=0,"",samples!K70)</f>
        <v/>
      </c>
      <c r="V533">
        <f>IFERROR(SEARCH(search!$B$6,samples!K70,1),0)</f>
        <v>0</v>
      </c>
      <c r="W533" t="str">
        <f>IF(samples!L70=0,"",samples!L70)</f>
        <v/>
      </c>
      <c r="X533">
        <f>IFERROR(SEARCH(search!$B$6,samples!L70,1),0)</f>
        <v>0</v>
      </c>
      <c r="Y533" t="str">
        <f>IF(samples!M70=0,"",samples!M70)</f>
        <v/>
      </c>
      <c r="Z533">
        <f>IFERROR(SEARCH(search!$B$6,samples!M70,1),0)</f>
        <v>0</v>
      </c>
      <c r="AA533" t="str">
        <f>IF(samples!N70=0,"",samples!N70)</f>
        <v/>
      </c>
      <c r="AB533">
        <f>IFERROR(SEARCH(search!$B$6,samples!N70,1),0)</f>
        <v>0</v>
      </c>
      <c r="AC533" t="str">
        <f>IF(samples!O70=0,"",samples!O70)</f>
        <v/>
      </c>
      <c r="AD533">
        <f>IFERROR(SEARCH(search!$B$6,samples!O70,1),0)</f>
        <v>0</v>
      </c>
    </row>
    <row r="534" spans="1:30">
      <c r="A534">
        <f t="shared" si="8"/>
        <v>0</v>
      </c>
      <c r="B534">
        <f>IF(SUM(D534,F534,H534,J534,L534,N534,P534,R534,T534,V534,X534,Z534,AB534,AD534)&gt;0,SUM($A$2:A534),0)</f>
        <v>0</v>
      </c>
      <c r="C534">
        <f>samples!B71</f>
        <v>0</v>
      </c>
      <c r="D534">
        <f>IFERROR(SEARCH(search!$B$6,samples!B71,1),0)</f>
        <v>0</v>
      </c>
      <c r="E534" t="str">
        <f>IF(samples!C71=0,"",samples!C71)</f>
        <v/>
      </c>
      <c r="F534">
        <f>IFERROR(SEARCH(search!$B$6,samples!C71,1),0)</f>
        <v>0</v>
      </c>
      <c r="G534" t="str">
        <f>IF(samples!D71=0,"",samples!D71)</f>
        <v/>
      </c>
      <c r="H534">
        <f>IFERROR(SEARCH(search!$B$6,samples!D71,1),0)</f>
        <v>0</v>
      </c>
      <c r="I534" t="str">
        <f>IF(samples!E71=0,"",samples!E71)</f>
        <v/>
      </c>
      <c r="J534">
        <f>IFERROR(SEARCH(search!$B$6,samples!E71,1),0)</f>
        <v>0</v>
      </c>
      <c r="K534" t="str">
        <f>IF(samples!F71=0,"",samples!F71)</f>
        <v/>
      </c>
      <c r="L534">
        <f>IFERROR(SEARCH(search!$B$6,samples!F71,1),0)</f>
        <v>0</v>
      </c>
      <c r="M534" t="str">
        <f>IF(samples!G71=0,"",samples!G71)</f>
        <v/>
      </c>
      <c r="N534">
        <f>IFERROR(SEARCH(search!$B$6,samples!G71,1),0)</f>
        <v>0</v>
      </c>
      <c r="O534" t="str">
        <f>IF(samples!H71=0,"",samples!H71)</f>
        <v/>
      </c>
      <c r="P534">
        <f>IFERROR(SEARCH(search!$B$6,samples!H71,1),0)</f>
        <v>0</v>
      </c>
      <c r="Q534" t="str">
        <f>IF(samples!I71=0,"",samples!I71)</f>
        <v/>
      </c>
      <c r="R534">
        <f>IFERROR(SEARCH(search!$B$6,samples!I71,1),0)</f>
        <v>0</v>
      </c>
      <c r="S534" t="str">
        <f>IF(samples!J71=0,"",samples!J71)</f>
        <v/>
      </c>
      <c r="T534">
        <f>IFERROR(SEARCH(search!$B$6,samples!J71,1),0)</f>
        <v>0</v>
      </c>
      <c r="U534" t="str">
        <f>IF(samples!K71=0,"",samples!K71)</f>
        <v/>
      </c>
      <c r="V534">
        <f>IFERROR(SEARCH(search!$B$6,samples!K71,1),0)</f>
        <v>0</v>
      </c>
      <c r="W534" t="str">
        <f>IF(samples!L71=0,"",samples!L71)</f>
        <v/>
      </c>
      <c r="X534">
        <f>IFERROR(SEARCH(search!$B$6,samples!L71,1),0)</f>
        <v>0</v>
      </c>
      <c r="Y534" t="str">
        <f>IF(samples!M71=0,"",samples!M71)</f>
        <v/>
      </c>
      <c r="Z534">
        <f>IFERROR(SEARCH(search!$B$6,samples!M71,1),0)</f>
        <v>0</v>
      </c>
      <c r="AA534" t="str">
        <f>IF(samples!N71=0,"",samples!N71)</f>
        <v/>
      </c>
      <c r="AB534">
        <f>IFERROR(SEARCH(search!$B$6,samples!N71,1),0)</f>
        <v>0</v>
      </c>
      <c r="AC534" t="str">
        <f>IF(samples!O71=0,"",samples!O71)</f>
        <v/>
      </c>
      <c r="AD534">
        <f>IFERROR(SEARCH(search!$B$6,samples!O71,1),0)</f>
        <v>0</v>
      </c>
    </row>
    <row r="535" spans="1:30">
      <c r="A535">
        <f t="shared" si="8"/>
        <v>0</v>
      </c>
      <c r="B535">
        <f>IF(SUM(D535,F535,H535,J535,L535,N535,P535,R535,T535,V535,X535,Z535,AB535,AD535)&gt;0,SUM($A$2:A535),0)</f>
        <v>0</v>
      </c>
      <c r="C535">
        <f>samples!B72</f>
        <v>0</v>
      </c>
      <c r="D535">
        <f>IFERROR(SEARCH(search!$B$6,samples!B72,1),0)</f>
        <v>0</v>
      </c>
      <c r="E535" t="str">
        <f>IF(samples!C72=0,"",samples!C72)</f>
        <v/>
      </c>
      <c r="F535">
        <f>IFERROR(SEARCH(search!$B$6,samples!C72,1),0)</f>
        <v>0</v>
      </c>
      <c r="G535" t="str">
        <f>IF(samples!D72=0,"",samples!D72)</f>
        <v/>
      </c>
      <c r="H535">
        <f>IFERROR(SEARCH(search!$B$6,samples!D72,1),0)</f>
        <v>0</v>
      </c>
      <c r="I535" t="str">
        <f>IF(samples!E72=0,"",samples!E72)</f>
        <v/>
      </c>
      <c r="J535">
        <f>IFERROR(SEARCH(search!$B$6,samples!E72,1),0)</f>
        <v>0</v>
      </c>
      <c r="K535" t="str">
        <f>IF(samples!F72=0,"",samples!F72)</f>
        <v/>
      </c>
      <c r="L535">
        <f>IFERROR(SEARCH(search!$B$6,samples!F72,1),0)</f>
        <v>0</v>
      </c>
      <c r="M535" t="str">
        <f>IF(samples!G72=0,"",samples!G72)</f>
        <v/>
      </c>
      <c r="N535">
        <f>IFERROR(SEARCH(search!$B$6,samples!G72,1),0)</f>
        <v>0</v>
      </c>
      <c r="O535" t="str">
        <f>IF(samples!H72=0,"",samples!H72)</f>
        <v/>
      </c>
      <c r="P535">
        <f>IFERROR(SEARCH(search!$B$6,samples!H72,1),0)</f>
        <v>0</v>
      </c>
      <c r="Q535" t="str">
        <f>IF(samples!I72=0,"",samples!I72)</f>
        <v/>
      </c>
      <c r="R535">
        <f>IFERROR(SEARCH(search!$B$6,samples!I72,1),0)</f>
        <v>0</v>
      </c>
      <c r="S535" t="str">
        <f>IF(samples!J72=0,"",samples!J72)</f>
        <v/>
      </c>
      <c r="T535">
        <f>IFERROR(SEARCH(search!$B$6,samples!J72,1),0)</f>
        <v>0</v>
      </c>
      <c r="U535" t="str">
        <f>IF(samples!K72=0,"",samples!K72)</f>
        <v/>
      </c>
      <c r="V535">
        <f>IFERROR(SEARCH(search!$B$6,samples!K72,1),0)</f>
        <v>0</v>
      </c>
      <c r="W535" t="str">
        <f>IF(samples!L72=0,"",samples!L72)</f>
        <v/>
      </c>
      <c r="X535">
        <f>IFERROR(SEARCH(search!$B$6,samples!L72,1),0)</f>
        <v>0</v>
      </c>
      <c r="Y535" t="str">
        <f>IF(samples!M72=0,"",samples!M72)</f>
        <v/>
      </c>
      <c r="Z535">
        <f>IFERROR(SEARCH(search!$B$6,samples!M72,1),0)</f>
        <v>0</v>
      </c>
      <c r="AA535" t="str">
        <f>IF(samples!N72=0,"",samples!N72)</f>
        <v/>
      </c>
      <c r="AB535">
        <f>IFERROR(SEARCH(search!$B$6,samples!N72,1),0)</f>
        <v>0</v>
      </c>
      <c r="AC535" t="str">
        <f>IF(samples!O72=0,"",samples!O72)</f>
        <v/>
      </c>
      <c r="AD535">
        <f>IFERROR(SEARCH(search!$B$6,samples!O72,1),0)</f>
        <v>0</v>
      </c>
    </row>
    <row r="536" spans="1:30">
      <c r="A536">
        <f t="shared" si="8"/>
        <v>0</v>
      </c>
      <c r="B536">
        <f>IF(SUM(D536,F536,H536,J536,L536,N536,P536,R536,T536,V536,X536,Z536,AB536,AD536)&gt;0,SUM($A$2:A536),0)</f>
        <v>0</v>
      </c>
      <c r="C536">
        <f>samples!B73</f>
        <v>0</v>
      </c>
      <c r="D536">
        <f>IFERROR(SEARCH(search!$B$6,samples!B73,1),0)</f>
        <v>0</v>
      </c>
      <c r="E536" t="str">
        <f>IF(samples!C73=0,"",samples!C73)</f>
        <v/>
      </c>
      <c r="F536">
        <f>IFERROR(SEARCH(search!$B$6,samples!C73,1),0)</f>
        <v>0</v>
      </c>
      <c r="G536" t="str">
        <f>IF(samples!D73=0,"",samples!D73)</f>
        <v/>
      </c>
      <c r="H536">
        <f>IFERROR(SEARCH(search!$B$6,samples!D73,1),0)</f>
        <v>0</v>
      </c>
      <c r="I536" t="str">
        <f>IF(samples!E73=0,"",samples!E73)</f>
        <v/>
      </c>
      <c r="J536">
        <f>IFERROR(SEARCH(search!$B$6,samples!E73,1),0)</f>
        <v>0</v>
      </c>
      <c r="K536" t="str">
        <f>IF(samples!F73=0,"",samples!F73)</f>
        <v/>
      </c>
      <c r="L536">
        <f>IFERROR(SEARCH(search!$B$6,samples!F73,1),0)</f>
        <v>0</v>
      </c>
      <c r="M536" t="str">
        <f>IF(samples!G73=0,"",samples!G73)</f>
        <v/>
      </c>
      <c r="N536">
        <f>IFERROR(SEARCH(search!$B$6,samples!G73,1),0)</f>
        <v>0</v>
      </c>
      <c r="O536" t="str">
        <f>IF(samples!H73=0,"",samples!H73)</f>
        <v/>
      </c>
      <c r="P536">
        <f>IFERROR(SEARCH(search!$B$6,samples!H73,1),0)</f>
        <v>0</v>
      </c>
      <c r="Q536" t="str">
        <f>IF(samples!I73=0,"",samples!I73)</f>
        <v/>
      </c>
      <c r="R536">
        <f>IFERROR(SEARCH(search!$B$6,samples!I73,1),0)</f>
        <v>0</v>
      </c>
      <c r="S536" t="str">
        <f>IF(samples!J73=0,"",samples!J73)</f>
        <v/>
      </c>
      <c r="T536">
        <f>IFERROR(SEARCH(search!$B$6,samples!J73,1),0)</f>
        <v>0</v>
      </c>
      <c r="U536" t="str">
        <f>IF(samples!K73=0,"",samples!K73)</f>
        <v/>
      </c>
      <c r="V536">
        <f>IFERROR(SEARCH(search!$B$6,samples!K73,1),0)</f>
        <v>0</v>
      </c>
      <c r="W536" t="str">
        <f>IF(samples!L73=0,"",samples!L73)</f>
        <v/>
      </c>
      <c r="X536">
        <f>IFERROR(SEARCH(search!$B$6,samples!L73,1),0)</f>
        <v>0</v>
      </c>
      <c r="Y536" t="str">
        <f>IF(samples!M73=0,"",samples!M73)</f>
        <v/>
      </c>
      <c r="Z536">
        <f>IFERROR(SEARCH(search!$B$6,samples!M73,1),0)</f>
        <v>0</v>
      </c>
      <c r="AA536" t="str">
        <f>IF(samples!N73=0,"",samples!N73)</f>
        <v/>
      </c>
      <c r="AB536">
        <f>IFERROR(SEARCH(search!$B$6,samples!N73,1),0)</f>
        <v>0</v>
      </c>
      <c r="AC536" t="str">
        <f>IF(samples!O73=0,"",samples!O73)</f>
        <v/>
      </c>
      <c r="AD536">
        <f>IFERROR(SEARCH(search!$B$6,samples!O73,1),0)</f>
        <v>0</v>
      </c>
    </row>
    <row r="537" spans="1:30">
      <c r="A537">
        <f t="shared" si="8"/>
        <v>0</v>
      </c>
      <c r="B537">
        <f>IF(SUM(D537,F537,H537,J537,L537,N537,P537,R537,T537,V537,X537,Z537,AB537,AD537)&gt;0,SUM($A$2:A537),0)</f>
        <v>0</v>
      </c>
      <c r="C537">
        <f>samples!B74</f>
        <v>0</v>
      </c>
      <c r="D537">
        <f>IFERROR(SEARCH(search!$B$6,samples!B74,1),0)</f>
        <v>0</v>
      </c>
      <c r="E537" t="str">
        <f>IF(samples!C74=0,"",samples!C74)</f>
        <v/>
      </c>
      <c r="F537">
        <f>IFERROR(SEARCH(search!$B$6,samples!C74,1),0)</f>
        <v>0</v>
      </c>
      <c r="G537" t="str">
        <f>IF(samples!D74=0,"",samples!D74)</f>
        <v/>
      </c>
      <c r="H537">
        <f>IFERROR(SEARCH(search!$B$6,samples!D74,1),0)</f>
        <v>0</v>
      </c>
      <c r="I537" t="str">
        <f>IF(samples!E74=0,"",samples!E74)</f>
        <v/>
      </c>
      <c r="J537">
        <f>IFERROR(SEARCH(search!$B$6,samples!E74,1),0)</f>
        <v>0</v>
      </c>
      <c r="K537" t="str">
        <f>IF(samples!F74=0,"",samples!F74)</f>
        <v/>
      </c>
      <c r="L537">
        <f>IFERROR(SEARCH(search!$B$6,samples!F74,1),0)</f>
        <v>0</v>
      </c>
      <c r="M537" t="str">
        <f>IF(samples!G74=0,"",samples!G74)</f>
        <v/>
      </c>
      <c r="N537">
        <f>IFERROR(SEARCH(search!$B$6,samples!G74,1),0)</f>
        <v>0</v>
      </c>
      <c r="O537" t="str">
        <f>IF(samples!H74=0,"",samples!H74)</f>
        <v/>
      </c>
      <c r="P537">
        <f>IFERROR(SEARCH(search!$B$6,samples!H74,1),0)</f>
        <v>0</v>
      </c>
      <c r="Q537" t="str">
        <f>IF(samples!I74=0,"",samples!I74)</f>
        <v/>
      </c>
      <c r="R537">
        <f>IFERROR(SEARCH(search!$B$6,samples!I74,1),0)</f>
        <v>0</v>
      </c>
      <c r="S537" t="str">
        <f>IF(samples!J74=0,"",samples!J74)</f>
        <v/>
      </c>
      <c r="T537">
        <f>IFERROR(SEARCH(search!$B$6,samples!J74,1),0)</f>
        <v>0</v>
      </c>
      <c r="U537" t="str">
        <f>IF(samples!K74=0,"",samples!K74)</f>
        <v/>
      </c>
      <c r="V537">
        <f>IFERROR(SEARCH(search!$B$6,samples!K74,1),0)</f>
        <v>0</v>
      </c>
      <c r="W537" t="str">
        <f>IF(samples!L74=0,"",samples!L74)</f>
        <v/>
      </c>
      <c r="X537">
        <f>IFERROR(SEARCH(search!$B$6,samples!L74,1),0)</f>
        <v>0</v>
      </c>
      <c r="Y537" t="str">
        <f>IF(samples!M74=0,"",samples!M74)</f>
        <v/>
      </c>
      <c r="Z537">
        <f>IFERROR(SEARCH(search!$B$6,samples!M74,1),0)</f>
        <v>0</v>
      </c>
      <c r="AA537" t="str">
        <f>IF(samples!N74=0,"",samples!N74)</f>
        <v/>
      </c>
      <c r="AB537">
        <f>IFERROR(SEARCH(search!$B$6,samples!N74,1),0)</f>
        <v>0</v>
      </c>
      <c r="AC537" t="str">
        <f>IF(samples!O74=0,"",samples!O74)</f>
        <v/>
      </c>
      <c r="AD537">
        <f>IFERROR(SEARCH(search!$B$6,samples!O74,1),0)</f>
        <v>0</v>
      </c>
    </row>
    <row r="538" spans="1:30">
      <c r="A538">
        <f t="shared" si="8"/>
        <v>0</v>
      </c>
      <c r="B538">
        <f>IF(SUM(D538,F538,H538,J538,L538,N538,P538,R538,T538,V538,X538,Z538,AB538,AD538)&gt;0,SUM($A$2:A538),0)</f>
        <v>0</v>
      </c>
      <c r="C538">
        <f>samples!B75</f>
        <v>0</v>
      </c>
      <c r="D538">
        <f>IFERROR(SEARCH(search!$B$6,samples!B75,1),0)</f>
        <v>0</v>
      </c>
      <c r="E538" t="str">
        <f>IF(samples!C75=0,"",samples!C75)</f>
        <v/>
      </c>
      <c r="F538">
        <f>IFERROR(SEARCH(search!$B$6,samples!C75,1),0)</f>
        <v>0</v>
      </c>
      <c r="G538" t="str">
        <f>IF(samples!D75=0,"",samples!D75)</f>
        <v/>
      </c>
      <c r="H538">
        <f>IFERROR(SEARCH(search!$B$6,samples!D75,1),0)</f>
        <v>0</v>
      </c>
      <c r="I538" t="str">
        <f>IF(samples!E75=0,"",samples!E75)</f>
        <v/>
      </c>
      <c r="J538">
        <f>IFERROR(SEARCH(search!$B$6,samples!E75,1),0)</f>
        <v>0</v>
      </c>
      <c r="K538" t="str">
        <f>IF(samples!F75=0,"",samples!F75)</f>
        <v/>
      </c>
      <c r="L538">
        <f>IFERROR(SEARCH(search!$B$6,samples!F75,1),0)</f>
        <v>0</v>
      </c>
      <c r="M538" t="str">
        <f>IF(samples!G75=0,"",samples!G75)</f>
        <v/>
      </c>
      <c r="N538">
        <f>IFERROR(SEARCH(search!$B$6,samples!G75,1),0)</f>
        <v>0</v>
      </c>
      <c r="O538" t="str">
        <f>IF(samples!H75=0,"",samples!H75)</f>
        <v/>
      </c>
      <c r="P538">
        <f>IFERROR(SEARCH(search!$B$6,samples!H75,1),0)</f>
        <v>0</v>
      </c>
      <c r="Q538" t="str">
        <f>IF(samples!I75=0,"",samples!I75)</f>
        <v/>
      </c>
      <c r="R538">
        <f>IFERROR(SEARCH(search!$B$6,samples!I75,1),0)</f>
        <v>0</v>
      </c>
      <c r="S538" t="str">
        <f>IF(samples!J75=0,"",samples!J75)</f>
        <v/>
      </c>
      <c r="T538">
        <f>IFERROR(SEARCH(search!$B$6,samples!J75,1),0)</f>
        <v>0</v>
      </c>
      <c r="U538" t="str">
        <f>IF(samples!K75=0,"",samples!K75)</f>
        <v/>
      </c>
      <c r="V538">
        <f>IFERROR(SEARCH(search!$B$6,samples!K75,1),0)</f>
        <v>0</v>
      </c>
      <c r="W538" t="str">
        <f>IF(samples!L75=0,"",samples!L75)</f>
        <v/>
      </c>
      <c r="X538">
        <f>IFERROR(SEARCH(search!$B$6,samples!L75,1),0)</f>
        <v>0</v>
      </c>
      <c r="Y538" t="str">
        <f>IF(samples!M75=0,"",samples!M75)</f>
        <v/>
      </c>
      <c r="Z538">
        <f>IFERROR(SEARCH(search!$B$6,samples!M75,1),0)</f>
        <v>0</v>
      </c>
      <c r="AA538" t="str">
        <f>IF(samples!N75=0,"",samples!N75)</f>
        <v/>
      </c>
      <c r="AB538">
        <f>IFERROR(SEARCH(search!$B$6,samples!N75,1),0)</f>
        <v>0</v>
      </c>
      <c r="AC538" t="str">
        <f>IF(samples!O75=0,"",samples!O75)</f>
        <v/>
      </c>
      <c r="AD538">
        <f>IFERROR(SEARCH(search!$B$6,samples!O75,1),0)</f>
        <v>0</v>
      </c>
    </row>
    <row r="539" spans="1:30">
      <c r="A539">
        <f t="shared" si="8"/>
        <v>0</v>
      </c>
      <c r="B539">
        <f>IF(SUM(D539,F539,H539,J539,L539,N539,P539,R539,T539,V539,X539,Z539,AB539,AD539)&gt;0,SUM($A$2:A539),0)</f>
        <v>0</v>
      </c>
      <c r="C539">
        <f>samples!B76</f>
        <v>0</v>
      </c>
      <c r="D539">
        <f>IFERROR(SEARCH(search!$B$6,samples!B76,1),0)</f>
        <v>0</v>
      </c>
      <c r="E539" t="str">
        <f>IF(samples!C76=0,"",samples!C76)</f>
        <v/>
      </c>
      <c r="F539">
        <f>IFERROR(SEARCH(search!$B$6,samples!C76,1),0)</f>
        <v>0</v>
      </c>
      <c r="G539" t="str">
        <f>IF(samples!D76=0,"",samples!D76)</f>
        <v/>
      </c>
      <c r="H539">
        <f>IFERROR(SEARCH(search!$B$6,samples!D76,1),0)</f>
        <v>0</v>
      </c>
      <c r="I539" t="str">
        <f>IF(samples!E76=0,"",samples!E76)</f>
        <v/>
      </c>
      <c r="J539">
        <f>IFERROR(SEARCH(search!$B$6,samples!E76,1),0)</f>
        <v>0</v>
      </c>
      <c r="K539" t="str">
        <f>IF(samples!F76=0,"",samples!F76)</f>
        <v/>
      </c>
      <c r="L539">
        <f>IFERROR(SEARCH(search!$B$6,samples!F76,1),0)</f>
        <v>0</v>
      </c>
      <c r="M539" t="str">
        <f>IF(samples!G76=0,"",samples!G76)</f>
        <v/>
      </c>
      <c r="N539">
        <f>IFERROR(SEARCH(search!$B$6,samples!G76,1),0)</f>
        <v>0</v>
      </c>
      <c r="O539" t="str">
        <f>IF(samples!H76=0,"",samples!H76)</f>
        <v/>
      </c>
      <c r="P539">
        <f>IFERROR(SEARCH(search!$B$6,samples!H76,1),0)</f>
        <v>0</v>
      </c>
      <c r="Q539" t="str">
        <f>IF(samples!I76=0,"",samples!I76)</f>
        <v/>
      </c>
      <c r="R539">
        <f>IFERROR(SEARCH(search!$B$6,samples!I76,1),0)</f>
        <v>0</v>
      </c>
      <c r="S539" t="str">
        <f>IF(samples!J76=0,"",samples!J76)</f>
        <v/>
      </c>
      <c r="T539">
        <f>IFERROR(SEARCH(search!$B$6,samples!J76,1),0)</f>
        <v>0</v>
      </c>
      <c r="U539" t="str">
        <f>IF(samples!K76=0,"",samples!K76)</f>
        <v/>
      </c>
      <c r="V539">
        <f>IFERROR(SEARCH(search!$B$6,samples!K76,1),0)</f>
        <v>0</v>
      </c>
      <c r="W539" t="str">
        <f>IF(samples!L76=0,"",samples!L76)</f>
        <v/>
      </c>
      <c r="X539">
        <f>IFERROR(SEARCH(search!$B$6,samples!L76,1),0)</f>
        <v>0</v>
      </c>
      <c r="Y539" t="str">
        <f>IF(samples!M76=0,"",samples!M76)</f>
        <v/>
      </c>
      <c r="Z539">
        <f>IFERROR(SEARCH(search!$B$6,samples!M76,1),0)</f>
        <v>0</v>
      </c>
      <c r="AA539" t="str">
        <f>IF(samples!N76=0,"",samples!N76)</f>
        <v/>
      </c>
      <c r="AB539">
        <f>IFERROR(SEARCH(search!$B$6,samples!N76,1),0)</f>
        <v>0</v>
      </c>
      <c r="AC539" t="str">
        <f>IF(samples!O76=0,"",samples!O76)</f>
        <v/>
      </c>
      <c r="AD539">
        <f>IFERROR(SEARCH(search!$B$6,samples!O76,1),0)</f>
        <v>0</v>
      </c>
    </row>
    <row r="540" spans="1:30">
      <c r="A540">
        <f t="shared" si="8"/>
        <v>0</v>
      </c>
      <c r="B540">
        <f>IF(SUM(D540,F540,H540,J540,L540,N540,P540,R540,T540,V540,X540,Z540,AB540,AD540)&gt;0,SUM($A$2:A540),0)</f>
        <v>0</v>
      </c>
      <c r="C540">
        <f>samples!B77</f>
        <v>0</v>
      </c>
      <c r="D540">
        <f>IFERROR(SEARCH(search!$B$6,samples!B77,1),0)</f>
        <v>0</v>
      </c>
      <c r="E540" t="str">
        <f>IF(samples!C77=0,"",samples!C77)</f>
        <v/>
      </c>
      <c r="F540">
        <f>IFERROR(SEARCH(search!$B$6,samples!C77,1),0)</f>
        <v>0</v>
      </c>
      <c r="G540" t="str">
        <f>IF(samples!D77=0,"",samples!D77)</f>
        <v/>
      </c>
      <c r="H540">
        <f>IFERROR(SEARCH(search!$B$6,samples!D77,1),0)</f>
        <v>0</v>
      </c>
      <c r="I540" t="str">
        <f>IF(samples!E77=0,"",samples!E77)</f>
        <v/>
      </c>
      <c r="J540">
        <f>IFERROR(SEARCH(search!$B$6,samples!E77,1),0)</f>
        <v>0</v>
      </c>
      <c r="K540" t="str">
        <f>IF(samples!F77=0,"",samples!F77)</f>
        <v/>
      </c>
      <c r="L540">
        <f>IFERROR(SEARCH(search!$B$6,samples!F77,1),0)</f>
        <v>0</v>
      </c>
      <c r="M540" t="str">
        <f>IF(samples!G77=0,"",samples!G77)</f>
        <v/>
      </c>
      <c r="N540">
        <f>IFERROR(SEARCH(search!$B$6,samples!G77,1),0)</f>
        <v>0</v>
      </c>
      <c r="O540" t="str">
        <f>IF(samples!H77=0,"",samples!H77)</f>
        <v/>
      </c>
      <c r="P540">
        <f>IFERROR(SEARCH(search!$B$6,samples!H77,1),0)</f>
        <v>0</v>
      </c>
      <c r="Q540" t="str">
        <f>IF(samples!I77=0,"",samples!I77)</f>
        <v/>
      </c>
      <c r="R540">
        <f>IFERROR(SEARCH(search!$B$6,samples!I77,1),0)</f>
        <v>0</v>
      </c>
      <c r="S540" t="str">
        <f>IF(samples!J77=0,"",samples!J77)</f>
        <v/>
      </c>
      <c r="T540">
        <f>IFERROR(SEARCH(search!$B$6,samples!J77,1),0)</f>
        <v>0</v>
      </c>
      <c r="U540" t="str">
        <f>IF(samples!K77=0,"",samples!K77)</f>
        <v/>
      </c>
      <c r="V540">
        <f>IFERROR(SEARCH(search!$B$6,samples!K77,1),0)</f>
        <v>0</v>
      </c>
      <c r="W540" t="str">
        <f>IF(samples!L77=0,"",samples!L77)</f>
        <v/>
      </c>
      <c r="X540">
        <f>IFERROR(SEARCH(search!$B$6,samples!L77,1),0)</f>
        <v>0</v>
      </c>
      <c r="Y540" t="str">
        <f>IF(samples!M77=0,"",samples!M77)</f>
        <v/>
      </c>
      <c r="Z540">
        <f>IFERROR(SEARCH(search!$B$6,samples!M77,1),0)</f>
        <v>0</v>
      </c>
      <c r="AA540" t="str">
        <f>IF(samples!N77=0,"",samples!N77)</f>
        <v/>
      </c>
      <c r="AB540">
        <f>IFERROR(SEARCH(search!$B$6,samples!N77,1),0)</f>
        <v>0</v>
      </c>
      <c r="AC540" t="str">
        <f>IF(samples!O77=0,"",samples!O77)</f>
        <v/>
      </c>
      <c r="AD540">
        <f>IFERROR(SEARCH(search!$B$6,samples!O77,1),0)</f>
        <v>0</v>
      </c>
    </row>
    <row r="541" spans="1:30">
      <c r="A541">
        <f t="shared" si="8"/>
        <v>0</v>
      </c>
      <c r="B541">
        <f>IF(SUM(D541,F541,H541,J541,L541,N541,P541,R541,T541,V541,X541,Z541,AB541,AD541)&gt;0,SUM($A$2:A541),0)</f>
        <v>0</v>
      </c>
      <c r="C541">
        <f>samples!B78</f>
        <v>0</v>
      </c>
      <c r="D541">
        <f>IFERROR(SEARCH(search!$B$6,samples!B78,1),0)</f>
        <v>0</v>
      </c>
      <c r="E541" t="str">
        <f>IF(samples!C78=0,"",samples!C78)</f>
        <v/>
      </c>
      <c r="F541">
        <f>IFERROR(SEARCH(search!$B$6,samples!C78,1),0)</f>
        <v>0</v>
      </c>
      <c r="G541" t="str">
        <f>IF(samples!D78=0,"",samples!D78)</f>
        <v/>
      </c>
      <c r="H541">
        <f>IFERROR(SEARCH(search!$B$6,samples!D78,1),0)</f>
        <v>0</v>
      </c>
      <c r="I541" t="str">
        <f>IF(samples!E78=0,"",samples!E78)</f>
        <v/>
      </c>
      <c r="J541">
        <f>IFERROR(SEARCH(search!$B$6,samples!E78,1),0)</f>
        <v>0</v>
      </c>
      <c r="K541" t="str">
        <f>IF(samples!F78=0,"",samples!F78)</f>
        <v/>
      </c>
      <c r="L541">
        <f>IFERROR(SEARCH(search!$B$6,samples!F78,1),0)</f>
        <v>0</v>
      </c>
      <c r="M541" t="str">
        <f>IF(samples!G78=0,"",samples!G78)</f>
        <v/>
      </c>
      <c r="N541">
        <f>IFERROR(SEARCH(search!$B$6,samples!G78,1),0)</f>
        <v>0</v>
      </c>
      <c r="O541" t="str">
        <f>IF(samples!H78=0,"",samples!H78)</f>
        <v/>
      </c>
      <c r="P541">
        <f>IFERROR(SEARCH(search!$B$6,samples!H78,1),0)</f>
        <v>0</v>
      </c>
      <c r="Q541" t="str">
        <f>IF(samples!I78=0,"",samples!I78)</f>
        <v/>
      </c>
      <c r="R541">
        <f>IFERROR(SEARCH(search!$B$6,samples!I78,1),0)</f>
        <v>0</v>
      </c>
      <c r="S541" t="str">
        <f>IF(samples!J78=0,"",samples!J78)</f>
        <v/>
      </c>
      <c r="T541">
        <f>IFERROR(SEARCH(search!$B$6,samples!J78,1),0)</f>
        <v>0</v>
      </c>
      <c r="U541" t="str">
        <f>IF(samples!K78=0,"",samples!K78)</f>
        <v/>
      </c>
      <c r="V541">
        <f>IFERROR(SEARCH(search!$B$6,samples!K78,1),0)</f>
        <v>0</v>
      </c>
      <c r="W541" t="str">
        <f>IF(samples!L78=0,"",samples!L78)</f>
        <v/>
      </c>
      <c r="X541">
        <f>IFERROR(SEARCH(search!$B$6,samples!L78,1),0)</f>
        <v>0</v>
      </c>
      <c r="Y541" t="str">
        <f>IF(samples!M78=0,"",samples!M78)</f>
        <v/>
      </c>
      <c r="Z541">
        <f>IFERROR(SEARCH(search!$B$6,samples!M78,1),0)</f>
        <v>0</v>
      </c>
      <c r="AA541" t="str">
        <f>IF(samples!N78=0,"",samples!N78)</f>
        <v/>
      </c>
      <c r="AB541">
        <f>IFERROR(SEARCH(search!$B$6,samples!N78,1),0)</f>
        <v>0</v>
      </c>
      <c r="AC541" t="str">
        <f>IF(samples!O78=0,"",samples!O78)</f>
        <v/>
      </c>
      <c r="AD541">
        <f>IFERROR(SEARCH(search!$B$6,samples!O78,1),0)</f>
        <v>0</v>
      </c>
    </row>
    <row r="542" spans="1:30">
      <c r="A542">
        <f t="shared" si="8"/>
        <v>0</v>
      </c>
      <c r="B542">
        <f>IF(SUM(D542,F542,H542,J542,L542,N542,P542,R542,T542,V542,X542,Z542,AB542,AD542)&gt;0,SUM($A$2:A542),0)</f>
        <v>0</v>
      </c>
      <c r="C542">
        <f>samples!B79</f>
        <v>0</v>
      </c>
      <c r="D542">
        <f>IFERROR(SEARCH(search!$B$6,samples!B79,1),0)</f>
        <v>0</v>
      </c>
      <c r="E542" t="str">
        <f>IF(samples!C79=0,"",samples!C79)</f>
        <v/>
      </c>
      <c r="F542">
        <f>IFERROR(SEARCH(search!$B$6,samples!C79,1),0)</f>
        <v>0</v>
      </c>
      <c r="G542" t="str">
        <f>IF(samples!D79=0,"",samples!D79)</f>
        <v/>
      </c>
      <c r="H542">
        <f>IFERROR(SEARCH(search!$B$6,samples!D79,1),0)</f>
        <v>0</v>
      </c>
      <c r="I542" t="str">
        <f>IF(samples!E79=0,"",samples!E79)</f>
        <v/>
      </c>
      <c r="J542">
        <f>IFERROR(SEARCH(search!$B$6,samples!E79,1),0)</f>
        <v>0</v>
      </c>
      <c r="K542" t="str">
        <f>IF(samples!F79=0,"",samples!F79)</f>
        <v/>
      </c>
      <c r="L542">
        <f>IFERROR(SEARCH(search!$B$6,samples!F79,1),0)</f>
        <v>0</v>
      </c>
      <c r="M542" t="str">
        <f>IF(samples!G79=0,"",samples!G79)</f>
        <v/>
      </c>
      <c r="N542">
        <f>IFERROR(SEARCH(search!$B$6,samples!G79,1),0)</f>
        <v>0</v>
      </c>
      <c r="O542" t="str">
        <f>IF(samples!H79=0,"",samples!H79)</f>
        <v/>
      </c>
      <c r="P542">
        <f>IFERROR(SEARCH(search!$B$6,samples!H79,1),0)</f>
        <v>0</v>
      </c>
      <c r="Q542" t="str">
        <f>IF(samples!I79=0,"",samples!I79)</f>
        <v/>
      </c>
      <c r="R542">
        <f>IFERROR(SEARCH(search!$B$6,samples!I79,1),0)</f>
        <v>0</v>
      </c>
      <c r="S542" t="str">
        <f>IF(samples!J79=0,"",samples!J79)</f>
        <v/>
      </c>
      <c r="T542">
        <f>IFERROR(SEARCH(search!$B$6,samples!J79,1),0)</f>
        <v>0</v>
      </c>
      <c r="U542" t="str">
        <f>IF(samples!K79=0,"",samples!K79)</f>
        <v/>
      </c>
      <c r="V542">
        <f>IFERROR(SEARCH(search!$B$6,samples!K79,1),0)</f>
        <v>0</v>
      </c>
      <c r="W542" t="str">
        <f>IF(samples!L79=0,"",samples!L79)</f>
        <v/>
      </c>
      <c r="X542">
        <f>IFERROR(SEARCH(search!$B$6,samples!L79,1),0)</f>
        <v>0</v>
      </c>
      <c r="Y542" t="str">
        <f>IF(samples!M79=0,"",samples!M79)</f>
        <v/>
      </c>
      <c r="Z542">
        <f>IFERROR(SEARCH(search!$B$6,samples!M79,1),0)</f>
        <v>0</v>
      </c>
      <c r="AA542" t="str">
        <f>IF(samples!N79=0,"",samples!N79)</f>
        <v/>
      </c>
      <c r="AB542">
        <f>IFERROR(SEARCH(search!$B$6,samples!N79,1),0)</f>
        <v>0</v>
      </c>
      <c r="AC542" t="str">
        <f>IF(samples!O79=0,"",samples!O79)</f>
        <v/>
      </c>
      <c r="AD542">
        <f>IFERROR(SEARCH(search!$B$6,samples!O79,1),0)</f>
        <v>0</v>
      </c>
    </row>
    <row r="543" spans="1:30">
      <c r="A543">
        <f t="shared" si="8"/>
        <v>0</v>
      </c>
      <c r="B543">
        <f>IF(SUM(D543,F543,H543,J543,L543,N543,P543,R543,T543,V543,X543,Z543,AB543,AD543)&gt;0,SUM($A$2:A543),0)</f>
        <v>0</v>
      </c>
      <c r="C543">
        <f>samples!B80</f>
        <v>0</v>
      </c>
      <c r="D543">
        <f>IFERROR(SEARCH(search!$B$6,samples!B80,1),0)</f>
        <v>0</v>
      </c>
      <c r="E543" t="str">
        <f>IF(samples!C80=0,"",samples!C80)</f>
        <v/>
      </c>
      <c r="F543">
        <f>IFERROR(SEARCH(search!$B$6,samples!C80,1),0)</f>
        <v>0</v>
      </c>
      <c r="G543" t="str">
        <f>IF(samples!D80=0,"",samples!D80)</f>
        <v/>
      </c>
      <c r="H543">
        <f>IFERROR(SEARCH(search!$B$6,samples!D80,1),0)</f>
        <v>0</v>
      </c>
      <c r="I543" t="str">
        <f>IF(samples!E80=0,"",samples!E80)</f>
        <v/>
      </c>
      <c r="J543">
        <f>IFERROR(SEARCH(search!$B$6,samples!E80,1),0)</f>
        <v>0</v>
      </c>
      <c r="K543" t="str">
        <f>IF(samples!F80=0,"",samples!F80)</f>
        <v/>
      </c>
      <c r="L543">
        <f>IFERROR(SEARCH(search!$B$6,samples!F80,1),0)</f>
        <v>0</v>
      </c>
      <c r="M543" t="str">
        <f>IF(samples!G80=0,"",samples!G80)</f>
        <v/>
      </c>
      <c r="N543">
        <f>IFERROR(SEARCH(search!$B$6,samples!G80,1),0)</f>
        <v>0</v>
      </c>
      <c r="O543" t="str">
        <f>IF(samples!H80=0,"",samples!H80)</f>
        <v/>
      </c>
      <c r="P543">
        <f>IFERROR(SEARCH(search!$B$6,samples!H80,1),0)</f>
        <v>0</v>
      </c>
      <c r="Q543" t="str">
        <f>IF(samples!I80=0,"",samples!I80)</f>
        <v/>
      </c>
      <c r="R543">
        <f>IFERROR(SEARCH(search!$B$6,samples!I80,1),0)</f>
        <v>0</v>
      </c>
      <c r="S543" t="str">
        <f>IF(samples!J80=0,"",samples!J80)</f>
        <v/>
      </c>
      <c r="T543">
        <f>IFERROR(SEARCH(search!$B$6,samples!J80,1),0)</f>
        <v>0</v>
      </c>
      <c r="U543" t="str">
        <f>IF(samples!K80=0,"",samples!K80)</f>
        <v/>
      </c>
      <c r="V543">
        <f>IFERROR(SEARCH(search!$B$6,samples!K80,1),0)</f>
        <v>0</v>
      </c>
      <c r="W543" t="str">
        <f>IF(samples!L80=0,"",samples!L80)</f>
        <v/>
      </c>
      <c r="X543">
        <f>IFERROR(SEARCH(search!$B$6,samples!L80,1),0)</f>
        <v>0</v>
      </c>
      <c r="Y543" t="str">
        <f>IF(samples!M80=0,"",samples!M80)</f>
        <v/>
      </c>
      <c r="Z543">
        <f>IFERROR(SEARCH(search!$B$6,samples!M80,1),0)</f>
        <v>0</v>
      </c>
      <c r="AA543" t="str">
        <f>IF(samples!N80=0,"",samples!N80)</f>
        <v/>
      </c>
      <c r="AB543">
        <f>IFERROR(SEARCH(search!$B$6,samples!N80,1),0)</f>
        <v>0</v>
      </c>
      <c r="AC543" t="str">
        <f>IF(samples!O80=0,"",samples!O80)</f>
        <v/>
      </c>
      <c r="AD543">
        <f>IFERROR(SEARCH(search!$B$6,samples!O80,1),0)</f>
        <v>0</v>
      </c>
    </row>
    <row r="544" spans="1:30">
      <c r="A544">
        <f t="shared" si="8"/>
        <v>0</v>
      </c>
      <c r="B544">
        <f>IF(SUM(D544,F544,H544,J544,L544,N544,P544,R544,T544,V544,X544,Z544,AB544,AD544)&gt;0,SUM($A$2:A544),0)</f>
        <v>0</v>
      </c>
      <c r="C544">
        <f>samples!B81</f>
        <v>0</v>
      </c>
      <c r="D544">
        <f>IFERROR(SEARCH(search!$B$6,samples!B81,1),0)</f>
        <v>0</v>
      </c>
      <c r="E544" t="str">
        <f>IF(samples!C81=0,"",samples!C81)</f>
        <v/>
      </c>
      <c r="F544">
        <f>IFERROR(SEARCH(search!$B$6,samples!C81,1),0)</f>
        <v>0</v>
      </c>
      <c r="G544" t="str">
        <f>IF(samples!D81=0,"",samples!D81)</f>
        <v/>
      </c>
      <c r="H544">
        <f>IFERROR(SEARCH(search!$B$6,samples!D81,1),0)</f>
        <v>0</v>
      </c>
      <c r="I544" t="str">
        <f>IF(samples!E81=0,"",samples!E81)</f>
        <v/>
      </c>
      <c r="J544">
        <f>IFERROR(SEARCH(search!$B$6,samples!E81,1),0)</f>
        <v>0</v>
      </c>
      <c r="K544" t="str">
        <f>IF(samples!F81=0,"",samples!F81)</f>
        <v/>
      </c>
      <c r="L544">
        <f>IFERROR(SEARCH(search!$B$6,samples!F81,1),0)</f>
        <v>0</v>
      </c>
      <c r="M544" t="str">
        <f>IF(samples!G81=0,"",samples!G81)</f>
        <v/>
      </c>
      <c r="N544">
        <f>IFERROR(SEARCH(search!$B$6,samples!G81,1),0)</f>
        <v>0</v>
      </c>
      <c r="O544" t="str">
        <f>IF(samples!H81=0,"",samples!H81)</f>
        <v/>
      </c>
      <c r="P544">
        <f>IFERROR(SEARCH(search!$B$6,samples!H81,1),0)</f>
        <v>0</v>
      </c>
      <c r="Q544" t="str">
        <f>IF(samples!I81=0,"",samples!I81)</f>
        <v/>
      </c>
      <c r="R544">
        <f>IFERROR(SEARCH(search!$B$6,samples!I81,1),0)</f>
        <v>0</v>
      </c>
      <c r="S544" t="str">
        <f>IF(samples!J81=0,"",samples!J81)</f>
        <v/>
      </c>
      <c r="T544">
        <f>IFERROR(SEARCH(search!$B$6,samples!J81,1),0)</f>
        <v>0</v>
      </c>
      <c r="U544" t="str">
        <f>IF(samples!K81=0,"",samples!K81)</f>
        <v/>
      </c>
      <c r="V544">
        <f>IFERROR(SEARCH(search!$B$6,samples!K81,1),0)</f>
        <v>0</v>
      </c>
      <c r="W544" t="str">
        <f>IF(samples!L81=0,"",samples!L81)</f>
        <v/>
      </c>
      <c r="X544">
        <f>IFERROR(SEARCH(search!$B$6,samples!L81,1),0)</f>
        <v>0</v>
      </c>
      <c r="Y544" t="str">
        <f>IF(samples!M81=0,"",samples!M81)</f>
        <v/>
      </c>
      <c r="Z544">
        <f>IFERROR(SEARCH(search!$B$6,samples!M81,1),0)</f>
        <v>0</v>
      </c>
      <c r="AA544" t="str">
        <f>IF(samples!N81=0,"",samples!N81)</f>
        <v/>
      </c>
      <c r="AB544">
        <f>IFERROR(SEARCH(search!$B$6,samples!N81,1),0)</f>
        <v>0</v>
      </c>
      <c r="AC544" t="str">
        <f>IF(samples!O81=0,"",samples!O81)</f>
        <v/>
      </c>
      <c r="AD544">
        <f>IFERROR(SEARCH(search!$B$6,samples!O81,1),0)</f>
        <v>0</v>
      </c>
    </row>
    <row r="545" spans="1:30">
      <c r="A545">
        <f t="shared" si="8"/>
        <v>0</v>
      </c>
      <c r="B545">
        <f>IF(SUM(D545,F545,H545,J545,L545,N545,P545,R545,T545,V545,X545,Z545,AB545,AD545)&gt;0,SUM($A$2:A545),0)</f>
        <v>0</v>
      </c>
      <c r="C545">
        <f>samples!B82</f>
        <v>0</v>
      </c>
      <c r="D545">
        <f>IFERROR(SEARCH(search!$B$6,samples!B82,1),0)</f>
        <v>0</v>
      </c>
      <c r="E545" t="str">
        <f>IF(samples!C82=0,"",samples!C82)</f>
        <v/>
      </c>
      <c r="F545">
        <f>IFERROR(SEARCH(search!$B$6,samples!C82,1),0)</f>
        <v>0</v>
      </c>
      <c r="G545" t="str">
        <f>IF(samples!D82=0,"",samples!D82)</f>
        <v/>
      </c>
      <c r="H545">
        <f>IFERROR(SEARCH(search!$B$6,samples!D82,1),0)</f>
        <v>0</v>
      </c>
      <c r="I545" t="str">
        <f>IF(samples!E82=0,"",samples!E82)</f>
        <v/>
      </c>
      <c r="J545">
        <f>IFERROR(SEARCH(search!$B$6,samples!E82,1),0)</f>
        <v>0</v>
      </c>
      <c r="K545" t="str">
        <f>IF(samples!F82=0,"",samples!F82)</f>
        <v/>
      </c>
      <c r="L545">
        <f>IFERROR(SEARCH(search!$B$6,samples!F82,1),0)</f>
        <v>0</v>
      </c>
      <c r="M545" t="str">
        <f>IF(samples!G82=0,"",samples!G82)</f>
        <v/>
      </c>
      <c r="N545">
        <f>IFERROR(SEARCH(search!$B$6,samples!G82,1),0)</f>
        <v>0</v>
      </c>
      <c r="O545" t="str">
        <f>IF(samples!H82=0,"",samples!H82)</f>
        <v/>
      </c>
      <c r="P545">
        <f>IFERROR(SEARCH(search!$B$6,samples!H82,1),0)</f>
        <v>0</v>
      </c>
      <c r="Q545" t="str">
        <f>IF(samples!I82=0,"",samples!I82)</f>
        <v/>
      </c>
      <c r="R545">
        <f>IFERROR(SEARCH(search!$B$6,samples!I82,1),0)</f>
        <v>0</v>
      </c>
      <c r="S545" t="str">
        <f>IF(samples!J82=0,"",samples!J82)</f>
        <v/>
      </c>
      <c r="T545">
        <f>IFERROR(SEARCH(search!$B$6,samples!J82,1),0)</f>
        <v>0</v>
      </c>
      <c r="U545" t="str">
        <f>IF(samples!K82=0,"",samples!K82)</f>
        <v/>
      </c>
      <c r="V545">
        <f>IFERROR(SEARCH(search!$B$6,samples!K82,1),0)</f>
        <v>0</v>
      </c>
      <c r="W545" t="str">
        <f>IF(samples!L82=0,"",samples!L82)</f>
        <v/>
      </c>
      <c r="X545">
        <f>IFERROR(SEARCH(search!$B$6,samples!L82,1),0)</f>
        <v>0</v>
      </c>
      <c r="Y545" t="str">
        <f>IF(samples!M82=0,"",samples!M82)</f>
        <v/>
      </c>
      <c r="Z545">
        <f>IFERROR(SEARCH(search!$B$6,samples!M82,1),0)</f>
        <v>0</v>
      </c>
      <c r="AA545" t="str">
        <f>IF(samples!N82=0,"",samples!N82)</f>
        <v/>
      </c>
      <c r="AB545">
        <f>IFERROR(SEARCH(search!$B$6,samples!N82,1),0)</f>
        <v>0</v>
      </c>
      <c r="AC545" t="str">
        <f>IF(samples!O82=0,"",samples!O82)</f>
        <v/>
      </c>
      <c r="AD545">
        <f>IFERROR(SEARCH(search!$B$6,samples!O82,1),0)</f>
        <v>0</v>
      </c>
    </row>
    <row r="546" spans="1:30">
      <c r="A546">
        <f t="shared" si="8"/>
        <v>0</v>
      </c>
      <c r="B546">
        <f>IF(SUM(D546,F546,H546,J546,L546,N546,P546,R546,T546,V546,X546,Z546,AB546,AD546)&gt;0,SUM($A$2:A546),0)</f>
        <v>0</v>
      </c>
      <c r="C546">
        <f>samples!B83</f>
        <v>0</v>
      </c>
      <c r="D546">
        <f>IFERROR(SEARCH(search!$B$6,samples!B83,1),0)</f>
        <v>0</v>
      </c>
      <c r="E546" t="str">
        <f>IF(samples!C83=0,"",samples!C83)</f>
        <v/>
      </c>
      <c r="F546">
        <f>IFERROR(SEARCH(search!$B$6,samples!C83,1),0)</f>
        <v>0</v>
      </c>
      <c r="G546" t="str">
        <f>IF(samples!D83=0,"",samples!D83)</f>
        <v/>
      </c>
      <c r="H546">
        <f>IFERROR(SEARCH(search!$B$6,samples!D83,1),0)</f>
        <v>0</v>
      </c>
      <c r="I546" t="str">
        <f>IF(samples!E83=0,"",samples!E83)</f>
        <v/>
      </c>
      <c r="J546">
        <f>IFERROR(SEARCH(search!$B$6,samples!E83,1),0)</f>
        <v>0</v>
      </c>
      <c r="K546" t="str">
        <f>IF(samples!F83=0,"",samples!F83)</f>
        <v/>
      </c>
      <c r="L546">
        <f>IFERROR(SEARCH(search!$B$6,samples!F83,1),0)</f>
        <v>0</v>
      </c>
      <c r="M546" t="str">
        <f>IF(samples!G83=0,"",samples!G83)</f>
        <v/>
      </c>
      <c r="N546">
        <f>IFERROR(SEARCH(search!$B$6,samples!G83,1),0)</f>
        <v>0</v>
      </c>
      <c r="O546" t="str">
        <f>IF(samples!H83=0,"",samples!H83)</f>
        <v/>
      </c>
      <c r="P546">
        <f>IFERROR(SEARCH(search!$B$6,samples!H83,1),0)</f>
        <v>0</v>
      </c>
      <c r="Q546" t="str">
        <f>IF(samples!I83=0,"",samples!I83)</f>
        <v/>
      </c>
      <c r="R546">
        <f>IFERROR(SEARCH(search!$B$6,samples!I83,1),0)</f>
        <v>0</v>
      </c>
      <c r="S546" t="str">
        <f>IF(samples!J83=0,"",samples!J83)</f>
        <v/>
      </c>
      <c r="T546">
        <f>IFERROR(SEARCH(search!$B$6,samples!J83,1),0)</f>
        <v>0</v>
      </c>
      <c r="U546" t="str">
        <f>IF(samples!K83=0,"",samples!K83)</f>
        <v/>
      </c>
      <c r="V546">
        <f>IFERROR(SEARCH(search!$B$6,samples!K83,1),0)</f>
        <v>0</v>
      </c>
      <c r="W546" t="str">
        <f>IF(samples!L83=0,"",samples!L83)</f>
        <v/>
      </c>
      <c r="X546">
        <f>IFERROR(SEARCH(search!$B$6,samples!L83,1),0)</f>
        <v>0</v>
      </c>
      <c r="Y546" t="str">
        <f>IF(samples!M83=0,"",samples!M83)</f>
        <v/>
      </c>
      <c r="Z546">
        <f>IFERROR(SEARCH(search!$B$6,samples!M83,1),0)</f>
        <v>0</v>
      </c>
      <c r="AA546" t="str">
        <f>IF(samples!N83=0,"",samples!N83)</f>
        <v/>
      </c>
      <c r="AB546">
        <f>IFERROR(SEARCH(search!$B$6,samples!N83,1),0)</f>
        <v>0</v>
      </c>
      <c r="AC546" t="str">
        <f>IF(samples!O83=0,"",samples!O83)</f>
        <v/>
      </c>
      <c r="AD546">
        <f>IFERROR(SEARCH(search!$B$6,samples!O83,1),0)</f>
        <v>0</v>
      </c>
    </row>
    <row r="547" spans="1:30">
      <c r="A547">
        <f t="shared" si="8"/>
        <v>0</v>
      </c>
      <c r="B547">
        <f>IF(SUM(D547,F547,H547,J547,L547,N547,P547,R547,T547,V547,X547,Z547,AB547,AD547)&gt;0,SUM($A$2:A547),0)</f>
        <v>0</v>
      </c>
      <c r="C547">
        <f>samples!B84</f>
        <v>0</v>
      </c>
      <c r="D547">
        <f>IFERROR(SEARCH(search!$B$6,samples!B84,1),0)</f>
        <v>0</v>
      </c>
      <c r="E547" t="str">
        <f>IF(samples!C84=0,"",samples!C84)</f>
        <v/>
      </c>
      <c r="F547">
        <f>IFERROR(SEARCH(search!$B$6,samples!C84,1),0)</f>
        <v>0</v>
      </c>
      <c r="G547" t="str">
        <f>IF(samples!D84=0,"",samples!D84)</f>
        <v/>
      </c>
      <c r="H547">
        <f>IFERROR(SEARCH(search!$B$6,samples!D84,1),0)</f>
        <v>0</v>
      </c>
      <c r="I547" t="str">
        <f>IF(samples!E84=0,"",samples!E84)</f>
        <v/>
      </c>
      <c r="J547">
        <f>IFERROR(SEARCH(search!$B$6,samples!E84,1),0)</f>
        <v>0</v>
      </c>
      <c r="K547" t="str">
        <f>IF(samples!F84=0,"",samples!F84)</f>
        <v/>
      </c>
      <c r="L547">
        <f>IFERROR(SEARCH(search!$B$6,samples!F84,1),0)</f>
        <v>0</v>
      </c>
      <c r="M547" t="str">
        <f>IF(samples!G84=0,"",samples!G84)</f>
        <v/>
      </c>
      <c r="N547">
        <f>IFERROR(SEARCH(search!$B$6,samples!G84,1),0)</f>
        <v>0</v>
      </c>
      <c r="O547" t="str">
        <f>IF(samples!H84=0,"",samples!H84)</f>
        <v/>
      </c>
      <c r="P547">
        <f>IFERROR(SEARCH(search!$B$6,samples!H84,1),0)</f>
        <v>0</v>
      </c>
      <c r="Q547" t="str">
        <f>IF(samples!I84=0,"",samples!I84)</f>
        <v/>
      </c>
      <c r="R547">
        <f>IFERROR(SEARCH(search!$B$6,samples!I84,1),0)</f>
        <v>0</v>
      </c>
      <c r="S547" t="str">
        <f>IF(samples!J84=0,"",samples!J84)</f>
        <v/>
      </c>
      <c r="T547">
        <f>IFERROR(SEARCH(search!$B$6,samples!J84,1),0)</f>
        <v>0</v>
      </c>
      <c r="U547" t="str">
        <f>IF(samples!K84=0,"",samples!K84)</f>
        <v/>
      </c>
      <c r="V547">
        <f>IFERROR(SEARCH(search!$B$6,samples!K84,1),0)</f>
        <v>0</v>
      </c>
      <c r="W547" t="str">
        <f>IF(samples!L84=0,"",samples!L84)</f>
        <v/>
      </c>
      <c r="X547">
        <f>IFERROR(SEARCH(search!$B$6,samples!L84,1),0)</f>
        <v>0</v>
      </c>
      <c r="Y547" t="str">
        <f>IF(samples!M84=0,"",samples!M84)</f>
        <v/>
      </c>
      <c r="Z547">
        <f>IFERROR(SEARCH(search!$B$6,samples!M84,1),0)</f>
        <v>0</v>
      </c>
      <c r="AA547" t="str">
        <f>IF(samples!N84=0,"",samples!N84)</f>
        <v/>
      </c>
      <c r="AB547">
        <f>IFERROR(SEARCH(search!$B$6,samples!N84,1),0)</f>
        <v>0</v>
      </c>
      <c r="AC547" t="str">
        <f>IF(samples!O84=0,"",samples!O84)</f>
        <v/>
      </c>
      <c r="AD547">
        <f>IFERROR(SEARCH(search!$B$6,samples!O84,1),0)</f>
        <v>0</v>
      </c>
    </row>
    <row r="548" spans="1:30">
      <c r="A548">
        <f t="shared" si="8"/>
        <v>0</v>
      </c>
      <c r="B548">
        <f>IF(SUM(D548,F548,H548,J548,L548,N548,P548,R548,T548,V548,X548,Z548,AB548,AD548)&gt;0,SUM($A$2:A548),0)</f>
        <v>0</v>
      </c>
      <c r="C548">
        <f>samples!B85</f>
        <v>0</v>
      </c>
      <c r="D548">
        <f>IFERROR(SEARCH(search!$B$6,samples!B85,1),0)</f>
        <v>0</v>
      </c>
      <c r="E548" t="str">
        <f>IF(samples!C85=0,"",samples!C85)</f>
        <v/>
      </c>
      <c r="F548">
        <f>IFERROR(SEARCH(search!$B$6,samples!C85,1),0)</f>
        <v>0</v>
      </c>
      <c r="G548" t="str">
        <f>IF(samples!D85=0,"",samples!D85)</f>
        <v/>
      </c>
      <c r="H548">
        <f>IFERROR(SEARCH(search!$B$6,samples!D85,1),0)</f>
        <v>0</v>
      </c>
      <c r="I548" t="str">
        <f>IF(samples!E85=0,"",samples!E85)</f>
        <v/>
      </c>
      <c r="J548">
        <f>IFERROR(SEARCH(search!$B$6,samples!E85,1),0)</f>
        <v>0</v>
      </c>
      <c r="K548" t="str">
        <f>IF(samples!F85=0,"",samples!F85)</f>
        <v/>
      </c>
      <c r="L548">
        <f>IFERROR(SEARCH(search!$B$6,samples!F85,1),0)</f>
        <v>0</v>
      </c>
      <c r="M548" t="str">
        <f>IF(samples!G85=0,"",samples!G85)</f>
        <v/>
      </c>
      <c r="N548">
        <f>IFERROR(SEARCH(search!$B$6,samples!G85,1),0)</f>
        <v>0</v>
      </c>
      <c r="O548" t="str">
        <f>IF(samples!H85=0,"",samples!H85)</f>
        <v/>
      </c>
      <c r="P548">
        <f>IFERROR(SEARCH(search!$B$6,samples!H85,1),0)</f>
        <v>0</v>
      </c>
      <c r="Q548" t="str">
        <f>IF(samples!I85=0,"",samples!I85)</f>
        <v/>
      </c>
      <c r="R548">
        <f>IFERROR(SEARCH(search!$B$6,samples!I85,1),0)</f>
        <v>0</v>
      </c>
      <c r="S548" t="str">
        <f>IF(samples!J85=0,"",samples!J85)</f>
        <v/>
      </c>
      <c r="T548">
        <f>IFERROR(SEARCH(search!$B$6,samples!J85,1),0)</f>
        <v>0</v>
      </c>
      <c r="U548" t="str">
        <f>IF(samples!K85=0,"",samples!K85)</f>
        <v/>
      </c>
      <c r="V548">
        <f>IFERROR(SEARCH(search!$B$6,samples!K85,1),0)</f>
        <v>0</v>
      </c>
      <c r="W548" t="str">
        <f>IF(samples!L85=0,"",samples!L85)</f>
        <v/>
      </c>
      <c r="X548">
        <f>IFERROR(SEARCH(search!$B$6,samples!L85,1),0)</f>
        <v>0</v>
      </c>
      <c r="Y548" t="str">
        <f>IF(samples!M85=0,"",samples!M85)</f>
        <v/>
      </c>
      <c r="Z548">
        <f>IFERROR(SEARCH(search!$B$6,samples!M85,1),0)</f>
        <v>0</v>
      </c>
      <c r="AA548" t="str">
        <f>IF(samples!N85=0,"",samples!N85)</f>
        <v/>
      </c>
      <c r="AB548">
        <f>IFERROR(SEARCH(search!$B$6,samples!N85,1),0)</f>
        <v>0</v>
      </c>
      <c r="AC548" t="str">
        <f>IF(samples!O85=0,"",samples!O85)</f>
        <v/>
      </c>
      <c r="AD548">
        <f>IFERROR(SEARCH(search!$B$6,samples!O85,1),0)</f>
        <v>0</v>
      </c>
    </row>
    <row r="549" spans="1:30">
      <c r="A549">
        <f t="shared" si="8"/>
        <v>0</v>
      </c>
      <c r="B549">
        <f>IF(SUM(D549,F549,H549,J549,L549,N549,P549,R549,T549,V549,X549,Z549,AB549,AD549)&gt;0,SUM($A$2:A549),0)</f>
        <v>0</v>
      </c>
      <c r="C549">
        <f>samples!B86</f>
        <v>0</v>
      </c>
      <c r="D549">
        <f>IFERROR(SEARCH(search!$B$6,samples!B86,1),0)</f>
        <v>0</v>
      </c>
      <c r="E549" t="str">
        <f>IF(samples!C86=0,"",samples!C86)</f>
        <v/>
      </c>
      <c r="F549">
        <f>IFERROR(SEARCH(search!$B$6,samples!C86,1),0)</f>
        <v>0</v>
      </c>
      <c r="G549" t="str">
        <f>IF(samples!D86=0,"",samples!D86)</f>
        <v/>
      </c>
      <c r="H549">
        <f>IFERROR(SEARCH(search!$B$6,samples!D86,1),0)</f>
        <v>0</v>
      </c>
      <c r="I549" t="str">
        <f>IF(samples!E86=0,"",samples!E86)</f>
        <v/>
      </c>
      <c r="J549">
        <f>IFERROR(SEARCH(search!$B$6,samples!E86,1),0)</f>
        <v>0</v>
      </c>
      <c r="K549" t="str">
        <f>IF(samples!F86=0,"",samples!F86)</f>
        <v/>
      </c>
      <c r="L549">
        <f>IFERROR(SEARCH(search!$B$6,samples!F86,1),0)</f>
        <v>0</v>
      </c>
      <c r="M549" t="str">
        <f>IF(samples!G86=0,"",samples!G86)</f>
        <v/>
      </c>
      <c r="N549">
        <f>IFERROR(SEARCH(search!$B$6,samples!G86,1),0)</f>
        <v>0</v>
      </c>
      <c r="O549" t="str">
        <f>IF(samples!H86=0,"",samples!H86)</f>
        <v/>
      </c>
      <c r="P549">
        <f>IFERROR(SEARCH(search!$B$6,samples!H86,1),0)</f>
        <v>0</v>
      </c>
      <c r="Q549" t="str">
        <f>IF(samples!I86=0,"",samples!I86)</f>
        <v/>
      </c>
      <c r="R549">
        <f>IFERROR(SEARCH(search!$B$6,samples!I86,1),0)</f>
        <v>0</v>
      </c>
      <c r="S549" t="str">
        <f>IF(samples!J86=0,"",samples!J86)</f>
        <v/>
      </c>
      <c r="T549">
        <f>IFERROR(SEARCH(search!$B$6,samples!J86,1),0)</f>
        <v>0</v>
      </c>
      <c r="U549" t="str">
        <f>IF(samples!K86=0,"",samples!K86)</f>
        <v/>
      </c>
      <c r="V549">
        <f>IFERROR(SEARCH(search!$B$6,samples!K86,1),0)</f>
        <v>0</v>
      </c>
      <c r="W549" t="str">
        <f>IF(samples!L86=0,"",samples!L86)</f>
        <v/>
      </c>
      <c r="X549">
        <f>IFERROR(SEARCH(search!$B$6,samples!L86,1),0)</f>
        <v>0</v>
      </c>
      <c r="Y549" t="str">
        <f>IF(samples!M86=0,"",samples!M86)</f>
        <v/>
      </c>
      <c r="Z549">
        <f>IFERROR(SEARCH(search!$B$6,samples!M86,1),0)</f>
        <v>0</v>
      </c>
      <c r="AA549" t="str">
        <f>IF(samples!N86=0,"",samples!N86)</f>
        <v/>
      </c>
      <c r="AB549">
        <f>IFERROR(SEARCH(search!$B$6,samples!N86,1),0)</f>
        <v>0</v>
      </c>
      <c r="AC549" t="str">
        <f>IF(samples!O86=0,"",samples!O86)</f>
        <v/>
      </c>
      <c r="AD549">
        <f>IFERROR(SEARCH(search!$B$6,samples!O86,1),0)</f>
        <v>0</v>
      </c>
    </row>
    <row r="550" spans="1:30">
      <c r="A550">
        <f t="shared" si="8"/>
        <v>0</v>
      </c>
      <c r="B550">
        <f>IF(SUM(D550,F550,H550,J550,L550,N550,P550,R550,T550,V550,X550,Z550,AB550,AD550)&gt;0,SUM($A$2:A550),0)</f>
        <v>0</v>
      </c>
      <c r="C550">
        <f>samples!B87</f>
        <v>0</v>
      </c>
      <c r="D550">
        <f>IFERROR(SEARCH(search!$B$6,samples!B87,1),0)</f>
        <v>0</v>
      </c>
      <c r="E550" t="str">
        <f>IF(samples!C87=0,"",samples!C87)</f>
        <v/>
      </c>
      <c r="F550">
        <f>IFERROR(SEARCH(search!$B$6,samples!C87,1),0)</f>
        <v>0</v>
      </c>
      <c r="G550" t="str">
        <f>IF(samples!D87=0,"",samples!D87)</f>
        <v/>
      </c>
      <c r="H550">
        <f>IFERROR(SEARCH(search!$B$6,samples!D87,1),0)</f>
        <v>0</v>
      </c>
      <c r="I550" t="str">
        <f>IF(samples!E87=0,"",samples!E87)</f>
        <v/>
      </c>
      <c r="J550">
        <f>IFERROR(SEARCH(search!$B$6,samples!E87,1),0)</f>
        <v>0</v>
      </c>
      <c r="K550" t="str">
        <f>IF(samples!F87=0,"",samples!F87)</f>
        <v/>
      </c>
      <c r="L550">
        <f>IFERROR(SEARCH(search!$B$6,samples!F87,1),0)</f>
        <v>0</v>
      </c>
      <c r="M550" t="str">
        <f>IF(samples!G87=0,"",samples!G87)</f>
        <v/>
      </c>
      <c r="N550">
        <f>IFERROR(SEARCH(search!$B$6,samples!G87,1),0)</f>
        <v>0</v>
      </c>
      <c r="O550" t="str">
        <f>IF(samples!H87=0,"",samples!H87)</f>
        <v/>
      </c>
      <c r="P550">
        <f>IFERROR(SEARCH(search!$B$6,samples!H87,1),0)</f>
        <v>0</v>
      </c>
      <c r="Q550" t="str">
        <f>IF(samples!I87=0,"",samples!I87)</f>
        <v/>
      </c>
      <c r="R550">
        <f>IFERROR(SEARCH(search!$B$6,samples!I87,1),0)</f>
        <v>0</v>
      </c>
      <c r="S550" t="str">
        <f>IF(samples!J87=0,"",samples!J87)</f>
        <v/>
      </c>
      <c r="T550">
        <f>IFERROR(SEARCH(search!$B$6,samples!J87,1),0)</f>
        <v>0</v>
      </c>
      <c r="U550" t="str">
        <f>IF(samples!K87=0,"",samples!K87)</f>
        <v/>
      </c>
      <c r="V550">
        <f>IFERROR(SEARCH(search!$B$6,samples!K87,1),0)</f>
        <v>0</v>
      </c>
      <c r="W550" t="str">
        <f>IF(samples!L87=0,"",samples!L87)</f>
        <v/>
      </c>
      <c r="X550">
        <f>IFERROR(SEARCH(search!$B$6,samples!L87,1),0)</f>
        <v>0</v>
      </c>
      <c r="Y550" t="str">
        <f>IF(samples!M87=0,"",samples!M87)</f>
        <v/>
      </c>
      <c r="Z550">
        <f>IFERROR(SEARCH(search!$B$6,samples!M87,1),0)</f>
        <v>0</v>
      </c>
      <c r="AA550" t="str">
        <f>IF(samples!N87=0,"",samples!N87)</f>
        <v/>
      </c>
      <c r="AB550">
        <f>IFERROR(SEARCH(search!$B$6,samples!N87,1),0)</f>
        <v>0</v>
      </c>
      <c r="AC550" t="str">
        <f>IF(samples!O87=0,"",samples!O87)</f>
        <v/>
      </c>
      <c r="AD550">
        <f>IFERROR(SEARCH(search!$B$6,samples!O87,1),0)</f>
        <v>0</v>
      </c>
    </row>
    <row r="551" spans="1:30">
      <c r="A551">
        <f t="shared" si="8"/>
        <v>0</v>
      </c>
      <c r="B551">
        <f>IF(SUM(D551,F551,H551,J551,L551,N551,P551,R551,T551,V551,X551,Z551,AB551,AD551)&gt;0,SUM($A$2:A551),0)</f>
        <v>0</v>
      </c>
      <c r="C551">
        <f>samples!B88</f>
        <v>0</v>
      </c>
      <c r="D551">
        <f>IFERROR(SEARCH(search!$B$6,samples!B88,1),0)</f>
        <v>0</v>
      </c>
      <c r="E551" t="str">
        <f>IF(samples!C88=0,"",samples!C88)</f>
        <v/>
      </c>
      <c r="F551">
        <f>IFERROR(SEARCH(search!$B$6,samples!C88,1),0)</f>
        <v>0</v>
      </c>
      <c r="G551" t="str">
        <f>IF(samples!D88=0,"",samples!D88)</f>
        <v/>
      </c>
      <c r="H551">
        <f>IFERROR(SEARCH(search!$B$6,samples!D88,1),0)</f>
        <v>0</v>
      </c>
      <c r="I551" t="str">
        <f>IF(samples!E88=0,"",samples!E88)</f>
        <v/>
      </c>
      <c r="J551">
        <f>IFERROR(SEARCH(search!$B$6,samples!E88,1),0)</f>
        <v>0</v>
      </c>
      <c r="K551" t="str">
        <f>IF(samples!F88=0,"",samples!F88)</f>
        <v/>
      </c>
      <c r="L551">
        <f>IFERROR(SEARCH(search!$B$6,samples!F88,1),0)</f>
        <v>0</v>
      </c>
      <c r="M551" t="str">
        <f>IF(samples!G88=0,"",samples!G88)</f>
        <v/>
      </c>
      <c r="N551">
        <f>IFERROR(SEARCH(search!$B$6,samples!G88,1),0)</f>
        <v>0</v>
      </c>
      <c r="O551" t="str">
        <f>IF(samples!H88=0,"",samples!H88)</f>
        <v/>
      </c>
      <c r="P551">
        <f>IFERROR(SEARCH(search!$B$6,samples!H88,1),0)</f>
        <v>0</v>
      </c>
      <c r="Q551" t="str">
        <f>IF(samples!I88=0,"",samples!I88)</f>
        <v/>
      </c>
      <c r="R551">
        <f>IFERROR(SEARCH(search!$B$6,samples!I88,1),0)</f>
        <v>0</v>
      </c>
      <c r="S551" t="str">
        <f>IF(samples!J88=0,"",samples!J88)</f>
        <v/>
      </c>
      <c r="T551">
        <f>IFERROR(SEARCH(search!$B$6,samples!J88,1),0)</f>
        <v>0</v>
      </c>
      <c r="U551" t="str">
        <f>IF(samples!K88=0,"",samples!K88)</f>
        <v/>
      </c>
      <c r="V551">
        <f>IFERROR(SEARCH(search!$B$6,samples!K88,1),0)</f>
        <v>0</v>
      </c>
      <c r="W551" t="str">
        <f>IF(samples!L88=0,"",samples!L88)</f>
        <v/>
      </c>
      <c r="X551">
        <f>IFERROR(SEARCH(search!$B$6,samples!L88,1),0)</f>
        <v>0</v>
      </c>
      <c r="Y551" t="str">
        <f>IF(samples!M88=0,"",samples!M88)</f>
        <v/>
      </c>
      <c r="Z551">
        <f>IFERROR(SEARCH(search!$B$6,samples!M88,1),0)</f>
        <v>0</v>
      </c>
      <c r="AA551" t="str">
        <f>IF(samples!N88=0,"",samples!N88)</f>
        <v/>
      </c>
      <c r="AB551">
        <f>IFERROR(SEARCH(search!$B$6,samples!N88,1),0)</f>
        <v>0</v>
      </c>
      <c r="AC551" t="str">
        <f>IF(samples!O88=0,"",samples!O88)</f>
        <v/>
      </c>
      <c r="AD551">
        <f>IFERROR(SEARCH(search!$B$6,samples!O88,1),0)</f>
        <v>0</v>
      </c>
    </row>
    <row r="552" spans="1:30">
      <c r="A552">
        <f t="shared" si="8"/>
        <v>0</v>
      </c>
      <c r="B552">
        <f>IF(SUM(D552,F552,H552,J552,L552,N552,P552,R552,T552,V552,X552,Z552,AB552,AD552)&gt;0,SUM($A$2:A552),0)</f>
        <v>0</v>
      </c>
      <c r="C552">
        <f>samples!B89</f>
        <v>0</v>
      </c>
      <c r="D552">
        <f>IFERROR(SEARCH(search!$B$6,samples!B89,1),0)</f>
        <v>0</v>
      </c>
      <c r="E552" t="str">
        <f>IF(samples!C89=0,"",samples!C89)</f>
        <v/>
      </c>
      <c r="F552">
        <f>IFERROR(SEARCH(search!$B$6,samples!C89,1),0)</f>
        <v>0</v>
      </c>
      <c r="G552" t="str">
        <f>IF(samples!D89=0,"",samples!D89)</f>
        <v/>
      </c>
      <c r="H552">
        <f>IFERROR(SEARCH(search!$B$6,samples!D89,1),0)</f>
        <v>0</v>
      </c>
      <c r="I552" t="str">
        <f>IF(samples!E89=0,"",samples!E89)</f>
        <v/>
      </c>
      <c r="J552">
        <f>IFERROR(SEARCH(search!$B$6,samples!E89,1),0)</f>
        <v>0</v>
      </c>
      <c r="K552" t="str">
        <f>IF(samples!F89=0,"",samples!F89)</f>
        <v/>
      </c>
      <c r="L552">
        <f>IFERROR(SEARCH(search!$B$6,samples!F89,1),0)</f>
        <v>0</v>
      </c>
      <c r="M552" t="str">
        <f>IF(samples!G89=0,"",samples!G89)</f>
        <v/>
      </c>
      <c r="N552">
        <f>IFERROR(SEARCH(search!$B$6,samples!G89,1),0)</f>
        <v>0</v>
      </c>
      <c r="O552" t="str">
        <f>IF(samples!H89=0,"",samples!H89)</f>
        <v/>
      </c>
      <c r="P552">
        <f>IFERROR(SEARCH(search!$B$6,samples!H89,1),0)</f>
        <v>0</v>
      </c>
      <c r="Q552" t="str">
        <f>IF(samples!I89=0,"",samples!I89)</f>
        <v/>
      </c>
      <c r="R552">
        <f>IFERROR(SEARCH(search!$B$6,samples!I89,1),0)</f>
        <v>0</v>
      </c>
      <c r="S552" t="str">
        <f>IF(samples!J89=0,"",samples!J89)</f>
        <v/>
      </c>
      <c r="T552">
        <f>IFERROR(SEARCH(search!$B$6,samples!J89,1),0)</f>
        <v>0</v>
      </c>
      <c r="U552" t="str">
        <f>IF(samples!K89=0,"",samples!K89)</f>
        <v/>
      </c>
      <c r="V552">
        <f>IFERROR(SEARCH(search!$B$6,samples!K89,1),0)</f>
        <v>0</v>
      </c>
      <c r="W552" t="str">
        <f>IF(samples!L89=0,"",samples!L89)</f>
        <v/>
      </c>
      <c r="X552">
        <f>IFERROR(SEARCH(search!$B$6,samples!L89,1),0)</f>
        <v>0</v>
      </c>
      <c r="Y552" t="str">
        <f>IF(samples!M89=0,"",samples!M89)</f>
        <v/>
      </c>
      <c r="Z552">
        <f>IFERROR(SEARCH(search!$B$6,samples!M89,1),0)</f>
        <v>0</v>
      </c>
      <c r="AA552" t="str">
        <f>IF(samples!N89=0,"",samples!N89)</f>
        <v/>
      </c>
      <c r="AB552">
        <f>IFERROR(SEARCH(search!$B$6,samples!N89,1),0)</f>
        <v>0</v>
      </c>
      <c r="AC552" t="str">
        <f>IF(samples!O89=0,"",samples!O89)</f>
        <v/>
      </c>
      <c r="AD552">
        <f>IFERROR(SEARCH(search!$B$6,samples!O89,1),0)</f>
        <v>0</v>
      </c>
    </row>
    <row r="553" spans="1:30">
      <c r="A553">
        <f t="shared" si="8"/>
        <v>0</v>
      </c>
      <c r="B553">
        <f>IF(SUM(D553,F553,H553,J553,L553,N553,P553,R553,T553,V553,X553,Z553,AB553,AD553)&gt;0,SUM($A$2:A553),0)</f>
        <v>0</v>
      </c>
      <c r="C553">
        <f>samples!B90</f>
        <v>0</v>
      </c>
      <c r="D553">
        <f>IFERROR(SEARCH(search!$B$6,samples!B90,1),0)</f>
        <v>0</v>
      </c>
      <c r="E553" t="str">
        <f>IF(samples!C90=0,"",samples!C90)</f>
        <v/>
      </c>
      <c r="F553">
        <f>IFERROR(SEARCH(search!$B$6,samples!C90,1),0)</f>
        <v>0</v>
      </c>
      <c r="G553" t="str">
        <f>IF(samples!D90=0,"",samples!D90)</f>
        <v/>
      </c>
      <c r="H553">
        <f>IFERROR(SEARCH(search!$B$6,samples!D90,1),0)</f>
        <v>0</v>
      </c>
      <c r="I553" t="str">
        <f>IF(samples!E90=0,"",samples!E90)</f>
        <v/>
      </c>
      <c r="J553">
        <f>IFERROR(SEARCH(search!$B$6,samples!E90,1),0)</f>
        <v>0</v>
      </c>
      <c r="K553" t="str">
        <f>IF(samples!F90=0,"",samples!F90)</f>
        <v/>
      </c>
      <c r="L553">
        <f>IFERROR(SEARCH(search!$B$6,samples!F90,1),0)</f>
        <v>0</v>
      </c>
      <c r="M553" t="str">
        <f>IF(samples!G90=0,"",samples!G90)</f>
        <v/>
      </c>
      <c r="N553">
        <f>IFERROR(SEARCH(search!$B$6,samples!G90,1),0)</f>
        <v>0</v>
      </c>
      <c r="O553" t="str">
        <f>IF(samples!H90=0,"",samples!H90)</f>
        <v/>
      </c>
      <c r="P553">
        <f>IFERROR(SEARCH(search!$B$6,samples!H90,1),0)</f>
        <v>0</v>
      </c>
      <c r="Q553" t="str">
        <f>IF(samples!I90=0,"",samples!I90)</f>
        <v/>
      </c>
      <c r="R553">
        <f>IFERROR(SEARCH(search!$B$6,samples!I90,1),0)</f>
        <v>0</v>
      </c>
      <c r="S553" t="str">
        <f>IF(samples!J90=0,"",samples!J90)</f>
        <v/>
      </c>
      <c r="T553">
        <f>IFERROR(SEARCH(search!$B$6,samples!J90,1),0)</f>
        <v>0</v>
      </c>
      <c r="U553" t="str">
        <f>IF(samples!K90=0,"",samples!K90)</f>
        <v/>
      </c>
      <c r="V553">
        <f>IFERROR(SEARCH(search!$B$6,samples!K90,1),0)</f>
        <v>0</v>
      </c>
      <c r="W553" t="str">
        <f>IF(samples!L90=0,"",samples!L90)</f>
        <v/>
      </c>
      <c r="X553">
        <f>IFERROR(SEARCH(search!$B$6,samples!L90,1),0)</f>
        <v>0</v>
      </c>
      <c r="Y553" t="str">
        <f>IF(samples!M90=0,"",samples!M90)</f>
        <v/>
      </c>
      <c r="Z553">
        <f>IFERROR(SEARCH(search!$B$6,samples!M90,1),0)</f>
        <v>0</v>
      </c>
      <c r="AA553" t="str">
        <f>IF(samples!N90=0,"",samples!N90)</f>
        <v/>
      </c>
      <c r="AB553">
        <f>IFERROR(SEARCH(search!$B$6,samples!N90,1),0)</f>
        <v>0</v>
      </c>
      <c r="AC553" t="str">
        <f>IF(samples!O90=0,"",samples!O90)</f>
        <v/>
      </c>
      <c r="AD553">
        <f>IFERROR(SEARCH(search!$B$6,samples!O90,1),0)</f>
        <v>0</v>
      </c>
    </row>
    <row r="554" spans="1:30">
      <c r="A554">
        <f t="shared" si="8"/>
        <v>0</v>
      </c>
      <c r="B554">
        <f>IF(SUM(D554,F554,H554,J554,L554,N554,P554,R554,T554,V554,X554,Z554,AB554,AD554)&gt;0,SUM($A$2:A554),0)</f>
        <v>0</v>
      </c>
      <c r="C554">
        <f>samples!B91</f>
        <v>0</v>
      </c>
      <c r="D554">
        <f>IFERROR(SEARCH(search!$B$6,samples!B91,1),0)</f>
        <v>0</v>
      </c>
      <c r="E554" t="str">
        <f>IF(samples!C91=0,"",samples!C91)</f>
        <v/>
      </c>
      <c r="F554">
        <f>IFERROR(SEARCH(search!$B$6,samples!C91,1),0)</f>
        <v>0</v>
      </c>
      <c r="G554" t="str">
        <f>IF(samples!D91=0,"",samples!D91)</f>
        <v/>
      </c>
      <c r="H554">
        <f>IFERROR(SEARCH(search!$B$6,samples!D91,1),0)</f>
        <v>0</v>
      </c>
      <c r="I554" t="str">
        <f>IF(samples!E91=0,"",samples!E91)</f>
        <v/>
      </c>
      <c r="J554">
        <f>IFERROR(SEARCH(search!$B$6,samples!E91,1),0)</f>
        <v>0</v>
      </c>
      <c r="K554" t="str">
        <f>IF(samples!F91=0,"",samples!F91)</f>
        <v/>
      </c>
      <c r="L554">
        <f>IFERROR(SEARCH(search!$B$6,samples!F91,1),0)</f>
        <v>0</v>
      </c>
      <c r="M554" t="str">
        <f>IF(samples!G91=0,"",samples!G91)</f>
        <v/>
      </c>
      <c r="N554">
        <f>IFERROR(SEARCH(search!$B$6,samples!G91,1),0)</f>
        <v>0</v>
      </c>
      <c r="O554" t="str">
        <f>IF(samples!H91=0,"",samples!H91)</f>
        <v/>
      </c>
      <c r="P554">
        <f>IFERROR(SEARCH(search!$B$6,samples!H91,1),0)</f>
        <v>0</v>
      </c>
      <c r="Q554" t="str">
        <f>IF(samples!I91=0,"",samples!I91)</f>
        <v/>
      </c>
      <c r="R554">
        <f>IFERROR(SEARCH(search!$B$6,samples!I91,1),0)</f>
        <v>0</v>
      </c>
      <c r="S554" t="str">
        <f>IF(samples!J91=0,"",samples!J91)</f>
        <v/>
      </c>
      <c r="T554">
        <f>IFERROR(SEARCH(search!$B$6,samples!J91,1),0)</f>
        <v>0</v>
      </c>
      <c r="U554" t="str">
        <f>IF(samples!K91=0,"",samples!K91)</f>
        <v/>
      </c>
      <c r="V554">
        <f>IFERROR(SEARCH(search!$B$6,samples!K91,1),0)</f>
        <v>0</v>
      </c>
      <c r="W554" t="str">
        <f>IF(samples!L91=0,"",samples!L91)</f>
        <v/>
      </c>
      <c r="X554">
        <f>IFERROR(SEARCH(search!$B$6,samples!L91,1),0)</f>
        <v>0</v>
      </c>
      <c r="Y554" t="str">
        <f>IF(samples!M91=0,"",samples!M91)</f>
        <v/>
      </c>
      <c r="Z554">
        <f>IFERROR(SEARCH(search!$B$6,samples!M91,1),0)</f>
        <v>0</v>
      </c>
      <c r="AA554" t="str">
        <f>IF(samples!N91=0,"",samples!N91)</f>
        <v/>
      </c>
      <c r="AB554">
        <f>IFERROR(SEARCH(search!$B$6,samples!N91,1),0)</f>
        <v>0</v>
      </c>
      <c r="AC554" t="str">
        <f>IF(samples!O91=0,"",samples!O91)</f>
        <v/>
      </c>
      <c r="AD554">
        <f>IFERROR(SEARCH(search!$B$6,samples!O91,1),0)</f>
        <v>0</v>
      </c>
    </row>
    <row r="555" spans="1:30">
      <c r="A555">
        <f t="shared" si="8"/>
        <v>0</v>
      </c>
      <c r="B555">
        <f>IF(SUM(D555,F555,H555,J555,L555,N555,P555,R555,T555,V555,X555,Z555,AB555,AD555)&gt;0,SUM($A$2:A555),0)</f>
        <v>0</v>
      </c>
      <c r="C555">
        <f>samples!B92</f>
        <v>0</v>
      </c>
      <c r="D555">
        <f>IFERROR(SEARCH(search!$B$6,samples!B92,1),0)</f>
        <v>0</v>
      </c>
      <c r="E555" t="str">
        <f>IF(samples!C92=0,"",samples!C92)</f>
        <v/>
      </c>
      <c r="F555">
        <f>IFERROR(SEARCH(search!$B$6,samples!C92,1),0)</f>
        <v>0</v>
      </c>
      <c r="G555" t="str">
        <f>IF(samples!D92=0,"",samples!D92)</f>
        <v/>
      </c>
      <c r="H555">
        <f>IFERROR(SEARCH(search!$B$6,samples!D92,1),0)</f>
        <v>0</v>
      </c>
      <c r="I555" t="str">
        <f>IF(samples!E92=0,"",samples!E92)</f>
        <v/>
      </c>
      <c r="J555">
        <f>IFERROR(SEARCH(search!$B$6,samples!E92,1),0)</f>
        <v>0</v>
      </c>
      <c r="K555" t="str">
        <f>IF(samples!F92=0,"",samples!F92)</f>
        <v/>
      </c>
      <c r="L555">
        <f>IFERROR(SEARCH(search!$B$6,samples!F92,1),0)</f>
        <v>0</v>
      </c>
      <c r="M555" t="str">
        <f>IF(samples!G92=0,"",samples!G92)</f>
        <v/>
      </c>
      <c r="N555">
        <f>IFERROR(SEARCH(search!$B$6,samples!G92,1),0)</f>
        <v>0</v>
      </c>
      <c r="O555" t="str">
        <f>IF(samples!H92=0,"",samples!H92)</f>
        <v/>
      </c>
      <c r="P555">
        <f>IFERROR(SEARCH(search!$B$6,samples!H92,1),0)</f>
        <v>0</v>
      </c>
      <c r="Q555" t="str">
        <f>IF(samples!I92=0,"",samples!I92)</f>
        <v/>
      </c>
      <c r="R555">
        <f>IFERROR(SEARCH(search!$B$6,samples!I92,1),0)</f>
        <v>0</v>
      </c>
      <c r="S555" t="str">
        <f>IF(samples!J92=0,"",samples!J92)</f>
        <v/>
      </c>
      <c r="T555">
        <f>IFERROR(SEARCH(search!$B$6,samples!J92,1),0)</f>
        <v>0</v>
      </c>
      <c r="U555" t="str">
        <f>IF(samples!K92=0,"",samples!K92)</f>
        <v/>
      </c>
      <c r="V555">
        <f>IFERROR(SEARCH(search!$B$6,samples!K92,1),0)</f>
        <v>0</v>
      </c>
      <c r="W555" t="str">
        <f>IF(samples!L92=0,"",samples!L92)</f>
        <v/>
      </c>
      <c r="X555">
        <f>IFERROR(SEARCH(search!$B$6,samples!L92,1),0)</f>
        <v>0</v>
      </c>
      <c r="Y555" t="str">
        <f>IF(samples!M92=0,"",samples!M92)</f>
        <v/>
      </c>
      <c r="Z555">
        <f>IFERROR(SEARCH(search!$B$6,samples!M92,1),0)</f>
        <v>0</v>
      </c>
      <c r="AA555" t="str">
        <f>IF(samples!N92=0,"",samples!N92)</f>
        <v/>
      </c>
      <c r="AB555">
        <f>IFERROR(SEARCH(search!$B$6,samples!N92,1),0)</f>
        <v>0</v>
      </c>
      <c r="AC555" t="str">
        <f>IF(samples!O92=0,"",samples!O92)</f>
        <v/>
      </c>
      <c r="AD555">
        <f>IFERROR(SEARCH(search!$B$6,samples!O92,1),0)</f>
        <v>0</v>
      </c>
    </row>
    <row r="556" spans="1:30">
      <c r="A556">
        <f t="shared" si="8"/>
        <v>0</v>
      </c>
      <c r="B556">
        <f>IF(SUM(D556,F556,H556,J556,L556,N556,P556,R556,T556,V556,X556,Z556,AB556,AD556)&gt;0,SUM($A$2:A556),0)</f>
        <v>0</v>
      </c>
      <c r="C556">
        <f>samples!B93</f>
        <v>0</v>
      </c>
      <c r="D556">
        <f>IFERROR(SEARCH(search!$B$6,samples!B93,1),0)</f>
        <v>0</v>
      </c>
      <c r="E556" t="str">
        <f>IF(samples!C93=0,"",samples!C93)</f>
        <v/>
      </c>
      <c r="F556">
        <f>IFERROR(SEARCH(search!$B$6,samples!C93,1),0)</f>
        <v>0</v>
      </c>
      <c r="G556" t="str">
        <f>IF(samples!D93=0,"",samples!D93)</f>
        <v/>
      </c>
      <c r="H556">
        <f>IFERROR(SEARCH(search!$B$6,samples!D93,1),0)</f>
        <v>0</v>
      </c>
      <c r="I556" t="str">
        <f>IF(samples!E93=0,"",samples!E93)</f>
        <v/>
      </c>
      <c r="J556">
        <f>IFERROR(SEARCH(search!$B$6,samples!E93,1),0)</f>
        <v>0</v>
      </c>
      <c r="K556" t="str">
        <f>IF(samples!F93=0,"",samples!F93)</f>
        <v/>
      </c>
      <c r="L556">
        <f>IFERROR(SEARCH(search!$B$6,samples!F93,1),0)</f>
        <v>0</v>
      </c>
      <c r="M556" t="str">
        <f>IF(samples!G93=0,"",samples!G93)</f>
        <v/>
      </c>
      <c r="N556">
        <f>IFERROR(SEARCH(search!$B$6,samples!G93,1),0)</f>
        <v>0</v>
      </c>
      <c r="O556" t="str">
        <f>IF(samples!H93=0,"",samples!H93)</f>
        <v/>
      </c>
      <c r="P556">
        <f>IFERROR(SEARCH(search!$B$6,samples!H93,1),0)</f>
        <v>0</v>
      </c>
      <c r="Q556" t="str">
        <f>IF(samples!I93=0,"",samples!I93)</f>
        <v/>
      </c>
      <c r="R556">
        <f>IFERROR(SEARCH(search!$B$6,samples!I93,1),0)</f>
        <v>0</v>
      </c>
      <c r="S556" t="str">
        <f>IF(samples!J93=0,"",samples!J93)</f>
        <v/>
      </c>
      <c r="T556">
        <f>IFERROR(SEARCH(search!$B$6,samples!J93,1),0)</f>
        <v>0</v>
      </c>
      <c r="U556" t="str">
        <f>IF(samples!K93=0,"",samples!K93)</f>
        <v/>
      </c>
      <c r="V556">
        <f>IFERROR(SEARCH(search!$B$6,samples!K93,1),0)</f>
        <v>0</v>
      </c>
      <c r="W556" t="str">
        <f>IF(samples!L93=0,"",samples!L93)</f>
        <v/>
      </c>
      <c r="X556">
        <f>IFERROR(SEARCH(search!$B$6,samples!L93,1),0)</f>
        <v>0</v>
      </c>
      <c r="Y556" t="str">
        <f>IF(samples!M93=0,"",samples!M93)</f>
        <v/>
      </c>
      <c r="Z556">
        <f>IFERROR(SEARCH(search!$B$6,samples!M93,1),0)</f>
        <v>0</v>
      </c>
      <c r="AA556" t="str">
        <f>IF(samples!N93=0,"",samples!N93)</f>
        <v/>
      </c>
      <c r="AB556">
        <f>IFERROR(SEARCH(search!$B$6,samples!N93,1),0)</f>
        <v>0</v>
      </c>
      <c r="AC556" t="str">
        <f>IF(samples!O93=0,"",samples!O93)</f>
        <v/>
      </c>
      <c r="AD556">
        <f>IFERROR(SEARCH(search!$B$6,samples!O93,1),0)</f>
        <v>0</v>
      </c>
    </row>
    <row r="557" spans="1:30">
      <c r="A557">
        <f t="shared" si="8"/>
        <v>0</v>
      </c>
      <c r="B557">
        <f>IF(SUM(D557,F557,H557,J557,L557,N557,P557,R557,T557,V557,X557,Z557,AB557,AD557)&gt;0,SUM($A$2:A557),0)</f>
        <v>0</v>
      </c>
      <c r="C557">
        <f>samples!B94</f>
        <v>0</v>
      </c>
      <c r="D557">
        <f>IFERROR(SEARCH(search!$B$6,samples!B94,1),0)</f>
        <v>0</v>
      </c>
      <c r="E557" t="str">
        <f>IF(samples!C94=0,"",samples!C94)</f>
        <v/>
      </c>
      <c r="F557">
        <f>IFERROR(SEARCH(search!$B$6,samples!C94,1),0)</f>
        <v>0</v>
      </c>
      <c r="G557" t="str">
        <f>IF(samples!D94=0,"",samples!D94)</f>
        <v/>
      </c>
      <c r="H557">
        <f>IFERROR(SEARCH(search!$B$6,samples!D94,1),0)</f>
        <v>0</v>
      </c>
      <c r="I557" t="str">
        <f>IF(samples!E94=0,"",samples!E94)</f>
        <v/>
      </c>
      <c r="J557">
        <f>IFERROR(SEARCH(search!$B$6,samples!E94,1),0)</f>
        <v>0</v>
      </c>
      <c r="K557" t="str">
        <f>IF(samples!F94=0,"",samples!F94)</f>
        <v/>
      </c>
      <c r="L557">
        <f>IFERROR(SEARCH(search!$B$6,samples!F94,1),0)</f>
        <v>0</v>
      </c>
      <c r="M557" t="str">
        <f>IF(samples!G94=0,"",samples!G94)</f>
        <v/>
      </c>
      <c r="N557">
        <f>IFERROR(SEARCH(search!$B$6,samples!G94,1),0)</f>
        <v>0</v>
      </c>
      <c r="O557" t="str">
        <f>IF(samples!H94=0,"",samples!H94)</f>
        <v/>
      </c>
      <c r="P557">
        <f>IFERROR(SEARCH(search!$B$6,samples!H94,1),0)</f>
        <v>0</v>
      </c>
      <c r="Q557" t="str">
        <f>IF(samples!I94=0,"",samples!I94)</f>
        <v/>
      </c>
      <c r="R557">
        <f>IFERROR(SEARCH(search!$B$6,samples!I94,1),0)</f>
        <v>0</v>
      </c>
      <c r="S557" t="str">
        <f>IF(samples!J94=0,"",samples!J94)</f>
        <v/>
      </c>
      <c r="T557">
        <f>IFERROR(SEARCH(search!$B$6,samples!J94,1),0)</f>
        <v>0</v>
      </c>
      <c r="U557" t="str">
        <f>IF(samples!K94=0,"",samples!K94)</f>
        <v/>
      </c>
      <c r="V557">
        <f>IFERROR(SEARCH(search!$B$6,samples!K94,1),0)</f>
        <v>0</v>
      </c>
      <c r="W557" t="str">
        <f>IF(samples!L94=0,"",samples!L94)</f>
        <v/>
      </c>
      <c r="X557">
        <f>IFERROR(SEARCH(search!$B$6,samples!L94,1),0)</f>
        <v>0</v>
      </c>
      <c r="Y557" t="str">
        <f>IF(samples!M94=0,"",samples!M94)</f>
        <v/>
      </c>
      <c r="Z557">
        <f>IFERROR(SEARCH(search!$B$6,samples!M94,1),0)</f>
        <v>0</v>
      </c>
      <c r="AA557" t="str">
        <f>IF(samples!N94=0,"",samples!N94)</f>
        <v/>
      </c>
      <c r="AB557">
        <f>IFERROR(SEARCH(search!$B$6,samples!N94,1),0)</f>
        <v>0</v>
      </c>
      <c r="AC557" t="str">
        <f>IF(samples!O94=0,"",samples!O94)</f>
        <v/>
      </c>
      <c r="AD557">
        <f>IFERROR(SEARCH(search!$B$6,samples!O94,1),0)</f>
        <v>0</v>
      </c>
    </row>
    <row r="558" spans="1:30">
      <c r="A558">
        <f t="shared" si="8"/>
        <v>0</v>
      </c>
      <c r="B558">
        <f>IF(SUM(D558,F558,H558,J558,L558,N558,P558,R558,T558,V558,X558,Z558,AB558,AD558)&gt;0,SUM($A$2:A558),0)</f>
        <v>0</v>
      </c>
      <c r="C558">
        <f>samples!B95</f>
        <v>0</v>
      </c>
      <c r="D558">
        <f>IFERROR(SEARCH(search!$B$6,samples!B95,1),0)</f>
        <v>0</v>
      </c>
      <c r="E558" t="str">
        <f>IF(samples!C95=0,"",samples!C95)</f>
        <v/>
      </c>
      <c r="F558">
        <f>IFERROR(SEARCH(search!$B$6,samples!C95,1),0)</f>
        <v>0</v>
      </c>
      <c r="G558" t="str">
        <f>IF(samples!D95=0,"",samples!D95)</f>
        <v/>
      </c>
      <c r="H558">
        <f>IFERROR(SEARCH(search!$B$6,samples!D95,1),0)</f>
        <v>0</v>
      </c>
      <c r="I558" t="str">
        <f>IF(samples!E95=0,"",samples!E95)</f>
        <v/>
      </c>
      <c r="J558">
        <f>IFERROR(SEARCH(search!$B$6,samples!E95,1),0)</f>
        <v>0</v>
      </c>
      <c r="K558" t="str">
        <f>IF(samples!F95=0,"",samples!F95)</f>
        <v/>
      </c>
      <c r="L558">
        <f>IFERROR(SEARCH(search!$B$6,samples!F95,1),0)</f>
        <v>0</v>
      </c>
      <c r="M558" t="str">
        <f>IF(samples!G95=0,"",samples!G95)</f>
        <v/>
      </c>
      <c r="N558">
        <f>IFERROR(SEARCH(search!$B$6,samples!G95,1),0)</f>
        <v>0</v>
      </c>
      <c r="O558" t="str">
        <f>IF(samples!H95=0,"",samples!H95)</f>
        <v/>
      </c>
      <c r="P558">
        <f>IFERROR(SEARCH(search!$B$6,samples!H95,1),0)</f>
        <v>0</v>
      </c>
      <c r="Q558" t="str">
        <f>IF(samples!I95=0,"",samples!I95)</f>
        <v/>
      </c>
      <c r="R558">
        <f>IFERROR(SEARCH(search!$B$6,samples!I95,1),0)</f>
        <v>0</v>
      </c>
      <c r="S558" t="str">
        <f>IF(samples!J95=0,"",samples!J95)</f>
        <v/>
      </c>
      <c r="T558">
        <f>IFERROR(SEARCH(search!$B$6,samples!J95,1),0)</f>
        <v>0</v>
      </c>
      <c r="U558" t="str">
        <f>IF(samples!K95=0,"",samples!K95)</f>
        <v/>
      </c>
      <c r="V558">
        <f>IFERROR(SEARCH(search!$B$6,samples!K95,1),0)</f>
        <v>0</v>
      </c>
      <c r="W558" t="str">
        <f>IF(samples!L95=0,"",samples!L95)</f>
        <v/>
      </c>
      <c r="X558">
        <f>IFERROR(SEARCH(search!$B$6,samples!L95,1),0)</f>
        <v>0</v>
      </c>
      <c r="Y558" t="str">
        <f>IF(samples!M95=0,"",samples!M95)</f>
        <v/>
      </c>
      <c r="Z558">
        <f>IFERROR(SEARCH(search!$B$6,samples!M95,1),0)</f>
        <v>0</v>
      </c>
      <c r="AA558" t="str">
        <f>IF(samples!N95=0,"",samples!N95)</f>
        <v/>
      </c>
      <c r="AB558">
        <f>IFERROR(SEARCH(search!$B$6,samples!N95,1),0)</f>
        <v>0</v>
      </c>
      <c r="AC558" t="str">
        <f>IF(samples!O95=0,"",samples!O95)</f>
        <v/>
      </c>
      <c r="AD558">
        <f>IFERROR(SEARCH(search!$B$6,samples!O95,1),0)</f>
        <v>0</v>
      </c>
    </row>
    <row r="559" spans="1:30">
      <c r="A559">
        <f t="shared" si="8"/>
        <v>0</v>
      </c>
      <c r="B559">
        <f>IF(SUM(D559,F559,H559,J559,L559,N559,P559,R559,T559,V559,X559,Z559,AB559,AD559)&gt;0,SUM($A$2:A559),0)</f>
        <v>0</v>
      </c>
      <c r="C559">
        <f>samples!B96</f>
        <v>0</v>
      </c>
      <c r="D559">
        <f>IFERROR(SEARCH(search!$B$6,samples!B96,1),0)</f>
        <v>0</v>
      </c>
      <c r="E559" t="str">
        <f>IF(samples!C96=0,"",samples!C96)</f>
        <v/>
      </c>
      <c r="F559">
        <f>IFERROR(SEARCH(search!$B$6,samples!C96,1),0)</f>
        <v>0</v>
      </c>
      <c r="G559" t="str">
        <f>IF(samples!D96=0,"",samples!D96)</f>
        <v/>
      </c>
      <c r="H559">
        <f>IFERROR(SEARCH(search!$B$6,samples!D96,1),0)</f>
        <v>0</v>
      </c>
      <c r="I559" t="str">
        <f>IF(samples!E96=0,"",samples!E96)</f>
        <v/>
      </c>
      <c r="J559">
        <f>IFERROR(SEARCH(search!$B$6,samples!E96,1),0)</f>
        <v>0</v>
      </c>
      <c r="K559" t="str">
        <f>IF(samples!F96=0,"",samples!F96)</f>
        <v/>
      </c>
      <c r="L559">
        <f>IFERROR(SEARCH(search!$B$6,samples!F96,1),0)</f>
        <v>0</v>
      </c>
      <c r="M559" t="str">
        <f>IF(samples!G96=0,"",samples!G96)</f>
        <v/>
      </c>
      <c r="N559">
        <f>IFERROR(SEARCH(search!$B$6,samples!G96,1),0)</f>
        <v>0</v>
      </c>
      <c r="O559" t="str">
        <f>IF(samples!H96=0,"",samples!H96)</f>
        <v/>
      </c>
      <c r="P559">
        <f>IFERROR(SEARCH(search!$B$6,samples!H96,1),0)</f>
        <v>0</v>
      </c>
      <c r="Q559" t="str">
        <f>IF(samples!I96=0,"",samples!I96)</f>
        <v/>
      </c>
      <c r="R559">
        <f>IFERROR(SEARCH(search!$B$6,samples!I96,1),0)</f>
        <v>0</v>
      </c>
      <c r="S559" t="str">
        <f>IF(samples!J96=0,"",samples!J96)</f>
        <v/>
      </c>
      <c r="T559">
        <f>IFERROR(SEARCH(search!$B$6,samples!J96,1),0)</f>
        <v>0</v>
      </c>
      <c r="U559" t="str">
        <f>IF(samples!K96=0,"",samples!K96)</f>
        <v/>
      </c>
      <c r="V559">
        <f>IFERROR(SEARCH(search!$B$6,samples!K96,1),0)</f>
        <v>0</v>
      </c>
      <c r="W559" t="str">
        <f>IF(samples!L96=0,"",samples!L96)</f>
        <v/>
      </c>
      <c r="X559">
        <f>IFERROR(SEARCH(search!$B$6,samples!L96,1),0)</f>
        <v>0</v>
      </c>
      <c r="Y559" t="str">
        <f>IF(samples!M96=0,"",samples!M96)</f>
        <v/>
      </c>
      <c r="Z559">
        <f>IFERROR(SEARCH(search!$B$6,samples!M96,1),0)</f>
        <v>0</v>
      </c>
      <c r="AA559" t="str">
        <f>IF(samples!N96=0,"",samples!N96)</f>
        <v/>
      </c>
      <c r="AB559">
        <f>IFERROR(SEARCH(search!$B$6,samples!N96,1),0)</f>
        <v>0</v>
      </c>
      <c r="AC559" t="str">
        <f>IF(samples!O96=0,"",samples!O96)</f>
        <v/>
      </c>
      <c r="AD559">
        <f>IFERROR(SEARCH(search!$B$6,samples!O96,1),0)</f>
        <v>0</v>
      </c>
    </row>
    <row r="560" spans="1:30">
      <c r="A560">
        <f t="shared" si="8"/>
        <v>0</v>
      </c>
      <c r="B560">
        <f>IF(SUM(D560,F560,H560,J560,L560,N560,P560,R560,T560,V560,X560,Z560,AB560,AD560)&gt;0,SUM($A$2:A560),0)</f>
        <v>0</v>
      </c>
      <c r="C560">
        <f>samples!B97</f>
        <v>0</v>
      </c>
      <c r="D560">
        <f>IFERROR(SEARCH(search!$B$6,samples!B97,1),0)</f>
        <v>0</v>
      </c>
      <c r="E560" t="str">
        <f>IF(samples!C97=0,"",samples!C97)</f>
        <v/>
      </c>
      <c r="F560">
        <f>IFERROR(SEARCH(search!$B$6,samples!C97,1),0)</f>
        <v>0</v>
      </c>
      <c r="G560" t="str">
        <f>IF(samples!D97=0,"",samples!D97)</f>
        <v/>
      </c>
      <c r="H560">
        <f>IFERROR(SEARCH(search!$B$6,samples!D97,1),0)</f>
        <v>0</v>
      </c>
      <c r="I560" t="str">
        <f>IF(samples!E97=0,"",samples!E97)</f>
        <v/>
      </c>
      <c r="J560">
        <f>IFERROR(SEARCH(search!$B$6,samples!E97,1),0)</f>
        <v>0</v>
      </c>
      <c r="K560" t="str">
        <f>IF(samples!F97=0,"",samples!F97)</f>
        <v/>
      </c>
      <c r="L560">
        <f>IFERROR(SEARCH(search!$B$6,samples!F97,1),0)</f>
        <v>0</v>
      </c>
      <c r="M560" t="str">
        <f>IF(samples!G97=0,"",samples!G97)</f>
        <v/>
      </c>
      <c r="N560">
        <f>IFERROR(SEARCH(search!$B$6,samples!G97,1),0)</f>
        <v>0</v>
      </c>
      <c r="O560" t="str">
        <f>IF(samples!H97=0,"",samples!H97)</f>
        <v/>
      </c>
      <c r="P560">
        <f>IFERROR(SEARCH(search!$B$6,samples!H97,1),0)</f>
        <v>0</v>
      </c>
      <c r="Q560" t="str">
        <f>IF(samples!I97=0,"",samples!I97)</f>
        <v/>
      </c>
      <c r="R560">
        <f>IFERROR(SEARCH(search!$B$6,samples!I97,1),0)</f>
        <v>0</v>
      </c>
      <c r="S560" t="str">
        <f>IF(samples!J97=0,"",samples!J97)</f>
        <v/>
      </c>
      <c r="T560">
        <f>IFERROR(SEARCH(search!$B$6,samples!J97,1),0)</f>
        <v>0</v>
      </c>
      <c r="U560" t="str">
        <f>IF(samples!K97=0,"",samples!K97)</f>
        <v/>
      </c>
      <c r="V560">
        <f>IFERROR(SEARCH(search!$B$6,samples!K97,1),0)</f>
        <v>0</v>
      </c>
      <c r="W560" t="str">
        <f>IF(samples!L97=0,"",samples!L97)</f>
        <v/>
      </c>
      <c r="X560">
        <f>IFERROR(SEARCH(search!$B$6,samples!L97,1),0)</f>
        <v>0</v>
      </c>
      <c r="Y560" t="str">
        <f>IF(samples!M97=0,"",samples!M97)</f>
        <v/>
      </c>
      <c r="Z560">
        <f>IFERROR(SEARCH(search!$B$6,samples!M97,1),0)</f>
        <v>0</v>
      </c>
      <c r="AA560" t="str">
        <f>IF(samples!N97=0,"",samples!N97)</f>
        <v/>
      </c>
      <c r="AB560">
        <f>IFERROR(SEARCH(search!$B$6,samples!N97,1),0)</f>
        <v>0</v>
      </c>
      <c r="AC560" t="str">
        <f>IF(samples!O97=0,"",samples!O97)</f>
        <v/>
      </c>
      <c r="AD560">
        <f>IFERROR(SEARCH(search!$B$6,samples!O97,1),0)</f>
        <v>0</v>
      </c>
    </row>
    <row r="561" spans="1:30">
      <c r="A561">
        <f t="shared" si="8"/>
        <v>0</v>
      </c>
      <c r="B561">
        <f>IF(SUM(D561,F561,H561,J561,L561,N561,P561,R561,T561,V561,X561,Z561,AB561,AD561)&gt;0,SUM($A$2:A561),0)</f>
        <v>0</v>
      </c>
      <c r="C561">
        <f>samples!B98</f>
        <v>0</v>
      </c>
      <c r="D561">
        <f>IFERROR(SEARCH(search!$B$6,samples!B98,1),0)</f>
        <v>0</v>
      </c>
      <c r="E561" t="str">
        <f>IF(samples!C98=0,"",samples!C98)</f>
        <v/>
      </c>
      <c r="F561">
        <f>IFERROR(SEARCH(search!$B$6,samples!C98,1),0)</f>
        <v>0</v>
      </c>
      <c r="G561" t="str">
        <f>IF(samples!D98=0,"",samples!D98)</f>
        <v/>
      </c>
      <c r="H561">
        <f>IFERROR(SEARCH(search!$B$6,samples!D98,1),0)</f>
        <v>0</v>
      </c>
      <c r="I561" t="str">
        <f>IF(samples!E98=0,"",samples!E98)</f>
        <v/>
      </c>
      <c r="J561">
        <f>IFERROR(SEARCH(search!$B$6,samples!E98,1),0)</f>
        <v>0</v>
      </c>
      <c r="K561" t="str">
        <f>IF(samples!F98=0,"",samples!F98)</f>
        <v/>
      </c>
      <c r="L561">
        <f>IFERROR(SEARCH(search!$B$6,samples!F98,1),0)</f>
        <v>0</v>
      </c>
      <c r="M561" t="str">
        <f>IF(samples!G98=0,"",samples!G98)</f>
        <v/>
      </c>
      <c r="N561">
        <f>IFERROR(SEARCH(search!$B$6,samples!G98,1),0)</f>
        <v>0</v>
      </c>
      <c r="O561" t="str">
        <f>IF(samples!H98=0,"",samples!H98)</f>
        <v/>
      </c>
      <c r="P561">
        <f>IFERROR(SEARCH(search!$B$6,samples!H98,1),0)</f>
        <v>0</v>
      </c>
      <c r="Q561" t="str">
        <f>IF(samples!I98=0,"",samples!I98)</f>
        <v/>
      </c>
      <c r="R561">
        <f>IFERROR(SEARCH(search!$B$6,samples!I98,1),0)</f>
        <v>0</v>
      </c>
      <c r="S561" t="str">
        <f>IF(samples!J98=0,"",samples!J98)</f>
        <v/>
      </c>
      <c r="T561">
        <f>IFERROR(SEARCH(search!$B$6,samples!J98,1),0)</f>
        <v>0</v>
      </c>
      <c r="U561" t="str">
        <f>IF(samples!K98=0,"",samples!K98)</f>
        <v/>
      </c>
      <c r="V561">
        <f>IFERROR(SEARCH(search!$B$6,samples!K98,1),0)</f>
        <v>0</v>
      </c>
      <c r="W561" t="str">
        <f>IF(samples!L98=0,"",samples!L98)</f>
        <v/>
      </c>
      <c r="X561">
        <f>IFERROR(SEARCH(search!$B$6,samples!L98,1),0)</f>
        <v>0</v>
      </c>
      <c r="Y561" t="str">
        <f>IF(samples!M98=0,"",samples!M98)</f>
        <v/>
      </c>
      <c r="Z561">
        <f>IFERROR(SEARCH(search!$B$6,samples!M98,1),0)</f>
        <v>0</v>
      </c>
      <c r="AA561" t="str">
        <f>IF(samples!N98=0,"",samples!N98)</f>
        <v/>
      </c>
      <c r="AB561">
        <f>IFERROR(SEARCH(search!$B$6,samples!N98,1),0)</f>
        <v>0</v>
      </c>
      <c r="AC561" t="str">
        <f>IF(samples!O98=0,"",samples!O98)</f>
        <v/>
      </c>
      <c r="AD561">
        <f>IFERROR(SEARCH(search!$B$6,samples!O98,1),0)</f>
        <v>0</v>
      </c>
    </row>
    <row r="562" spans="1:30">
      <c r="A562">
        <f t="shared" si="8"/>
        <v>0</v>
      </c>
      <c r="B562">
        <f>IF(SUM(D562,F562,H562,J562,L562,N562,P562,R562,T562,V562,X562,Z562,AB562,AD562)&gt;0,SUM($A$2:A562),0)</f>
        <v>0</v>
      </c>
      <c r="C562">
        <f>samples!B99</f>
        <v>0</v>
      </c>
      <c r="D562">
        <f>IFERROR(SEARCH(search!$B$6,samples!B99,1),0)</f>
        <v>0</v>
      </c>
      <c r="E562" t="str">
        <f>IF(samples!C99=0,"",samples!C99)</f>
        <v/>
      </c>
      <c r="F562">
        <f>IFERROR(SEARCH(search!$B$6,samples!C99,1),0)</f>
        <v>0</v>
      </c>
      <c r="G562" t="str">
        <f>IF(samples!D99=0,"",samples!D99)</f>
        <v/>
      </c>
      <c r="H562">
        <f>IFERROR(SEARCH(search!$B$6,samples!D99,1),0)</f>
        <v>0</v>
      </c>
      <c r="I562" t="str">
        <f>IF(samples!E99=0,"",samples!E99)</f>
        <v/>
      </c>
      <c r="J562">
        <f>IFERROR(SEARCH(search!$B$6,samples!E99,1),0)</f>
        <v>0</v>
      </c>
      <c r="K562" t="str">
        <f>IF(samples!F99=0,"",samples!F99)</f>
        <v/>
      </c>
      <c r="L562">
        <f>IFERROR(SEARCH(search!$B$6,samples!F99,1),0)</f>
        <v>0</v>
      </c>
      <c r="M562" t="str">
        <f>IF(samples!G99=0,"",samples!G99)</f>
        <v/>
      </c>
      <c r="N562">
        <f>IFERROR(SEARCH(search!$B$6,samples!G99,1),0)</f>
        <v>0</v>
      </c>
      <c r="O562" t="str">
        <f>IF(samples!H99=0,"",samples!H99)</f>
        <v/>
      </c>
      <c r="P562">
        <f>IFERROR(SEARCH(search!$B$6,samples!H99,1),0)</f>
        <v>0</v>
      </c>
      <c r="Q562" t="str">
        <f>IF(samples!I99=0,"",samples!I99)</f>
        <v/>
      </c>
      <c r="R562">
        <f>IFERROR(SEARCH(search!$B$6,samples!I99,1),0)</f>
        <v>0</v>
      </c>
      <c r="S562" t="str">
        <f>IF(samples!J99=0,"",samples!J99)</f>
        <v/>
      </c>
      <c r="T562">
        <f>IFERROR(SEARCH(search!$B$6,samples!J99,1),0)</f>
        <v>0</v>
      </c>
      <c r="U562" t="str">
        <f>IF(samples!K99=0,"",samples!K99)</f>
        <v/>
      </c>
      <c r="V562">
        <f>IFERROR(SEARCH(search!$B$6,samples!K99,1),0)</f>
        <v>0</v>
      </c>
      <c r="W562" t="str">
        <f>IF(samples!L99=0,"",samples!L99)</f>
        <v/>
      </c>
      <c r="X562">
        <f>IFERROR(SEARCH(search!$B$6,samples!L99,1),0)</f>
        <v>0</v>
      </c>
      <c r="Y562" t="str">
        <f>IF(samples!M99=0,"",samples!M99)</f>
        <v/>
      </c>
      <c r="Z562">
        <f>IFERROR(SEARCH(search!$B$6,samples!M99,1),0)</f>
        <v>0</v>
      </c>
      <c r="AA562" t="str">
        <f>IF(samples!N99=0,"",samples!N99)</f>
        <v/>
      </c>
      <c r="AB562">
        <f>IFERROR(SEARCH(search!$B$6,samples!N99,1),0)</f>
        <v>0</v>
      </c>
      <c r="AC562" t="str">
        <f>IF(samples!O99=0,"",samples!O99)</f>
        <v/>
      </c>
      <c r="AD562">
        <f>IFERROR(SEARCH(search!$B$6,samples!O99,1),0)</f>
        <v>0</v>
      </c>
    </row>
    <row r="563" spans="1:30">
      <c r="A563">
        <f t="shared" si="8"/>
        <v>0</v>
      </c>
      <c r="B563">
        <f>IF(SUM(D563,F563,H563,J563,L563,N563,P563,R563,T563,V563,X563,Z563,AB563,AD563)&gt;0,SUM($A$2:A563),0)</f>
        <v>0</v>
      </c>
      <c r="C563">
        <f>samples!B100</f>
        <v>0</v>
      </c>
      <c r="D563">
        <f>IFERROR(SEARCH(search!$B$6,samples!B100,1),0)</f>
        <v>0</v>
      </c>
      <c r="E563" t="str">
        <f>IF(samples!C100=0,"",samples!C100)</f>
        <v/>
      </c>
      <c r="F563">
        <f>IFERROR(SEARCH(search!$B$6,samples!C100,1),0)</f>
        <v>0</v>
      </c>
      <c r="G563" t="str">
        <f>IF(samples!D100=0,"",samples!D100)</f>
        <v/>
      </c>
      <c r="H563">
        <f>IFERROR(SEARCH(search!$B$6,samples!D100,1),0)</f>
        <v>0</v>
      </c>
      <c r="I563" t="str">
        <f>IF(samples!E100=0,"",samples!E100)</f>
        <v/>
      </c>
      <c r="J563">
        <f>IFERROR(SEARCH(search!$B$6,samples!E100,1),0)</f>
        <v>0</v>
      </c>
      <c r="K563" t="str">
        <f>IF(samples!F100=0,"",samples!F100)</f>
        <v/>
      </c>
      <c r="L563">
        <f>IFERROR(SEARCH(search!$B$6,samples!F100,1),0)</f>
        <v>0</v>
      </c>
      <c r="M563" t="str">
        <f>IF(samples!G100=0,"",samples!G100)</f>
        <v/>
      </c>
      <c r="N563">
        <f>IFERROR(SEARCH(search!$B$6,samples!G100,1),0)</f>
        <v>0</v>
      </c>
      <c r="O563" t="str">
        <f>IF(samples!H100=0,"",samples!H100)</f>
        <v/>
      </c>
      <c r="P563">
        <f>IFERROR(SEARCH(search!$B$6,samples!H100,1),0)</f>
        <v>0</v>
      </c>
      <c r="Q563" t="str">
        <f>IF(samples!I100=0,"",samples!I100)</f>
        <v/>
      </c>
      <c r="R563">
        <f>IFERROR(SEARCH(search!$B$6,samples!I100,1),0)</f>
        <v>0</v>
      </c>
      <c r="S563" t="str">
        <f>IF(samples!J100=0,"",samples!J100)</f>
        <v/>
      </c>
      <c r="T563">
        <f>IFERROR(SEARCH(search!$B$6,samples!J100,1),0)</f>
        <v>0</v>
      </c>
      <c r="U563" t="str">
        <f>IF(samples!K100=0,"",samples!K100)</f>
        <v/>
      </c>
      <c r="V563">
        <f>IFERROR(SEARCH(search!$B$6,samples!K100,1),0)</f>
        <v>0</v>
      </c>
      <c r="W563" t="str">
        <f>IF(samples!L100=0,"",samples!L100)</f>
        <v/>
      </c>
      <c r="X563">
        <f>IFERROR(SEARCH(search!$B$6,samples!L100,1),0)</f>
        <v>0</v>
      </c>
      <c r="Y563" t="str">
        <f>IF(samples!M100=0,"",samples!M100)</f>
        <v/>
      </c>
      <c r="Z563">
        <f>IFERROR(SEARCH(search!$B$6,samples!M100,1),0)</f>
        <v>0</v>
      </c>
      <c r="AA563" t="str">
        <f>IF(samples!N100=0,"",samples!N100)</f>
        <v/>
      </c>
      <c r="AB563">
        <f>IFERROR(SEARCH(search!$B$6,samples!N100,1),0)</f>
        <v>0</v>
      </c>
      <c r="AC563" t="str">
        <f>IF(samples!O100=0,"",samples!O100)</f>
        <v/>
      </c>
      <c r="AD563">
        <f>IFERROR(SEARCH(search!$B$6,samples!O100,1),0)</f>
        <v>0</v>
      </c>
    </row>
    <row r="564" spans="1:30">
      <c r="A564">
        <f t="shared" si="8"/>
        <v>0</v>
      </c>
      <c r="B564">
        <f>IF(SUM(D564,F564,H564,J564,L564,N564,P564,R564,T564,V564,X564,Z564,AB564,AD564)&gt;0,SUM($A$2:A564),0)</f>
        <v>0</v>
      </c>
      <c r="C564">
        <f>samples!B101</f>
        <v>0</v>
      </c>
      <c r="D564">
        <f>IFERROR(SEARCH(search!$B$6,samples!B101,1),0)</f>
        <v>0</v>
      </c>
      <c r="E564" t="str">
        <f>IF(samples!C101=0,"",samples!C101)</f>
        <v/>
      </c>
      <c r="F564">
        <f>IFERROR(SEARCH(search!$B$6,samples!C101,1),0)</f>
        <v>0</v>
      </c>
      <c r="G564" t="str">
        <f>IF(samples!D101=0,"",samples!D101)</f>
        <v/>
      </c>
      <c r="H564">
        <f>IFERROR(SEARCH(search!$B$6,samples!D101,1),0)</f>
        <v>0</v>
      </c>
      <c r="I564" t="str">
        <f>IF(samples!E101=0,"",samples!E101)</f>
        <v/>
      </c>
      <c r="J564">
        <f>IFERROR(SEARCH(search!$B$6,samples!E101,1),0)</f>
        <v>0</v>
      </c>
      <c r="K564" t="str">
        <f>IF(samples!F101=0,"",samples!F101)</f>
        <v/>
      </c>
      <c r="L564">
        <f>IFERROR(SEARCH(search!$B$6,samples!F101,1),0)</f>
        <v>0</v>
      </c>
      <c r="M564" t="str">
        <f>IF(samples!G101=0,"",samples!G101)</f>
        <v/>
      </c>
      <c r="N564">
        <f>IFERROR(SEARCH(search!$B$6,samples!G101,1),0)</f>
        <v>0</v>
      </c>
      <c r="O564" t="str">
        <f>IF(samples!H101=0,"",samples!H101)</f>
        <v/>
      </c>
      <c r="P564">
        <f>IFERROR(SEARCH(search!$B$6,samples!H101,1),0)</f>
        <v>0</v>
      </c>
      <c r="Q564" t="str">
        <f>IF(samples!I101=0,"",samples!I101)</f>
        <v/>
      </c>
      <c r="R564">
        <f>IFERROR(SEARCH(search!$B$6,samples!I101,1),0)</f>
        <v>0</v>
      </c>
      <c r="S564" t="str">
        <f>IF(samples!J101=0,"",samples!J101)</f>
        <v/>
      </c>
      <c r="T564">
        <f>IFERROR(SEARCH(search!$B$6,samples!J101,1),0)</f>
        <v>0</v>
      </c>
      <c r="U564" t="str">
        <f>IF(samples!K101=0,"",samples!K101)</f>
        <v/>
      </c>
      <c r="V564">
        <f>IFERROR(SEARCH(search!$B$6,samples!K101,1),0)</f>
        <v>0</v>
      </c>
      <c r="W564" t="str">
        <f>IF(samples!L101=0,"",samples!L101)</f>
        <v/>
      </c>
      <c r="X564">
        <f>IFERROR(SEARCH(search!$B$6,samples!L101,1),0)</f>
        <v>0</v>
      </c>
      <c r="Y564" t="str">
        <f>IF(samples!M101=0,"",samples!M101)</f>
        <v/>
      </c>
      <c r="Z564">
        <f>IFERROR(SEARCH(search!$B$6,samples!M101,1),0)</f>
        <v>0</v>
      </c>
      <c r="AA564" t="str">
        <f>IF(samples!N101=0,"",samples!N101)</f>
        <v/>
      </c>
      <c r="AB564">
        <f>IFERROR(SEARCH(search!$B$6,samples!N101,1),0)</f>
        <v>0</v>
      </c>
      <c r="AC564" t="str">
        <f>IF(samples!O101=0,"",samples!O101)</f>
        <v/>
      </c>
      <c r="AD564">
        <f>IFERROR(SEARCH(search!$B$6,samples!O101,1),0)</f>
        <v>0</v>
      </c>
    </row>
    <row r="565" spans="1:30">
      <c r="A565">
        <f t="shared" si="8"/>
        <v>0</v>
      </c>
      <c r="B565">
        <f>IF(SUM(D565,F565,H565,J565,L565,N565,P565,R565,T565,V565,X565,Z565,AB565,AD565)&gt;0,SUM($A$2:A565),0)</f>
        <v>0</v>
      </c>
      <c r="C565">
        <f>samples!B102</f>
        <v>0</v>
      </c>
      <c r="D565">
        <f>IFERROR(SEARCH(search!$B$6,samples!B102,1),0)</f>
        <v>0</v>
      </c>
      <c r="E565" t="str">
        <f>IF(samples!C102=0,"",samples!C102)</f>
        <v/>
      </c>
      <c r="F565">
        <f>IFERROR(SEARCH(search!$B$6,samples!C102,1),0)</f>
        <v>0</v>
      </c>
      <c r="G565" t="str">
        <f>IF(samples!D102=0,"",samples!D102)</f>
        <v/>
      </c>
      <c r="H565">
        <f>IFERROR(SEARCH(search!$B$6,samples!D102,1),0)</f>
        <v>0</v>
      </c>
      <c r="I565" t="str">
        <f>IF(samples!E102=0,"",samples!E102)</f>
        <v/>
      </c>
      <c r="J565">
        <f>IFERROR(SEARCH(search!$B$6,samples!E102,1),0)</f>
        <v>0</v>
      </c>
      <c r="K565" t="str">
        <f>IF(samples!F102=0,"",samples!F102)</f>
        <v/>
      </c>
      <c r="L565">
        <f>IFERROR(SEARCH(search!$B$6,samples!F102,1),0)</f>
        <v>0</v>
      </c>
      <c r="M565" t="str">
        <f>IF(samples!G102=0,"",samples!G102)</f>
        <v/>
      </c>
      <c r="N565">
        <f>IFERROR(SEARCH(search!$B$6,samples!G102,1),0)</f>
        <v>0</v>
      </c>
      <c r="O565" t="str">
        <f>IF(samples!H102=0,"",samples!H102)</f>
        <v/>
      </c>
      <c r="P565">
        <f>IFERROR(SEARCH(search!$B$6,samples!H102,1),0)</f>
        <v>0</v>
      </c>
      <c r="Q565" t="str">
        <f>IF(samples!I102=0,"",samples!I102)</f>
        <v/>
      </c>
      <c r="R565">
        <f>IFERROR(SEARCH(search!$B$6,samples!I102,1),0)</f>
        <v>0</v>
      </c>
      <c r="S565" t="str">
        <f>IF(samples!J102=0,"",samples!J102)</f>
        <v/>
      </c>
      <c r="T565">
        <f>IFERROR(SEARCH(search!$B$6,samples!J102,1),0)</f>
        <v>0</v>
      </c>
      <c r="U565" t="str">
        <f>IF(samples!K102=0,"",samples!K102)</f>
        <v/>
      </c>
      <c r="V565">
        <f>IFERROR(SEARCH(search!$B$6,samples!K102,1),0)</f>
        <v>0</v>
      </c>
      <c r="W565" t="str">
        <f>IF(samples!L102=0,"",samples!L102)</f>
        <v/>
      </c>
      <c r="X565">
        <f>IFERROR(SEARCH(search!$B$6,samples!L102,1),0)</f>
        <v>0</v>
      </c>
      <c r="Y565" t="str">
        <f>IF(samples!M102=0,"",samples!M102)</f>
        <v/>
      </c>
      <c r="Z565">
        <f>IFERROR(SEARCH(search!$B$6,samples!M102,1),0)</f>
        <v>0</v>
      </c>
      <c r="AA565" t="str">
        <f>IF(samples!N102=0,"",samples!N102)</f>
        <v/>
      </c>
      <c r="AB565">
        <f>IFERROR(SEARCH(search!$B$6,samples!N102,1),0)</f>
        <v>0</v>
      </c>
      <c r="AC565" t="str">
        <f>IF(samples!O102=0,"",samples!O102)</f>
        <v/>
      </c>
      <c r="AD565">
        <f>IFERROR(SEARCH(search!$B$6,samples!O102,1),0)</f>
        <v>0</v>
      </c>
    </row>
    <row r="566" spans="1:30">
      <c r="A566">
        <f t="shared" si="8"/>
        <v>0</v>
      </c>
      <c r="B566">
        <f>IF(SUM(D566,F566,H566,J566,L566,N566,P566,R566,T566,V566,X566,Z566,AB566,AD566)&gt;0,SUM($A$2:A566),0)</f>
        <v>0</v>
      </c>
      <c r="C566">
        <f>samples!B103</f>
        <v>0</v>
      </c>
      <c r="D566">
        <f>IFERROR(SEARCH(search!$B$6,samples!B103,1),0)</f>
        <v>0</v>
      </c>
      <c r="E566" t="str">
        <f>IF(samples!C103=0,"",samples!C103)</f>
        <v/>
      </c>
      <c r="F566">
        <f>IFERROR(SEARCH(search!$B$6,samples!C103,1),0)</f>
        <v>0</v>
      </c>
      <c r="G566" t="str">
        <f>IF(samples!D103=0,"",samples!D103)</f>
        <v/>
      </c>
      <c r="H566">
        <f>IFERROR(SEARCH(search!$B$6,samples!D103,1),0)</f>
        <v>0</v>
      </c>
      <c r="I566" t="str">
        <f>IF(samples!E103=0,"",samples!E103)</f>
        <v/>
      </c>
      <c r="J566">
        <f>IFERROR(SEARCH(search!$B$6,samples!E103,1),0)</f>
        <v>0</v>
      </c>
      <c r="K566" t="str">
        <f>IF(samples!F103=0,"",samples!F103)</f>
        <v/>
      </c>
      <c r="L566">
        <f>IFERROR(SEARCH(search!$B$6,samples!F103,1),0)</f>
        <v>0</v>
      </c>
      <c r="M566" t="str">
        <f>IF(samples!G103=0,"",samples!G103)</f>
        <v/>
      </c>
      <c r="N566">
        <f>IFERROR(SEARCH(search!$B$6,samples!G103,1),0)</f>
        <v>0</v>
      </c>
      <c r="O566" t="str">
        <f>IF(samples!H103=0,"",samples!H103)</f>
        <v/>
      </c>
      <c r="P566">
        <f>IFERROR(SEARCH(search!$B$6,samples!H103,1),0)</f>
        <v>0</v>
      </c>
      <c r="Q566" t="str">
        <f>IF(samples!I103=0,"",samples!I103)</f>
        <v/>
      </c>
      <c r="R566">
        <f>IFERROR(SEARCH(search!$B$6,samples!I103,1),0)</f>
        <v>0</v>
      </c>
      <c r="S566" t="str">
        <f>IF(samples!J103=0,"",samples!J103)</f>
        <v/>
      </c>
      <c r="T566">
        <f>IFERROR(SEARCH(search!$B$6,samples!J103,1),0)</f>
        <v>0</v>
      </c>
      <c r="U566" t="str">
        <f>IF(samples!K103=0,"",samples!K103)</f>
        <v/>
      </c>
      <c r="V566">
        <f>IFERROR(SEARCH(search!$B$6,samples!K103,1),0)</f>
        <v>0</v>
      </c>
      <c r="W566" t="str">
        <f>IF(samples!L103=0,"",samples!L103)</f>
        <v/>
      </c>
      <c r="X566">
        <f>IFERROR(SEARCH(search!$B$6,samples!L103,1),0)</f>
        <v>0</v>
      </c>
      <c r="Y566" t="str">
        <f>IF(samples!M103=0,"",samples!M103)</f>
        <v/>
      </c>
      <c r="Z566">
        <f>IFERROR(SEARCH(search!$B$6,samples!M103,1),0)</f>
        <v>0</v>
      </c>
      <c r="AA566" t="str">
        <f>IF(samples!N103=0,"",samples!N103)</f>
        <v/>
      </c>
      <c r="AB566">
        <f>IFERROR(SEARCH(search!$B$6,samples!N103,1),0)</f>
        <v>0</v>
      </c>
      <c r="AC566" t="str">
        <f>IF(samples!O103=0,"",samples!O103)</f>
        <v/>
      </c>
      <c r="AD566">
        <f>IFERROR(SEARCH(search!$B$6,samples!O103,1),0)</f>
        <v>0</v>
      </c>
    </row>
    <row r="567" spans="1:30">
      <c r="A567">
        <f t="shared" si="8"/>
        <v>0</v>
      </c>
      <c r="B567">
        <f>IF(SUM(D567,F567,H567,J567,L567,N567,P567,R567,T567,V567,X567,Z567,AB567,AD567)&gt;0,SUM($A$2:A567),0)</f>
        <v>0</v>
      </c>
      <c r="C567">
        <f>samples!B104</f>
        <v>0</v>
      </c>
      <c r="D567">
        <f>IFERROR(SEARCH(search!$B$6,samples!B104,1),0)</f>
        <v>0</v>
      </c>
      <c r="E567" t="str">
        <f>IF(samples!C104=0,"",samples!C104)</f>
        <v/>
      </c>
      <c r="F567">
        <f>IFERROR(SEARCH(search!$B$6,samples!C104,1),0)</f>
        <v>0</v>
      </c>
      <c r="G567" t="str">
        <f>IF(samples!D104=0,"",samples!D104)</f>
        <v/>
      </c>
      <c r="H567">
        <f>IFERROR(SEARCH(search!$B$6,samples!D104,1),0)</f>
        <v>0</v>
      </c>
      <c r="I567" t="str">
        <f>IF(samples!E104=0,"",samples!E104)</f>
        <v/>
      </c>
      <c r="J567">
        <f>IFERROR(SEARCH(search!$B$6,samples!E104,1),0)</f>
        <v>0</v>
      </c>
      <c r="K567" t="str">
        <f>IF(samples!F104=0,"",samples!F104)</f>
        <v/>
      </c>
      <c r="L567">
        <f>IFERROR(SEARCH(search!$B$6,samples!F104,1),0)</f>
        <v>0</v>
      </c>
      <c r="M567" t="str">
        <f>IF(samples!G104=0,"",samples!G104)</f>
        <v/>
      </c>
      <c r="N567">
        <f>IFERROR(SEARCH(search!$B$6,samples!G104,1),0)</f>
        <v>0</v>
      </c>
      <c r="O567" t="str">
        <f>IF(samples!H104=0,"",samples!H104)</f>
        <v/>
      </c>
      <c r="P567">
        <f>IFERROR(SEARCH(search!$B$6,samples!H104,1),0)</f>
        <v>0</v>
      </c>
      <c r="Q567" t="str">
        <f>IF(samples!I104=0,"",samples!I104)</f>
        <v/>
      </c>
      <c r="R567">
        <f>IFERROR(SEARCH(search!$B$6,samples!I104,1),0)</f>
        <v>0</v>
      </c>
      <c r="S567" t="str">
        <f>IF(samples!J104=0,"",samples!J104)</f>
        <v/>
      </c>
      <c r="T567">
        <f>IFERROR(SEARCH(search!$B$6,samples!J104,1),0)</f>
        <v>0</v>
      </c>
      <c r="U567" t="str">
        <f>IF(samples!K104=0,"",samples!K104)</f>
        <v/>
      </c>
      <c r="V567">
        <f>IFERROR(SEARCH(search!$B$6,samples!K104,1),0)</f>
        <v>0</v>
      </c>
      <c r="W567" t="str">
        <f>IF(samples!L104=0,"",samples!L104)</f>
        <v/>
      </c>
      <c r="X567">
        <f>IFERROR(SEARCH(search!$B$6,samples!L104,1),0)</f>
        <v>0</v>
      </c>
      <c r="Y567" t="str">
        <f>IF(samples!M104=0,"",samples!M104)</f>
        <v/>
      </c>
      <c r="Z567">
        <f>IFERROR(SEARCH(search!$B$6,samples!M104,1),0)</f>
        <v>0</v>
      </c>
      <c r="AA567" t="str">
        <f>IF(samples!N104=0,"",samples!N104)</f>
        <v/>
      </c>
      <c r="AB567">
        <f>IFERROR(SEARCH(search!$B$6,samples!N104,1),0)</f>
        <v>0</v>
      </c>
      <c r="AC567" t="str">
        <f>IF(samples!O104=0,"",samples!O104)</f>
        <v/>
      </c>
      <c r="AD567">
        <f>IFERROR(SEARCH(search!$B$6,samples!O104,1),0)</f>
        <v>0</v>
      </c>
    </row>
    <row r="568" spans="1:30">
      <c r="A568">
        <f t="shared" si="8"/>
        <v>0</v>
      </c>
      <c r="B568">
        <f>IF(SUM(D568,F568,H568,J568,L568,N568,P568,R568,T568,V568,X568,Z568,AB568,AD568)&gt;0,SUM($A$2:A568),0)</f>
        <v>0</v>
      </c>
      <c r="C568">
        <f>samples!B105</f>
        <v>0</v>
      </c>
      <c r="D568">
        <f>IFERROR(SEARCH(search!$B$6,samples!B105,1),0)</f>
        <v>0</v>
      </c>
      <c r="E568" t="str">
        <f>IF(samples!C105=0,"",samples!C105)</f>
        <v/>
      </c>
      <c r="F568">
        <f>IFERROR(SEARCH(search!$B$6,samples!C105,1),0)</f>
        <v>0</v>
      </c>
      <c r="G568" t="str">
        <f>IF(samples!D105=0,"",samples!D105)</f>
        <v/>
      </c>
      <c r="H568">
        <f>IFERROR(SEARCH(search!$B$6,samples!D105,1),0)</f>
        <v>0</v>
      </c>
      <c r="I568" t="str">
        <f>IF(samples!E105=0,"",samples!E105)</f>
        <v/>
      </c>
      <c r="J568">
        <f>IFERROR(SEARCH(search!$B$6,samples!E105,1),0)</f>
        <v>0</v>
      </c>
      <c r="K568" t="str">
        <f>IF(samples!F105=0,"",samples!F105)</f>
        <v/>
      </c>
      <c r="L568">
        <f>IFERROR(SEARCH(search!$B$6,samples!F105,1),0)</f>
        <v>0</v>
      </c>
      <c r="M568" t="str">
        <f>IF(samples!G105=0,"",samples!G105)</f>
        <v/>
      </c>
      <c r="N568">
        <f>IFERROR(SEARCH(search!$B$6,samples!G105,1),0)</f>
        <v>0</v>
      </c>
      <c r="O568" t="str">
        <f>IF(samples!H105=0,"",samples!H105)</f>
        <v/>
      </c>
      <c r="P568">
        <f>IFERROR(SEARCH(search!$B$6,samples!H105,1),0)</f>
        <v>0</v>
      </c>
      <c r="Q568" t="str">
        <f>IF(samples!I105=0,"",samples!I105)</f>
        <v/>
      </c>
      <c r="R568">
        <f>IFERROR(SEARCH(search!$B$6,samples!I105,1),0)</f>
        <v>0</v>
      </c>
      <c r="S568" t="str">
        <f>IF(samples!J105=0,"",samples!J105)</f>
        <v/>
      </c>
      <c r="T568">
        <f>IFERROR(SEARCH(search!$B$6,samples!J105,1),0)</f>
        <v>0</v>
      </c>
      <c r="U568" t="str">
        <f>IF(samples!K105=0,"",samples!K105)</f>
        <v/>
      </c>
      <c r="V568">
        <f>IFERROR(SEARCH(search!$B$6,samples!K105,1),0)</f>
        <v>0</v>
      </c>
      <c r="W568" t="str">
        <f>IF(samples!L105=0,"",samples!L105)</f>
        <v/>
      </c>
      <c r="X568">
        <f>IFERROR(SEARCH(search!$B$6,samples!L105,1),0)</f>
        <v>0</v>
      </c>
      <c r="Y568" t="str">
        <f>IF(samples!M105=0,"",samples!M105)</f>
        <v/>
      </c>
      <c r="Z568">
        <f>IFERROR(SEARCH(search!$B$6,samples!M105,1),0)</f>
        <v>0</v>
      </c>
      <c r="AA568" t="str">
        <f>IF(samples!N105=0,"",samples!N105)</f>
        <v/>
      </c>
      <c r="AB568">
        <f>IFERROR(SEARCH(search!$B$6,samples!N105,1),0)</f>
        <v>0</v>
      </c>
      <c r="AC568" t="str">
        <f>IF(samples!O105=0,"",samples!O105)</f>
        <v/>
      </c>
      <c r="AD568">
        <f>IFERROR(SEARCH(search!$B$6,samples!O105,1),0)</f>
        <v>0</v>
      </c>
    </row>
    <row r="569" spans="1:30">
      <c r="A569">
        <f t="shared" si="8"/>
        <v>0</v>
      </c>
      <c r="B569">
        <f>IF(SUM(D569,F569,H569,J569,L569,N569,P569,R569,T569,V569,X569,Z569,AB569,AD569)&gt;0,SUM($A$2:A569),0)</f>
        <v>0</v>
      </c>
      <c r="C569">
        <f>samples!B106</f>
        <v>0</v>
      </c>
      <c r="D569">
        <f>IFERROR(SEARCH(search!$B$6,samples!B106,1),0)</f>
        <v>0</v>
      </c>
      <c r="E569" t="str">
        <f>IF(samples!C106=0,"",samples!C106)</f>
        <v/>
      </c>
      <c r="F569">
        <f>IFERROR(SEARCH(search!$B$6,samples!C106,1),0)</f>
        <v>0</v>
      </c>
      <c r="G569" t="str">
        <f>IF(samples!D106=0,"",samples!D106)</f>
        <v/>
      </c>
      <c r="H569">
        <f>IFERROR(SEARCH(search!$B$6,samples!D106,1),0)</f>
        <v>0</v>
      </c>
      <c r="I569" t="str">
        <f>IF(samples!E106=0,"",samples!E106)</f>
        <v/>
      </c>
      <c r="J569">
        <f>IFERROR(SEARCH(search!$B$6,samples!E106,1),0)</f>
        <v>0</v>
      </c>
      <c r="K569" t="str">
        <f>IF(samples!F106=0,"",samples!F106)</f>
        <v/>
      </c>
      <c r="L569">
        <f>IFERROR(SEARCH(search!$B$6,samples!F106,1),0)</f>
        <v>0</v>
      </c>
      <c r="M569" t="str">
        <f>IF(samples!G106=0,"",samples!G106)</f>
        <v/>
      </c>
      <c r="N569">
        <f>IFERROR(SEARCH(search!$B$6,samples!G106,1),0)</f>
        <v>0</v>
      </c>
      <c r="O569" t="str">
        <f>IF(samples!H106=0,"",samples!H106)</f>
        <v/>
      </c>
      <c r="P569">
        <f>IFERROR(SEARCH(search!$B$6,samples!H106,1),0)</f>
        <v>0</v>
      </c>
      <c r="Q569" t="str">
        <f>IF(samples!I106=0,"",samples!I106)</f>
        <v/>
      </c>
      <c r="R569">
        <f>IFERROR(SEARCH(search!$B$6,samples!I106,1),0)</f>
        <v>0</v>
      </c>
      <c r="S569" t="str">
        <f>IF(samples!J106=0,"",samples!J106)</f>
        <v/>
      </c>
      <c r="T569">
        <f>IFERROR(SEARCH(search!$B$6,samples!J106,1),0)</f>
        <v>0</v>
      </c>
      <c r="U569" t="str">
        <f>IF(samples!K106=0,"",samples!K106)</f>
        <v/>
      </c>
      <c r="V569">
        <f>IFERROR(SEARCH(search!$B$6,samples!K106,1),0)</f>
        <v>0</v>
      </c>
      <c r="W569" t="str">
        <f>IF(samples!L106=0,"",samples!L106)</f>
        <v/>
      </c>
      <c r="X569">
        <f>IFERROR(SEARCH(search!$B$6,samples!L106,1),0)</f>
        <v>0</v>
      </c>
      <c r="Y569" t="str">
        <f>IF(samples!M106=0,"",samples!M106)</f>
        <v/>
      </c>
      <c r="Z569">
        <f>IFERROR(SEARCH(search!$B$6,samples!M106,1),0)</f>
        <v>0</v>
      </c>
      <c r="AA569" t="str">
        <f>IF(samples!N106=0,"",samples!N106)</f>
        <v/>
      </c>
      <c r="AB569">
        <f>IFERROR(SEARCH(search!$B$6,samples!N106,1),0)</f>
        <v>0</v>
      </c>
      <c r="AC569" t="str">
        <f>IF(samples!O106=0,"",samples!O106)</f>
        <v/>
      </c>
      <c r="AD569">
        <f>IFERROR(SEARCH(search!$B$6,samples!O106,1),0)</f>
        <v>0</v>
      </c>
    </row>
    <row r="570" spans="1:30">
      <c r="A570">
        <f t="shared" si="8"/>
        <v>0</v>
      </c>
      <c r="B570">
        <f>IF(SUM(D570,F570,H570,J570,L570,N570,P570,R570,T570,V570,X570,Z570,AB570,AD570)&gt;0,SUM($A$2:A570),0)</f>
        <v>0</v>
      </c>
      <c r="C570">
        <f>samples!B107</f>
        <v>0</v>
      </c>
      <c r="D570">
        <f>IFERROR(SEARCH(search!$B$6,samples!B107,1),0)</f>
        <v>0</v>
      </c>
      <c r="E570" t="str">
        <f>IF(samples!C107=0,"",samples!C107)</f>
        <v/>
      </c>
      <c r="F570">
        <f>IFERROR(SEARCH(search!$B$6,samples!C107,1),0)</f>
        <v>0</v>
      </c>
      <c r="G570" t="str">
        <f>IF(samples!D107=0,"",samples!D107)</f>
        <v/>
      </c>
      <c r="H570">
        <f>IFERROR(SEARCH(search!$B$6,samples!D107,1),0)</f>
        <v>0</v>
      </c>
      <c r="I570" t="str">
        <f>IF(samples!E107=0,"",samples!E107)</f>
        <v/>
      </c>
      <c r="J570">
        <f>IFERROR(SEARCH(search!$B$6,samples!E107,1),0)</f>
        <v>0</v>
      </c>
      <c r="K570" t="str">
        <f>IF(samples!F107=0,"",samples!F107)</f>
        <v/>
      </c>
      <c r="L570">
        <f>IFERROR(SEARCH(search!$B$6,samples!F107,1),0)</f>
        <v>0</v>
      </c>
      <c r="M570" t="str">
        <f>IF(samples!G107=0,"",samples!G107)</f>
        <v/>
      </c>
      <c r="N570">
        <f>IFERROR(SEARCH(search!$B$6,samples!G107,1),0)</f>
        <v>0</v>
      </c>
      <c r="O570" t="str">
        <f>IF(samples!H107=0,"",samples!H107)</f>
        <v/>
      </c>
      <c r="P570">
        <f>IFERROR(SEARCH(search!$B$6,samples!H107,1),0)</f>
        <v>0</v>
      </c>
      <c r="Q570" t="str">
        <f>IF(samples!I107=0,"",samples!I107)</f>
        <v/>
      </c>
      <c r="R570">
        <f>IFERROR(SEARCH(search!$B$6,samples!I107,1),0)</f>
        <v>0</v>
      </c>
      <c r="S570" t="str">
        <f>IF(samples!J107=0,"",samples!J107)</f>
        <v/>
      </c>
      <c r="T570">
        <f>IFERROR(SEARCH(search!$B$6,samples!J107,1),0)</f>
        <v>0</v>
      </c>
      <c r="U570" t="str">
        <f>IF(samples!K107=0,"",samples!K107)</f>
        <v/>
      </c>
      <c r="V570">
        <f>IFERROR(SEARCH(search!$B$6,samples!K107,1),0)</f>
        <v>0</v>
      </c>
      <c r="W570" t="str">
        <f>IF(samples!L107=0,"",samples!L107)</f>
        <v/>
      </c>
      <c r="X570">
        <f>IFERROR(SEARCH(search!$B$6,samples!L107,1),0)</f>
        <v>0</v>
      </c>
      <c r="Y570" t="str">
        <f>IF(samples!M107=0,"",samples!M107)</f>
        <v/>
      </c>
      <c r="Z570">
        <f>IFERROR(SEARCH(search!$B$6,samples!M107,1),0)</f>
        <v>0</v>
      </c>
      <c r="AA570" t="str">
        <f>IF(samples!N107=0,"",samples!N107)</f>
        <v/>
      </c>
      <c r="AB570">
        <f>IFERROR(SEARCH(search!$B$6,samples!N107,1),0)</f>
        <v>0</v>
      </c>
      <c r="AC570" t="str">
        <f>IF(samples!O107=0,"",samples!O107)</f>
        <v/>
      </c>
      <c r="AD570">
        <f>IFERROR(SEARCH(search!$B$6,samples!O107,1),0)</f>
        <v>0</v>
      </c>
    </row>
    <row r="571" spans="1:30">
      <c r="A571">
        <f t="shared" si="8"/>
        <v>0</v>
      </c>
      <c r="B571">
        <f>IF(SUM(D571,F571,H571,J571,L571,N571,P571,R571,T571,V571,X571,Z571,AB571,AD571)&gt;0,SUM($A$2:A571),0)</f>
        <v>0</v>
      </c>
      <c r="C571">
        <f>samples!B108</f>
        <v>0</v>
      </c>
      <c r="D571">
        <f>IFERROR(SEARCH(search!$B$6,samples!B108,1),0)</f>
        <v>0</v>
      </c>
      <c r="E571" t="str">
        <f>IF(samples!C108=0,"",samples!C108)</f>
        <v/>
      </c>
      <c r="F571">
        <f>IFERROR(SEARCH(search!$B$6,samples!C108,1),0)</f>
        <v>0</v>
      </c>
      <c r="G571" t="str">
        <f>IF(samples!D108=0,"",samples!D108)</f>
        <v/>
      </c>
      <c r="H571">
        <f>IFERROR(SEARCH(search!$B$6,samples!D108,1),0)</f>
        <v>0</v>
      </c>
      <c r="I571" t="str">
        <f>IF(samples!E108=0,"",samples!E108)</f>
        <v/>
      </c>
      <c r="J571">
        <f>IFERROR(SEARCH(search!$B$6,samples!E108,1),0)</f>
        <v>0</v>
      </c>
      <c r="K571" t="str">
        <f>IF(samples!F108=0,"",samples!F108)</f>
        <v/>
      </c>
      <c r="L571">
        <f>IFERROR(SEARCH(search!$B$6,samples!F108,1),0)</f>
        <v>0</v>
      </c>
      <c r="M571" t="str">
        <f>IF(samples!G108=0,"",samples!G108)</f>
        <v/>
      </c>
      <c r="N571">
        <f>IFERROR(SEARCH(search!$B$6,samples!G108,1),0)</f>
        <v>0</v>
      </c>
      <c r="O571" t="str">
        <f>IF(samples!H108=0,"",samples!H108)</f>
        <v/>
      </c>
      <c r="P571">
        <f>IFERROR(SEARCH(search!$B$6,samples!H108,1),0)</f>
        <v>0</v>
      </c>
      <c r="Q571" t="str">
        <f>IF(samples!I108=0,"",samples!I108)</f>
        <v/>
      </c>
      <c r="R571">
        <f>IFERROR(SEARCH(search!$B$6,samples!I108,1),0)</f>
        <v>0</v>
      </c>
      <c r="S571" t="str">
        <f>IF(samples!J108=0,"",samples!J108)</f>
        <v/>
      </c>
      <c r="T571">
        <f>IFERROR(SEARCH(search!$B$6,samples!J108,1),0)</f>
        <v>0</v>
      </c>
      <c r="U571" t="str">
        <f>IF(samples!K108=0,"",samples!K108)</f>
        <v/>
      </c>
      <c r="V571">
        <f>IFERROR(SEARCH(search!$B$6,samples!K108,1),0)</f>
        <v>0</v>
      </c>
      <c r="W571" t="str">
        <f>IF(samples!L108=0,"",samples!L108)</f>
        <v/>
      </c>
      <c r="X571">
        <f>IFERROR(SEARCH(search!$B$6,samples!L108,1),0)</f>
        <v>0</v>
      </c>
      <c r="Y571" t="str">
        <f>IF(samples!M108=0,"",samples!M108)</f>
        <v/>
      </c>
      <c r="Z571">
        <f>IFERROR(SEARCH(search!$B$6,samples!M108,1),0)</f>
        <v>0</v>
      </c>
      <c r="AA571" t="str">
        <f>IF(samples!N108=0,"",samples!N108)</f>
        <v/>
      </c>
      <c r="AB571">
        <f>IFERROR(SEARCH(search!$B$6,samples!N108,1),0)</f>
        <v>0</v>
      </c>
      <c r="AC571" t="str">
        <f>IF(samples!O108=0,"",samples!O108)</f>
        <v/>
      </c>
      <c r="AD571">
        <f>IFERROR(SEARCH(search!$B$6,samples!O108,1),0)</f>
        <v>0</v>
      </c>
    </row>
    <row r="572" spans="1:30">
      <c r="A572">
        <f t="shared" si="8"/>
        <v>0</v>
      </c>
      <c r="B572">
        <f>IF(SUM(D572,F572,H572,J572,L572,N572,P572,R572,T572,V572,X572,Z572,AB572,AD572)&gt;0,SUM($A$2:A572),0)</f>
        <v>0</v>
      </c>
      <c r="C572">
        <f>samples!B109</f>
        <v>0</v>
      </c>
      <c r="D572">
        <f>IFERROR(SEARCH(search!$B$6,samples!B109,1),0)</f>
        <v>0</v>
      </c>
      <c r="E572" t="str">
        <f>IF(samples!C109=0,"",samples!C109)</f>
        <v/>
      </c>
      <c r="F572">
        <f>IFERROR(SEARCH(search!$B$6,samples!C109,1),0)</f>
        <v>0</v>
      </c>
      <c r="G572" t="str">
        <f>IF(samples!D109=0,"",samples!D109)</f>
        <v/>
      </c>
      <c r="H572">
        <f>IFERROR(SEARCH(search!$B$6,samples!D109,1),0)</f>
        <v>0</v>
      </c>
      <c r="I572" t="str">
        <f>IF(samples!E109=0,"",samples!E109)</f>
        <v/>
      </c>
      <c r="J572">
        <f>IFERROR(SEARCH(search!$B$6,samples!E109,1),0)</f>
        <v>0</v>
      </c>
      <c r="K572" t="str">
        <f>IF(samples!F109=0,"",samples!F109)</f>
        <v/>
      </c>
      <c r="L572">
        <f>IFERROR(SEARCH(search!$B$6,samples!F109,1),0)</f>
        <v>0</v>
      </c>
      <c r="M572" t="str">
        <f>IF(samples!G109=0,"",samples!G109)</f>
        <v/>
      </c>
      <c r="N572">
        <f>IFERROR(SEARCH(search!$B$6,samples!G109,1),0)</f>
        <v>0</v>
      </c>
      <c r="O572" t="str">
        <f>IF(samples!H109=0,"",samples!H109)</f>
        <v/>
      </c>
      <c r="P572">
        <f>IFERROR(SEARCH(search!$B$6,samples!H109,1),0)</f>
        <v>0</v>
      </c>
      <c r="Q572" t="str">
        <f>IF(samples!I109=0,"",samples!I109)</f>
        <v/>
      </c>
      <c r="R572">
        <f>IFERROR(SEARCH(search!$B$6,samples!I109,1),0)</f>
        <v>0</v>
      </c>
      <c r="S572" t="str">
        <f>IF(samples!J109=0,"",samples!J109)</f>
        <v/>
      </c>
      <c r="T572">
        <f>IFERROR(SEARCH(search!$B$6,samples!J109,1),0)</f>
        <v>0</v>
      </c>
      <c r="U572" t="str">
        <f>IF(samples!K109=0,"",samples!K109)</f>
        <v/>
      </c>
      <c r="V572">
        <f>IFERROR(SEARCH(search!$B$6,samples!K109,1),0)</f>
        <v>0</v>
      </c>
      <c r="W572" t="str">
        <f>IF(samples!L109=0,"",samples!L109)</f>
        <v/>
      </c>
      <c r="X572">
        <f>IFERROR(SEARCH(search!$B$6,samples!L109,1),0)</f>
        <v>0</v>
      </c>
      <c r="Y572" t="str">
        <f>IF(samples!M109=0,"",samples!M109)</f>
        <v/>
      </c>
      <c r="Z572">
        <f>IFERROR(SEARCH(search!$B$6,samples!M109,1),0)</f>
        <v>0</v>
      </c>
      <c r="AA572" t="str">
        <f>IF(samples!N109=0,"",samples!N109)</f>
        <v/>
      </c>
      <c r="AB572">
        <f>IFERROR(SEARCH(search!$B$6,samples!N109,1),0)</f>
        <v>0</v>
      </c>
      <c r="AC572" t="str">
        <f>IF(samples!O109=0,"",samples!O109)</f>
        <v/>
      </c>
      <c r="AD572">
        <f>IFERROR(SEARCH(search!$B$6,samples!O109,1),0)</f>
        <v>0</v>
      </c>
    </row>
    <row r="573" spans="1:30">
      <c r="A573">
        <f t="shared" si="8"/>
        <v>0</v>
      </c>
      <c r="B573">
        <f>IF(SUM(D573,F573,H573,J573,L573,N573,P573,R573,T573,V573,X573,Z573,AB573,AD573)&gt;0,SUM($A$2:A573),0)</f>
        <v>0</v>
      </c>
      <c r="C573">
        <f>samples!B110</f>
        <v>0</v>
      </c>
      <c r="D573">
        <f>IFERROR(SEARCH(search!$B$6,samples!B110,1),0)</f>
        <v>0</v>
      </c>
      <c r="E573" t="str">
        <f>IF(samples!C110=0,"",samples!C110)</f>
        <v/>
      </c>
      <c r="F573">
        <f>IFERROR(SEARCH(search!$B$6,samples!C110,1),0)</f>
        <v>0</v>
      </c>
      <c r="G573" t="str">
        <f>IF(samples!D110=0,"",samples!D110)</f>
        <v/>
      </c>
      <c r="H573">
        <f>IFERROR(SEARCH(search!$B$6,samples!D110,1),0)</f>
        <v>0</v>
      </c>
      <c r="I573" t="str">
        <f>IF(samples!E110=0,"",samples!E110)</f>
        <v/>
      </c>
      <c r="J573">
        <f>IFERROR(SEARCH(search!$B$6,samples!E110,1),0)</f>
        <v>0</v>
      </c>
      <c r="K573" t="str">
        <f>IF(samples!F110=0,"",samples!F110)</f>
        <v/>
      </c>
      <c r="L573">
        <f>IFERROR(SEARCH(search!$B$6,samples!F110,1),0)</f>
        <v>0</v>
      </c>
      <c r="M573" t="str">
        <f>IF(samples!G110=0,"",samples!G110)</f>
        <v/>
      </c>
      <c r="N573">
        <f>IFERROR(SEARCH(search!$B$6,samples!G110,1),0)</f>
        <v>0</v>
      </c>
      <c r="O573" t="str">
        <f>IF(samples!H110=0,"",samples!H110)</f>
        <v/>
      </c>
      <c r="P573">
        <f>IFERROR(SEARCH(search!$B$6,samples!H110,1),0)</f>
        <v>0</v>
      </c>
      <c r="Q573" t="str">
        <f>IF(samples!I110=0,"",samples!I110)</f>
        <v/>
      </c>
      <c r="R573">
        <f>IFERROR(SEARCH(search!$B$6,samples!I110,1),0)</f>
        <v>0</v>
      </c>
      <c r="S573" t="str">
        <f>IF(samples!J110=0,"",samples!J110)</f>
        <v/>
      </c>
      <c r="T573">
        <f>IFERROR(SEARCH(search!$B$6,samples!J110,1),0)</f>
        <v>0</v>
      </c>
      <c r="U573" t="str">
        <f>IF(samples!K110=0,"",samples!K110)</f>
        <v/>
      </c>
      <c r="V573">
        <f>IFERROR(SEARCH(search!$B$6,samples!K110,1),0)</f>
        <v>0</v>
      </c>
      <c r="W573" t="str">
        <f>IF(samples!L110=0,"",samples!L110)</f>
        <v/>
      </c>
      <c r="X573">
        <f>IFERROR(SEARCH(search!$B$6,samples!L110,1),0)</f>
        <v>0</v>
      </c>
      <c r="Y573" t="str">
        <f>IF(samples!M110=0,"",samples!M110)</f>
        <v/>
      </c>
      <c r="Z573">
        <f>IFERROR(SEARCH(search!$B$6,samples!M110,1),0)</f>
        <v>0</v>
      </c>
      <c r="AA573" t="str">
        <f>IF(samples!N110=0,"",samples!N110)</f>
        <v/>
      </c>
      <c r="AB573">
        <f>IFERROR(SEARCH(search!$B$6,samples!N110,1),0)</f>
        <v>0</v>
      </c>
      <c r="AC573" t="str">
        <f>IF(samples!O110=0,"",samples!O110)</f>
        <v/>
      </c>
      <c r="AD573">
        <f>IFERROR(SEARCH(search!$B$6,samples!O110,1),0)</f>
        <v>0</v>
      </c>
    </row>
    <row r="574" spans="1:30">
      <c r="A574">
        <f t="shared" si="8"/>
        <v>0</v>
      </c>
      <c r="B574">
        <f>IF(SUM(D574,F574,H574,J574,L574,N574,P574,R574,T574,V574,X574,Z574,AB574,AD574)&gt;0,SUM($A$2:A574),0)</f>
        <v>0</v>
      </c>
      <c r="C574">
        <f>samples!B111</f>
        <v>0</v>
      </c>
      <c r="D574">
        <f>IFERROR(SEARCH(search!$B$6,samples!B111,1),0)</f>
        <v>0</v>
      </c>
      <c r="E574" t="str">
        <f>IF(samples!C111=0,"",samples!C111)</f>
        <v/>
      </c>
      <c r="F574">
        <f>IFERROR(SEARCH(search!$B$6,samples!C111,1),0)</f>
        <v>0</v>
      </c>
      <c r="G574" t="str">
        <f>IF(samples!D111=0,"",samples!D111)</f>
        <v/>
      </c>
      <c r="H574">
        <f>IFERROR(SEARCH(search!$B$6,samples!D111,1),0)</f>
        <v>0</v>
      </c>
      <c r="I574" t="str">
        <f>IF(samples!E111=0,"",samples!E111)</f>
        <v/>
      </c>
      <c r="J574">
        <f>IFERROR(SEARCH(search!$B$6,samples!E111,1),0)</f>
        <v>0</v>
      </c>
      <c r="K574" t="str">
        <f>IF(samples!F111=0,"",samples!F111)</f>
        <v/>
      </c>
      <c r="L574">
        <f>IFERROR(SEARCH(search!$B$6,samples!F111,1),0)</f>
        <v>0</v>
      </c>
      <c r="M574" t="str">
        <f>IF(samples!G111=0,"",samples!G111)</f>
        <v/>
      </c>
      <c r="N574">
        <f>IFERROR(SEARCH(search!$B$6,samples!G111,1),0)</f>
        <v>0</v>
      </c>
      <c r="O574" t="str">
        <f>IF(samples!H111=0,"",samples!H111)</f>
        <v/>
      </c>
      <c r="P574">
        <f>IFERROR(SEARCH(search!$B$6,samples!H111,1),0)</f>
        <v>0</v>
      </c>
      <c r="Q574" t="str">
        <f>IF(samples!I111=0,"",samples!I111)</f>
        <v/>
      </c>
      <c r="R574">
        <f>IFERROR(SEARCH(search!$B$6,samples!I111,1),0)</f>
        <v>0</v>
      </c>
      <c r="S574" t="str">
        <f>IF(samples!J111=0,"",samples!J111)</f>
        <v/>
      </c>
      <c r="T574">
        <f>IFERROR(SEARCH(search!$B$6,samples!J111,1),0)</f>
        <v>0</v>
      </c>
      <c r="U574" t="str">
        <f>IF(samples!K111=0,"",samples!K111)</f>
        <v/>
      </c>
      <c r="V574">
        <f>IFERROR(SEARCH(search!$B$6,samples!K111,1),0)</f>
        <v>0</v>
      </c>
      <c r="W574" t="str">
        <f>IF(samples!L111=0,"",samples!L111)</f>
        <v/>
      </c>
      <c r="X574">
        <f>IFERROR(SEARCH(search!$B$6,samples!L111,1),0)</f>
        <v>0</v>
      </c>
      <c r="Y574" t="str">
        <f>IF(samples!M111=0,"",samples!M111)</f>
        <v/>
      </c>
      <c r="Z574">
        <f>IFERROR(SEARCH(search!$B$6,samples!M111,1),0)</f>
        <v>0</v>
      </c>
      <c r="AA574" t="str">
        <f>IF(samples!N111=0,"",samples!N111)</f>
        <v/>
      </c>
      <c r="AB574">
        <f>IFERROR(SEARCH(search!$B$6,samples!N111,1),0)</f>
        <v>0</v>
      </c>
      <c r="AC574" t="str">
        <f>IF(samples!O111=0,"",samples!O111)</f>
        <v/>
      </c>
      <c r="AD574">
        <f>IFERROR(SEARCH(search!$B$6,samples!O111,1),0)</f>
        <v>0</v>
      </c>
    </row>
    <row r="575" spans="1:30">
      <c r="A575">
        <f t="shared" si="8"/>
        <v>0</v>
      </c>
      <c r="B575">
        <f>IF(SUM(D575,F575,H575,J575,L575,N575,P575,R575,T575,V575,X575,Z575,AB575,AD575)&gt;0,SUM($A$2:A575),0)</f>
        <v>0</v>
      </c>
      <c r="C575">
        <f>samples!B112</f>
        <v>0</v>
      </c>
      <c r="D575">
        <f>IFERROR(SEARCH(search!$B$6,samples!B112,1),0)</f>
        <v>0</v>
      </c>
      <c r="E575" t="str">
        <f>IF(samples!C112=0,"",samples!C112)</f>
        <v/>
      </c>
      <c r="F575">
        <f>IFERROR(SEARCH(search!$B$6,samples!C112,1),0)</f>
        <v>0</v>
      </c>
      <c r="G575" t="str">
        <f>IF(samples!D112=0,"",samples!D112)</f>
        <v/>
      </c>
      <c r="H575">
        <f>IFERROR(SEARCH(search!$B$6,samples!D112,1),0)</f>
        <v>0</v>
      </c>
      <c r="I575" t="str">
        <f>IF(samples!E112=0,"",samples!E112)</f>
        <v/>
      </c>
      <c r="J575">
        <f>IFERROR(SEARCH(search!$B$6,samples!E112,1),0)</f>
        <v>0</v>
      </c>
      <c r="K575" t="str">
        <f>IF(samples!F112=0,"",samples!F112)</f>
        <v/>
      </c>
      <c r="L575">
        <f>IFERROR(SEARCH(search!$B$6,samples!F112,1),0)</f>
        <v>0</v>
      </c>
      <c r="M575" t="str">
        <f>IF(samples!G112=0,"",samples!G112)</f>
        <v/>
      </c>
      <c r="N575">
        <f>IFERROR(SEARCH(search!$B$6,samples!G112,1),0)</f>
        <v>0</v>
      </c>
      <c r="O575" t="str">
        <f>IF(samples!H112=0,"",samples!H112)</f>
        <v/>
      </c>
      <c r="P575">
        <f>IFERROR(SEARCH(search!$B$6,samples!H112,1),0)</f>
        <v>0</v>
      </c>
      <c r="Q575" t="str">
        <f>IF(samples!I112=0,"",samples!I112)</f>
        <v/>
      </c>
      <c r="R575">
        <f>IFERROR(SEARCH(search!$B$6,samples!I112,1),0)</f>
        <v>0</v>
      </c>
      <c r="S575" t="str">
        <f>IF(samples!J112=0,"",samples!J112)</f>
        <v/>
      </c>
      <c r="T575">
        <f>IFERROR(SEARCH(search!$B$6,samples!J112,1),0)</f>
        <v>0</v>
      </c>
      <c r="U575" t="str">
        <f>IF(samples!K112=0,"",samples!K112)</f>
        <v/>
      </c>
      <c r="V575">
        <f>IFERROR(SEARCH(search!$B$6,samples!K112,1),0)</f>
        <v>0</v>
      </c>
      <c r="W575" t="str">
        <f>IF(samples!L112=0,"",samples!L112)</f>
        <v/>
      </c>
      <c r="X575">
        <f>IFERROR(SEARCH(search!$B$6,samples!L112,1),0)</f>
        <v>0</v>
      </c>
      <c r="Y575" t="str">
        <f>IF(samples!M112=0,"",samples!M112)</f>
        <v/>
      </c>
      <c r="Z575">
        <f>IFERROR(SEARCH(search!$B$6,samples!M112,1),0)</f>
        <v>0</v>
      </c>
      <c r="AA575" t="str">
        <f>IF(samples!N112=0,"",samples!N112)</f>
        <v/>
      </c>
      <c r="AB575">
        <f>IFERROR(SEARCH(search!$B$6,samples!N112,1),0)</f>
        <v>0</v>
      </c>
      <c r="AC575" t="str">
        <f>IF(samples!O112=0,"",samples!O112)</f>
        <v/>
      </c>
      <c r="AD575">
        <f>IFERROR(SEARCH(search!$B$6,samples!O112,1),0)</f>
        <v>0</v>
      </c>
    </row>
    <row r="576" spans="1:30">
      <c r="A576">
        <f t="shared" si="8"/>
        <v>0</v>
      </c>
      <c r="B576">
        <f>IF(SUM(D576,F576,H576,J576,L576,N576,P576,R576,T576,V576,X576,Z576,AB576,AD576)&gt;0,SUM($A$2:A576),0)</f>
        <v>0</v>
      </c>
      <c r="C576">
        <f>samples!B113</f>
        <v>0</v>
      </c>
      <c r="D576">
        <f>IFERROR(SEARCH(search!$B$6,samples!B113,1),0)</f>
        <v>0</v>
      </c>
      <c r="E576" t="str">
        <f>IF(samples!C113=0,"",samples!C113)</f>
        <v/>
      </c>
      <c r="F576">
        <f>IFERROR(SEARCH(search!$B$6,samples!C113,1),0)</f>
        <v>0</v>
      </c>
      <c r="G576" t="str">
        <f>IF(samples!D113=0,"",samples!D113)</f>
        <v/>
      </c>
      <c r="H576">
        <f>IFERROR(SEARCH(search!$B$6,samples!D113,1),0)</f>
        <v>0</v>
      </c>
      <c r="I576" t="str">
        <f>IF(samples!E113=0,"",samples!E113)</f>
        <v/>
      </c>
      <c r="J576">
        <f>IFERROR(SEARCH(search!$B$6,samples!E113,1),0)</f>
        <v>0</v>
      </c>
      <c r="K576" t="str">
        <f>IF(samples!F113=0,"",samples!F113)</f>
        <v/>
      </c>
      <c r="L576">
        <f>IFERROR(SEARCH(search!$B$6,samples!F113,1),0)</f>
        <v>0</v>
      </c>
      <c r="M576" t="str">
        <f>IF(samples!G113=0,"",samples!G113)</f>
        <v/>
      </c>
      <c r="N576">
        <f>IFERROR(SEARCH(search!$B$6,samples!G113,1),0)</f>
        <v>0</v>
      </c>
      <c r="O576" t="str">
        <f>IF(samples!H113=0,"",samples!H113)</f>
        <v/>
      </c>
      <c r="P576">
        <f>IFERROR(SEARCH(search!$B$6,samples!H113,1),0)</f>
        <v>0</v>
      </c>
      <c r="Q576" t="str">
        <f>IF(samples!I113=0,"",samples!I113)</f>
        <v/>
      </c>
      <c r="R576">
        <f>IFERROR(SEARCH(search!$B$6,samples!I113,1),0)</f>
        <v>0</v>
      </c>
      <c r="S576" t="str">
        <f>IF(samples!J113=0,"",samples!J113)</f>
        <v/>
      </c>
      <c r="T576">
        <f>IFERROR(SEARCH(search!$B$6,samples!J113,1),0)</f>
        <v>0</v>
      </c>
      <c r="U576" t="str">
        <f>IF(samples!K113=0,"",samples!K113)</f>
        <v/>
      </c>
      <c r="V576">
        <f>IFERROR(SEARCH(search!$B$6,samples!K113,1),0)</f>
        <v>0</v>
      </c>
      <c r="W576" t="str">
        <f>IF(samples!L113=0,"",samples!L113)</f>
        <v/>
      </c>
      <c r="X576">
        <f>IFERROR(SEARCH(search!$B$6,samples!L113,1),0)</f>
        <v>0</v>
      </c>
      <c r="Y576" t="str">
        <f>IF(samples!M113=0,"",samples!M113)</f>
        <v/>
      </c>
      <c r="Z576">
        <f>IFERROR(SEARCH(search!$B$6,samples!M113,1),0)</f>
        <v>0</v>
      </c>
      <c r="AA576" t="str">
        <f>IF(samples!N113=0,"",samples!N113)</f>
        <v/>
      </c>
      <c r="AB576">
        <f>IFERROR(SEARCH(search!$B$6,samples!N113,1),0)</f>
        <v>0</v>
      </c>
      <c r="AC576" t="str">
        <f>IF(samples!O113=0,"",samples!O113)</f>
        <v/>
      </c>
      <c r="AD576">
        <f>IFERROR(SEARCH(search!$B$6,samples!O113,1),0)</f>
        <v>0</v>
      </c>
    </row>
    <row r="577" spans="1:30">
      <c r="A577">
        <f t="shared" si="8"/>
        <v>0</v>
      </c>
      <c r="B577">
        <f>IF(SUM(D577,F577,H577,J577,L577,N577,P577,R577,T577,V577,X577,Z577,AB577,AD577)&gt;0,SUM($A$2:A577),0)</f>
        <v>0</v>
      </c>
      <c r="C577">
        <f>samples!B114</f>
        <v>0</v>
      </c>
      <c r="D577">
        <f>IFERROR(SEARCH(search!$B$6,samples!B114,1),0)</f>
        <v>0</v>
      </c>
      <c r="E577" t="str">
        <f>IF(samples!C114=0,"",samples!C114)</f>
        <v/>
      </c>
      <c r="F577">
        <f>IFERROR(SEARCH(search!$B$6,samples!C114,1),0)</f>
        <v>0</v>
      </c>
      <c r="G577" t="str">
        <f>IF(samples!D114=0,"",samples!D114)</f>
        <v/>
      </c>
      <c r="H577">
        <f>IFERROR(SEARCH(search!$B$6,samples!D114,1),0)</f>
        <v>0</v>
      </c>
      <c r="I577" t="str">
        <f>IF(samples!E114=0,"",samples!E114)</f>
        <v/>
      </c>
      <c r="J577">
        <f>IFERROR(SEARCH(search!$B$6,samples!E114,1),0)</f>
        <v>0</v>
      </c>
      <c r="K577" t="str">
        <f>IF(samples!F114=0,"",samples!F114)</f>
        <v/>
      </c>
      <c r="L577">
        <f>IFERROR(SEARCH(search!$B$6,samples!F114,1),0)</f>
        <v>0</v>
      </c>
      <c r="M577" t="str">
        <f>IF(samples!G114=0,"",samples!G114)</f>
        <v/>
      </c>
      <c r="N577">
        <f>IFERROR(SEARCH(search!$B$6,samples!G114,1),0)</f>
        <v>0</v>
      </c>
      <c r="O577" t="str">
        <f>IF(samples!H114=0,"",samples!H114)</f>
        <v/>
      </c>
      <c r="P577">
        <f>IFERROR(SEARCH(search!$B$6,samples!H114,1),0)</f>
        <v>0</v>
      </c>
      <c r="Q577" t="str">
        <f>IF(samples!I114=0,"",samples!I114)</f>
        <v/>
      </c>
      <c r="R577">
        <f>IFERROR(SEARCH(search!$B$6,samples!I114,1),0)</f>
        <v>0</v>
      </c>
      <c r="S577" t="str">
        <f>IF(samples!J114=0,"",samples!J114)</f>
        <v/>
      </c>
      <c r="T577">
        <f>IFERROR(SEARCH(search!$B$6,samples!J114,1),0)</f>
        <v>0</v>
      </c>
      <c r="U577" t="str">
        <f>IF(samples!K114=0,"",samples!K114)</f>
        <v/>
      </c>
      <c r="V577">
        <f>IFERROR(SEARCH(search!$B$6,samples!K114,1),0)</f>
        <v>0</v>
      </c>
      <c r="W577" t="str">
        <f>IF(samples!L114=0,"",samples!L114)</f>
        <v/>
      </c>
      <c r="X577">
        <f>IFERROR(SEARCH(search!$B$6,samples!L114,1),0)</f>
        <v>0</v>
      </c>
      <c r="Y577" t="str">
        <f>IF(samples!M114=0,"",samples!M114)</f>
        <v/>
      </c>
      <c r="Z577">
        <f>IFERROR(SEARCH(search!$B$6,samples!M114,1),0)</f>
        <v>0</v>
      </c>
      <c r="AA577" t="str">
        <f>IF(samples!N114=0,"",samples!N114)</f>
        <v/>
      </c>
      <c r="AB577">
        <f>IFERROR(SEARCH(search!$B$6,samples!N114,1),0)</f>
        <v>0</v>
      </c>
      <c r="AC577" t="str">
        <f>IF(samples!O114=0,"",samples!O114)</f>
        <v/>
      </c>
      <c r="AD577">
        <f>IFERROR(SEARCH(search!$B$6,samples!O114,1),0)</f>
        <v>0</v>
      </c>
    </row>
    <row r="578" spans="1:30">
      <c r="A578">
        <f t="shared" si="8"/>
        <v>0</v>
      </c>
      <c r="B578">
        <f>IF(SUM(D578,F578,H578,J578,L578,N578,P578,R578,T578,V578,X578,Z578,AB578,AD578)&gt;0,SUM($A$2:A578),0)</f>
        <v>0</v>
      </c>
      <c r="C578">
        <f>samples!B115</f>
        <v>0</v>
      </c>
      <c r="D578">
        <f>IFERROR(SEARCH(search!$B$6,samples!B115,1),0)</f>
        <v>0</v>
      </c>
      <c r="E578" t="str">
        <f>IF(samples!C115=0,"",samples!C115)</f>
        <v/>
      </c>
      <c r="F578">
        <f>IFERROR(SEARCH(search!$B$6,samples!C115,1),0)</f>
        <v>0</v>
      </c>
      <c r="G578" t="str">
        <f>IF(samples!D115=0,"",samples!D115)</f>
        <v/>
      </c>
      <c r="H578">
        <f>IFERROR(SEARCH(search!$B$6,samples!D115,1),0)</f>
        <v>0</v>
      </c>
      <c r="I578" t="str">
        <f>IF(samples!E115=0,"",samples!E115)</f>
        <v/>
      </c>
      <c r="J578">
        <f>IFERROR(SEARCH(search!$B$6,samples!E115,1),0)</f>
        <v>0</v>
      </c>
      <c r="K578" t="str">
        <f>IF(samples!F115=0,"",samples!F115)</f>
        <v/>
      </c>
      <c r="L578">
        <f>IFERROR(SEARCH(search!$B$6,samples!F115,1),0)</f>
        <v>0</v>
      </c>
      <c r="M578" t="str">
        <f>IF(samples!G115=0,"",samples!G115)</f>
        <v/>
      </c>
      <c r="N578">
        <f>IFERROR(SEARCH(search!$B$6,samples!G115,1),0)</f>
        <v>0</v>
      </c>
      <c r="O578" t="str">
        <f>IF(samples!H115=0,"",samples!H115)</f>
        <v/>
      </c>
      <c r="P578">
        <f>IFERROR(SEARCH(search!$B$6,samples!H115,1),0)</f>
        <v>0</v>
      </c>
      <c r="Q578" t="str">
        <f>IF(samples!I115=0,"",samples!I115)</f>
        <v/>
      </c>
      <c r="R578">
        <f>IFERROR(SEARCH(search!$B$6,samples!I115,1),0)</f>
        <v>0</v>
      </c>
      <c r="S578" t="str">
        <f>IF(samples!J115=0,"",samples!J115)</f>
        <v/>
      </c>
      <c r="T578">
        <f>IFERROR(SEARCH(search!$B$6,samples!J115,1),0)</f>
        <v>0</v>
      </c>
      <c r="U578" t="str">
        <f>IF(samples!K115=0,"",samples!K115)</f>
        <v/>
      </c>
      <c r="V578">
        <f>IFERROR(SEARCH(search!$B$6,samples!K115,1),0)</f>
        <v>0</v>
      </c>
      <c r="W578" t="str">
        <f>IF(samples!L115=0,"",samples!L115)</f>
        <v/>
      </c>
      <c r="X578">
        <f>IFERROR(SEARCH(search!$B$6,samples!L115,1),0)</f>
        <v>0</v>
      </c>
      <c r="Y578" t="str">
        <f>IF(samples!M115=0,"",samples!M115)</f>
        <v/>
      </c>
      <c r="Z578">
        <f>IFERROR(SEARCH(search!$B$6,samples!M115,1),0)</f>
        <v>0</v>
      </c>
      <c r="AA578" t="str">
        <f>IF(samples!N115=0,"",samples!N115)</f>
        <v/>
      </c>
      <c r="AB578">
        <f>IFERROR(SEARCH(search!$B$6,samples!N115,1),0)</f>
        <v>0</v>
      </c>
      <c r="AC578" t="str">
        <f>IF(samples!O115=0,"",samples!O115)</f>
        <v/>
      </c>
      <c r="AD578">
        <f>IFERROR(SEARCH(search!$B$6,samples!O115,1),0)</f>
        <v>0</v>
      </c>
    </row>
    <row r="579" spans="1:30">
      <c r="A579">
        <f t="shared" ref="A579:A642" si="9">IF(SUM(D579,F579,H579,J579,L579,N579,P579,R579,T579,V579,X579,Z579,AB579,AD579)&gt;0,1,0)</f>
        <v>0</v>
      </c>
      <c r="B579">
        <f>IF(SUM(D579,F579,H579,J579,L579,N579,P579,R579,T579,V579,X579,Z579,AB579,AD579)&gt;0,SUM($A$2:A579),0)</f>
        <v>0</v>
      </c>
      <c r="C579">
        <f>samples!B116</f>
        <v>0</v>
      </c>
      <c r="D579">
        <f>IFERROR(SEARCH(search!$B$6,samples!B116,1),0)</f>
        <v>0</v>
      </c>
      <c r="E579" t="str">
        <f>IF(samples!C116=0,"",samples!C116)</f>
        <v/>
      </c>
      <c r="F579">
        <f>IFERROR(SEARCH(search!$B$6,samples!C116,1),0)</f>
        <v>0</v>
      </c>
      <c r="G579" t="str">
        <f>IF(samples!D116=0,"",samples!D116)</f>
        <v/>
      </c>
      <c r="H579">
        <f>IFERROR(SEARCH(search!$B$6,samples!D116,1),0)</f>
        <v>0</v>
      </c>
      <c r="I579" t="str">
        <f>IF(samples!E116=0,"",samples!E116)</f>
        <v/>
      </c>
      <c r="J579">
        <f>IFERROR(SEARCH(search!$B$6,samples!E116,1),0)</f>
        <v>0</v>
      </c>
      <c r="K579" t="str">
        <f>IF(samples!F116=0,"",samples!F116)</f>
        <v/>
      </c>
      <c r="L579">
        <f>IFERROR(SEARCH(search!$B$6,samples!F116,1),0)</f>
        <v>0</v>
      </c>
      <c r="M579" t="str">
        <f>IF(samples!G116=0,"",samples!G116)</f>
        <v/>
      </c>
      <c r="N579">
        <f>IFERROR(SEARCH(search!$B$6,samples!G116,1),0)</f>
        <v>0</v>
      </c>
      <c r="O579" t="str">
        <f>IF(samples!H116=0,"",samples!H116)</f>
        <v/>
      </c>
      <c r="P579">
        <f>IFERROR(SEARCH(search!$B$6,samples!H116,1),0)</f>
        <v>0</v>
      </c>
      <c r="Q579" t="str">
        <f>IF(samples!I116=0,"",samples!I116)</f>
        <v/>
      </c>
      <c r="R579">
        <f>IFERROR(SEARCH(search!$B$6,samples!I116,1),0)</f>
        <v>0</v>
      </c>
      <c r="S579" t="str">
        <f>IF(samples!J116=0,"",samples!J116)</f>
        <v/>
      </c>
      <c r="T579">
        <f>IFERROR(SEARCH(search!$B$6,samples!J116,1),0)</f>
        <v>0</v>
      </c>
      <c r="U579" t="str">
        <f>IF(samples!K116=0,"",samples!K116)</f>
        <v/>
      </c>
      <c r="V579">
        <f>IFERROR(SEARCH(search!$B$6,samples!K116,1),0)</f>
        <v>0</v>
      </c>
      <c r="W579" t="str">
        <f>IF(samples!L116=0,"",samples!L116)</f>
        <v/>
      </c>
      <c r="X579">
        <f>IFERROR(SEARCH(search!$B$6,samples!L116,1),0)</f>
        <v>0</v>
      </c>
      <c r="Y579" t="str">
        <f>IF(samples!M116=0,"",samples!M116)</f>
        <v/>
      </c>
      <c r="Z579">
        <f>IFERROR(SEARCH(search!$B$6,samples!M116,1),0)</f>
        <v>0</v>
      </c>
      <c r="AA579" t="str">
        <f>IF(samples!N116=0,"",samples!N116)</f>
        <v/>
      </c>
      <c r="AB579">
        <f>IFERROR(SEARCH(search!$B$6,samples!N116,1),0)</f>
        <v>0</v>
      </c>
      <c r="AC579" t="str">
        <f>IF(samples!O116=0,"",samples!O116)</f>
        <v/>
      </c>
      <c r="AD579">
        <f>IFERROR(SEARCH(search!$B$6,samples!O116,1),0)</f>
        <v>0</v>
      </c>
    </row>
    <row r="580" spans="1:30">
      <c r="A580">
        <f t="shared" si="9"/>
        <v>0</v>
      </c>
      <c r="B580">
        <f>IF(SUM(D580,F580,H580,J580,L580,N580,P580,R580,T580,V580,X580,Z580,AB580,AD580)&gt;0,SUM($A$2:A580),0)</f>
        <v>0</v>
      </c>
      <c r="C580">
        <f>samples!B117</f>
        <v>0</v>
      </c>
      <c r="D580">
        <f>IFERROR(SEARCH(search!$B$6,samples!B117,1),0)</f>
        <v>0</v>
      </c>
      <c r="E580" t="str">
        <f>IF(samples!C117=0,"",samples!C117)</f>
        <v/>
      </c>
      <c r="F580">
        <f>IFERROR(SEARCH(search!$B$6,samples!C117,1),0)</f>
        <v>0</v>
      </c>
      <c r="G580" t="str">
        <f>IF(samples!D117=0,"",samples!D117)</f>
        <v/>
      </c>
      <c r="H580">
        <f>IFERROR(SEARCH(search!$B$6,samples!D117,1),0)</f>
        <v>0</v>
      </c>
      <c r="I580" t="str">
        <f>IF(samples!E117=0,"",samples!E117)</f>
        <v/>
      </c>
      <c r="J580">
        <f>IFERROR(SEARCH(search!$B$6,samples!E117,1),0)</f>
        <v>0</v>
      </c>
      <c r="K580" t="str">
        <f>IF(samples!F117=0,"",samples!F117)</f>
        <v/>
      </c>
      <c r="L580">
        <f>IFERROR(SEARCH(search!$B$6,samples!F117,1),0)</f>
        <v>0</v>
      </c>
      <c r="M580" t="str">
        <f>IF(samples!G117=0,"",samples!G117)</f>
        <v/>
      </c>
      <c r="N580">
        <f>IFERROR(SEARCH(search!$B$6,samples!G117,1),0)</f>
        <v>0</v>
      </c>
      <c r="O580" t="str">
        <f>IF(samples!H117=0,"",samples!H117)</f>
        <v/>
      </c>
      <c r="P580">
        <f>IFERROR(SEARCH(search!$B$6,samples!H117,1),0)</f>
        <v>0</v>
      </c>
      <c r="Q580" t="str">
        <f>IF(samples!I117=0,"",samples!I117)</f>
        <v/>
      </c>
      <c r="R580">
        <f>IFERROR(SEARCH(search!$B$6,samples!I117,1),0)</f>
        <v>0</v>
      </c>
      <c r="S580" t="str">
        <f>IF(samples!J117=0,"",samples!J117)</f>
        <v/>
      </c>
      <c r="T580">
        <f>IFERROR(SEARCH(search!$B$6,samples!J117,1),0)</f>
        <v>0</v>
      </c>
      <c r="U580" t="str">
        <f>IF(samples!K117=0,"",samples!K117)</f>
        <v/>
      </c>
      <c r="V580">
        <f>IFERROR(SEARCH(search!$B$6,samples!K117,1),0)</f>
        <v>0</v>
      </c>
      <c r="W580" t="str">
        <f>IF(samples!L117=0,"",samples!L117)</f>
        <v/>
      </c>
      <c r="X580">
        <f>IFERROR(SEARCH(search!$B$6,samples!L117,1),0)</f>
        <v>0</v>
      </c>
      <c r="Y580" t="str">
        <f>IF(samples!M117=0,"",samples!M117)</f>
        <v/>
      </c>
      <c r="Z580">
        <f>IFERROR(SEARCH(search!$B$6,samples!M117,1),0)</f>
        <v>0</v>
      </c>
      <c r="AA580" t="str">
        <f>IF(samples!N117=0,"",samples!N117)</f>
        <v/>
      </c>
      <c r="AB580">
        <f>IFERROR(SEARCH(search!$B$6,samples!N117,1),0)</f>
        <v>0</v>
      </c>
      <c r="AC580" t="str">
        <f>IF(samples!O117=0,"",samples!O117)</f>
        <v/>
      </c>
      <c r="AD580">
        <f>IFERROR(SEARCH(search!$B$6,samples!O117,1),0)</f>
        <v>0</v>
      </c>
    </row>
    <row r="581" spans="1:30">
      <c r="A581">
        <f t="shared" si="9"/>
        <v>0</v>
      </c>
      <c r="B581">
        <f>IF(SUM(D581,F581,H581,J581,L581,N581,P581,R581,T581,V581,X581,Z581,AB581,AD581)&gt;0,SUM($A$2:A581),0)</f>
        <v>0</v>
      </c>
      <c r="C581">
        <f>samples!B118</f>
        <v>0</v>
      </c>
      <c r="D581">
        <f>IFERROR(SEARCH(search!$B$6,samples!B118,1),0)</f>
        <v>0</v>
      </c>
      <c r="E581" t="str">
        <f>IF(samples!C118=0,"",samples!C118)</f>
        <v/>
      </c>
      <c r="F581">
        <f>IFERROR(SEARCH(search!$B$6,samples!C118,1),0)</f>
        <v>0</v>
      </c>
      <c r="G581" t="str">
        <f>IF(samples!D118=0,"",samples!D118)</f>
        <v/>
      </c>
      <c r="H581">
        <f>IFERROR(SEARCH(search!$B$6,samples!D118,1),0)</f>
        <v>0</v>
      </c>
      <c r="I581" t="str">
        <f>IF(samples!E118=0,"",samples!E118)</f>
        <v/>
      </c>
      <c r="J581">
        <f>IFERROR(SEARCH(search!$B$6,samples!E118,1),0)</f>
        <v>0</v>
      </c>
      <c r="K581" t="str">
        <f>IF(samples!F118=0,"",samples!F118)</f>
        <v/>
      </c>
      <c r="L581">
        <f>IFERROR(SEARCH(search!$B$6,samples!F118,1),0)</f>
        <v>0</v>
      </c>
      <c r="M581" t="str">
        <f>IF(samples!G118=0,"",samples!G118)</f>
        <v/>
      </c>
      <c r="N581">
        <f>IFERROR(SEARCH(search!$B$6,samples!G118,1),0)</f>
        <v>0</v>
      </c>
      <c r="O581" t="str">
        <f>IF(samples!H118=0,"",samples!H118)</f>
        <v/>
      </c>
      <c r="P581">
        <f>IFERROR(SEARCH(search!$B$6,samples!H118,1),0)</f>
        <v>0</v>
      </c>
      <c r="Q581" t="str">
        <f>IF(samples!I118=0,"",samples!I118)</f>
        <v/>
      </c>
      <c r="R581">
        <f>IFERROR(SEARCH(search!$B$6,samples!I118,1),0)</f>
        <v>0</v>
      </c>
      <c r="S581" t="str">
        <f>IF(samples!J118=0,"",samples!J118)</f>
        <v/>
      </c>
      <c r="T581">
        <f>IFERROR(SEARCH(search!$B$6,samples!J118,1),0)</f>
        <v>0</v>
      </c>
      <c r="U581" t="str">
        <f>IF(samples!K118=0,"",samples!K118)</f>
        <v/>
      </c>
      <c r="V581">
        <f>IFERROR(SEARCH(search!$B$6,samples!K118,1),0)</f>
        <v>0</v>
      </c>
      <c r="W581" t="str">
        <f>IF(samples!L118=0,"",samples!L118)</f>
        <v/>
      </c>
      <c r="X581">
        <f>IFERROR(SEARCH(search!$B$6,samples!L118,1),0)</f>
        <v>0</v>
      </c>
      <c r="Y581" t="str">
        <f>IF(samples!M118=0,"",samples!M118)</f>
        <v/>
      </c>
      <c r="Z581">
        <f>IFERROR(SEARCH(search!$B$6,samples!M118,1),0)</f>
        <v>0</v>
      </c>
      <c r="AA581" t="str">
        <f>IF(samples!N118=0,"",samples!N118)</f>
        <v/>
      </c>
      <c r="AB581">
        <f>IFERROR(SEARCH(search!$B$6,samples!N118,1),0)</f>
        <v>0</v>
      </c>
      <c r="AC581" t="str">
        <f>IF(samples!O118=0,"",samples!O118)</f>
        <v/>
      </c>
      <c r="AD581">
        <f>IFERROR(SEARCH(search!$B$6,samples!O118,1),0)</f>
        <v>0</v>
      </c>
    </row>
    <row r="582" spans="1:30">
      <c r="A582">
        <f t="shared" si="9"/>
        <v>0</v>
      </c>
      <c r="B582">
        <f>IF(SUM(D582,F582,H582,J582,L582,N582,P582,R582,T582,V582,X582,Z582,AB582,AD582)&gt;0,SUM($A$2:A582),0)</f>
        <v>0</v>
      </c>
      <c r="C582">
        <f>samples!B119</f>
        <v>0</v>
      </c>
      <c r="D582">
        <f>IFERROR(SEARCH(search!$B$6,samples!B119,1),0)</f>
        <v>0</v>
      </c>
      <c r="E582" t="str">
        <f>IF(samples!C119=0,"",samples!C119)</f>
        <v/>
      </c>
      <c r="F582">
        <f>IFERROR(SEARCH(search!$B$6,samples!C119,1),0)</f>
        <v>0</v>
      </c>
      <c r="G582" t="str">
        <f>IF(samples!D119=0,"",samples!D119)</f>
        <v/>
      </c>
      <c r="H582">
        <f>IFERROR(SEARCH(search!$B$6,samples!D119,1),0)</f>
        <v>0</v>
      </c>
      <c r="I582" t="str">
        <f>IF(samples!E119=0,"",samples!E119)</f>
        <v/>
      </c>
      <c r="J582">
        <f>IFERROR(SEARCH(search!$B$6,samples!E119,1),0)</f>
        <v>0</v>
      </c>
      <c r="K582" t="str">
        <f>IF(samples!F119=0,"",samples!F119)</f>
        <v/>
      </c>
      <c r="L582">
        <f>IFERROR(SEARCH(search!$B$6,samples!F119,1),0)</f>
        <v>0</v>
      </c>
      <c r="M582" t="str">
        <f>IF(samples!G119=0,"",samples!G119)</f>
        <v/>
      </c>
      <c r="N582">
        <f>IFERROR(SEARCH(search!$B$6,samples!G119,1),0)</f>
        <v>0</v>
      </c>
      <c r="O582" t="str">
        <f>IF(samples!H119=0,"",samples!H119)</f>
        <v/>
      </c>
      <c r="P582">
        <f>IFERROR(SEARCH(search!$B$6,samples!H119,1),0)</f>
        <v>0</v>
      </c>
      <c r="Q582" t="str">
        <f>IF(samples!I119=0,"",samples!I119)</f>
        <v/>
      </c>
      <c r="R582">
        <f>IFERROR(SEARCH(search!$B$6,samples!I119,1),0)</f>
        <v>0</v>
      </c>
      <c r="S582" t="str">
        <f>IF(samples!J119=0,"",samples!J119)</f>
        <v/>
      </c>
      <c r="T582">
        <f>IFERROR(SEARCH(search!$B$6,samples!J119,1),0)</f>
        <v>0</v>
      </c>
      <c r="U582" t="str">
        <f>IF(samples!K119=0,"",samples!K119)</f>
        <v/>
      </c>
      <c r="V582">
        <f>IFERROR(SEARCH(search!$B$6,samples!K119,1),0)</f>
        <v>0</v>
      </c>
      <c r="W582" t="str">
        <f>IF(samples!L119=0,"",samples!L119)</f>
        <v/>
      </c>
      <c r="X582">
        <f>IFERROR(SEARCH(search!$B$6,samples!L119,1),0)</f>
        <v>0</v>
      </c>
      <c r="Y582" t="str">
        <f>IF(samples!M119=0,"",samples!M119)</f>
        <v/>
      </c>
      <c r="Z582">
        <f>IFERROR(SEARCH(search!$B$6,samples!M119,1),0)</f>
        <v>0</v>
      </c>
      <c r="AA582" t="str">
        <f>IF(samples!N119=0,"",samples!N119)</f>
        <v/>
      </c>
      <c r="AB582">
        <f>IFERROR(SEARCH(search!$B$6,samples!N119,1),0)</f>
        <v>0</v>
      </c>
      <c r="AC582" t="str">
        <f>IF(samples!O119=0,"",samples!O119)</f>
        <v/>
      </c>
      <c r="AD582">
        <f>IFERROR(SEARCH(search!$B$6,samples!O119,1),0)</f>
        <v>0</v>
      </c>
    </row>
    <row r="583" spans="1:30">
      <c r="A583">
        <f t="shared" si="9"/>
        <v>0</v>
      </c>
      <c r="B583">
        <f>IF(SUM(D583,F583,H583,J583,L583,N583,P583,R583,T583,V583,X583,Z583,AB583,AD583)&gt;0,SUM($A$2:A583),0)</f>
        <v>0</v>
      </c>
      <c r="C583">
        <f>samples!B120</f>
        <v>0</v>
      </c>
      <c r="D583">
        <f>IFERROR(SEARCH(search!$B$6,samples!B120,1),0)</f>
        <v>0</v>
      </c>
      <c r="E583" t="str">
        <f>IF(samples!C120=0,"",samples!C120)</f>
        <v/>
      </c>
      <c r="F583">
        <f>IFERROR(SEARCH(search!$B$6,samples!C120,1),0)</f>
        <v>0</v>
      </c>
      <c r="G583" t="str">
        <f>IF(samples!D120=0,"",samples!D120)</f>
        <v/>
      </c>
      <c r="H583">
        <f>IFERROR(SEARCH(search!$B$6,samples!D120,1),0)</f>
        <v>0</v>
      </c>
      <c r="I583" t="str">
        <f>IF(samples!E120=0,"",samples!E120)</f>
        <v/>
      </c>
      <c r="J583">
        <f>IFERROR(SEARCH(search!$B$6,samples!E120,1),0)</f>
        <v>0</v>
      </c>
      <c r="K583" t="str">
        <f>IF(samples!F120=0,"",samples!F120)</f>
        <v/>
      </c>
      <c r="L583">
        <f>IFERROR(SEARCH(search!$B$6,samples!F120,1),0)</f>
        <v>0</v>
      </c>
      <c r="M583" t="str">
        <f>IF(samples!G120=0,"",samples!G120)</f>
        <v/>
      </c>
      <c r="N583">
        <f>IFERROR(SEARCH(search!$B$6,samples!G120,1),0)</f>
        <v>0</v>
      </c>
      <c r="O583" t="str">
        <f>IF(samples!H120=0,"",samples!H120)</f>
        <v/>
      </c>
      <c r="P583">
        <f>IFERROR(SEARCH(search!$B$6,samples!H120,1),0)</f>
        <v>0</v>
      </c>
      <c r="Q583" t="str">
        <f>IF(samples!I120=0,"",samples!I120)</f>
        <v/>
      </c>
      <c r="R583">
        <f>IFERROR(SEARCH(search!$B$6,samples!I120,1),0)</f>
        <v>0</v>
      </c>
      <c r="S583" t="str">
        <f>IF(samples!J120=0,"",samples!J120)</f>
        <v/>
      </c>
      <c r="T583">
        <f>IFERROR(SEARCH(search!$B$6,samples!J120,1),0)</f>
        <v>0</v>
      </c>
      <c r="U583" t="str">
        <f>IF(samples!K120=0,"",samples!K120)</f>
        <v/>
      </c>
      <c r="V583">
        <f>IFERROR(SEARCH(search!$B$6,samples!K120,1),0)</f>
        <v>0</v>
      </c>
      <c r="W583" t="str">
        <f>IF(samples!L120=0,"",samples!L120)</f>
        <v/>
      </c>
      <c r="X583">
        <f>IFERROR(SEARCH(search!$B$6,samples!L120,1),0)</f>
        <v>0</v>
      </c>
      <c r="Y583" t="str">
        <f>IF(samples!M120=0,"",samples!M120)</f>
        <v/>
      </c>
      <c r="Z583">
        <f>IFERROR(SEARCH(search!$B$6,samples!M120,1),0)</f>
        <v>0</v>
      </c>
      <c r="AA583" t="str">
        <f>IF(samples!N120=0,"",samples!N120)</f>
        <v/>
      </c>
      <c r="AB583">
        <f>IFERROR(SEARCH(search!$B$6,samples!N120,1),0)</f>
        <v>0</v>
      </c>
      <c r="AC583" t="str">
        <f>IF(samples!O120=0,"",samples!O120)</f>
        <v/>
      </c>
      <c r="AD583">
        <f>IFERROR(SEARCH(search!$B$6,samples!O120,1),0)</f>
        <v>0</v>
      </c>
    </row>
    <row r="584" spans="1:30">
      <c r="A584">
        <f t="shared" si="9"/>
        <v>0</v>
      </c>
      <c r="B584">
        <f>IF(SUM(D584,F584,H584,J584,L584,N584,P584,R584,T584,V584,X584,Z584,AB584,AD584)&gt;0,SUM($A$2:A584),0)</f>
        <v>0</v>
      </c>
      <c r="C584">
        <f>samples!B121</f>
        <v>0</v>
      </c>
      <c r="D584">
        <f>IFERROR(SEARCH(search!$B$6,samples!B121,1),0)</f>
        <v>0</v>
      </c>
      <c r="E584" t="str">
        <f>IF(samples!C121=0,"",samples!C121)</f>
        <v/>
      </c>
      <c r="F584">
        <f>IFERROR(SEARCH(search!$B$6,samples!C121,1),0)</f>
        <v>0</v>
      </c>
      <c r="G584" t="str">
        <f>IF(samples!D121=0,"",samples!D121)</f>
        <v/>
      </c>
      <c r="H584">
        <f>IFERROR(SEARCH(search!$B$6,samples!D121,1),0)</f>
        <v>0</v>
      </c>
      <c r="I584" t="str">
        <f>IF(samples!E121=0,"",samples!E121)</f>
        <v/>
      </c>
      <c r="J584">
        <f>IFERROR(SEARCH(search!$B$6,samples!E121,1),0)</f>
        <v>0</v>
      </c>
      <c r="K584" t="str">
        <f>IF(samples!F121=0,"",samples!F121)</f>
        <v/>
      </c>
      <c r="L584">
        <f>IFERROR(SEARCH(search!$B$6,samples!F121,1),0)</f>
        <v>0</v>
      </c>
      <c r="M584" t="str">
        <f>IF(samples!G121=0,"",samples!G121)</f>
        <v/>
      </c>
      <c r="N584">
        <f>IFERROR(SEARCH(search!$B$6,samples!G121,1),0)</f>
        <v>0</v>
      </c>
      <c r="O584" t="str">
        <f>IF(samples!H121=0,"",samples!H121)</f>
        <v/>
      </c>
      <c r="P584">
        <f>IFERROR(SEARCH(search!$B$6,samples!H121,1),0)</f>
        <v>0</v>
      </c>
      <c r="Q584" t="str">
        <f>IF(samples!I121=0,"",samples!I121)</f>
        <v/>
      </c>
      <c r="R584">
        <f>IFERROR(SEARCH(search!$B$6,samples!I121,1),0)</f>
        <v>0</v>
      </c>
      <c r="S584" t="str">
        <f>IF(samples!J121=0,"",samples!J121)</f>
        <v/>
      </c>
      <c r="T584">
        <f>IFERROR(SEARCH(search!$B$6,samples!J121,1),0)</f>
        <v>0</v>
      </c>
      <c r="U584" t="str">
        <f>IF(samples!K121=0,"",samples!K121)</f>
        <v/>
      </c>
      <c r="V584">
        <f>IFERROR(SEARCH(search!$B$6,samples!K121,1),0)</f>
        <v>0</v>
      </c>
      <c r="W584" t="str">
        <f>IF(samples!L121=0,"",samples!L121)</f>
        <v/>
      </c>
      <c r="X584">
        <f>IFERROR(SEARCH(search!$B$6,samples!L121,1),0)</f>
        <v>0</v>
      </c>
      <c r="Y584" t="str">
        <f>IF(samples!M121=0,"",samples!M121)</f>
        <v/>
      </c>
      <c r="Z584">
        <f>IFERROR(SEARCH(search!$B$6,samples!M121,1),0)</f>
        <v>0</v>
      </c>
      <c r="AA584" t="str">
        <f>IF(samples!N121=0,"",samples!N121)</f>
        <v/>
      </c>
      <c r="AB584">
        <f>IFERROR(SEARCH(search!$B$6,samples!N121,1),0)</f>
        <v>0</v>
      </c>
      <c r="AC584" t="str">
        <f>IF(samples!O121=0,"",samples!O121)</f>
        <v/>
      </c>
      <c r="AD584">
        <f>IFERROR(SEARCH(search!$B$6,samples!O121,1),0)</f>
        <v>0</v>
      </c>
    </row>
    <row r="585" spans="1:30">
      <c r="A585">
        <f t="shared" si="9"/>
        <v>0</v>
      </c>
      <c r="B585">
        <f>IF(SUM(D585,F585,H585,J585,L585,N585,P585,R585,T585,V585,X585,Z585,AB585,AD585)&gt;0,SUM($A$2:A585),0)</f>
        <v>0</v>
      </c>
      <c r="C585">
        <f>samples!B122</f>
        <v>0</v>
      </c>
      <c r="D585">
        <f>IFERROR(SEARCH(search!$B$6,samples!B122,1),0)</f>
        <v>0</v>
      </c>
      <c r="E585" t="str">
        <f>IF(samples!C122=0,"",samples!C122)</f>
        <v/>
      </c>
      <c r="F585">
        <f>IFERROR(SEARCH(search!$B$6,samples!C122,1),0)</f>
        <v>0</v>
      </c>
      <c r="G585" t="str">
        <f>IF(samples!D122=0,"",samples!D122)</f>
        <v/>
      </c>
      <c r="H585">
        <f>IFERROR(SEARCH(search!$B$6,samples!D122,1),0)</f>
        <v>0</v>
      </c>
      <c r="I585" t="str">
        <f>IF(samples!E122=0,"",samples!E122)</f>
        <v/>
      </c>
      <c r="J585">
        <f>IFERROR(SEARCH(search!$B$6,samples!E122,1),0)</f>
        <v>0</v>
      </c>
      <c r="K585" t="str">
        <f>IF(samples!F122=0,"",samples!F122)</f>
        <v/>
      </c>
      <c r="L585">
        <f>IFERROR(SEARCH(search!$B$6,samples!F122,1),0)</f>
        <v>0</v>
      </c>
      <c r="M585" t="str">
        <f>IF(samples!G122=0,"",samples!G122)</f>
        <v/>
      </c>
      <c r="N585">
        <f>IFERROR(SEARCH(search!$B$6,samples!G122,1),0)</f>
        <v>0</v>
      </c>
      <c r="O585" t="str">
        <f>IF(samples!H122=0,"",samples!H122)</f>
        <v/>
      </c>
      <c r="P585">
        <f>IFERROR(SEARCH(search!$B$6,samples!H122,1),0)</f>
        <v>0</v>
      </c>
      <c r="Q585" t="str">
        <f>IF(samples!I122=0,"",samples!I122)</f>
        <v/>
      </c>
      <c r="R585">
        <f>IFERROR(SEARCH(search!$B$6,samples!I122,1),0)</f>
        <v>0</v>
      </c>
      <c r="S585" t="str">
        <f>IF(samples!J122=0,"",samples!J122)</f>
        <v/>
      </c>
      <c r="T585">
        <f>IFERROR(SEARCH(search!$B$6,samples!J122,1),0)</f>
        <v>0</v>
      </c>
      <c r="U585" t="str">
        <f>IF(samples!K122=0,"",samples!K122)</f>
        <v/>
      </c>
      <c r="V585">
        <f>IFERROR(SEARCH(search!$B$6,samples!K122,1),0)</f>
        <v>0</v>
      </c>
      <c r="W585" t="str">
        <f>IF(samples!L122=0,"",samples!L122)</f>
        <v/>
      </c>
      <c r="X585">
        <f>IFERROR(SEARCH(search!$B$6,samples!L122,1),0)</f>
        <v>0</v>
      </c>
      <c r="Y585" t="str">
        <f>IF(samples!M122=0,"",samples!M122)</f>
        <v/>
      </c>
      <c r="Z585">
        <f>IFERROR(SEARCH(search!$B$6,samples!M122,1),0)</f>
        <v>0</v>
      </c>
      <c r="AA585" t="str">
        <f>IF(samples!N122=0,"",samples!N122)</f>
        <v/>
      </c>
      <c r="AB585">
        <f>IFERROR(SEARCH(search!$B$6,samples!N122,1),0)</f>
        <v>0</v>
      </c>
      <c r="AC585" t="str">
        <f>IF(samples!O122=0,"",samples!O122)</f>
        <v/>
      </c>
      <c r="AD585">
        <f>IFERROR(SEARCH(search!$B$6,samples!O122,1),0)</f>
        <v>0</v>
      </c>
    </row>
    <row r="586" spans="1:30">
      <c r="A586">
        <f t="shared" si="9"/>
        <v>0</v>
      </c>
      <c r="B586">
        <f>IF(SUM(D586,F586,H586,J586,L586,N586,P586,R586,T586,V586,X586,Z586,AB586,AD586)&gt;0,SUM($A$2:A586),0)</f>
        <v>0</v>
      </c>
      <c r="C586">
        <f>samples!B123</f>
        <v>0</v>
      </c>
      <c r="D586">
        <f>IFERROR(SEARCH(search!$B$6,samples!B123,1),0)</f>
        <v>0</v>
      </c>
      <c r="E586" t="str">
        <f>IF(samples!C123=0,"",samples!C123)</f>
        <v/>
      </c>
      <c r="F586">
        <f>IFERROR(SEARCH(search!$B$6,samples!C123,1),0)</f>
        <v>0</v>
      </c>
      <c r="G586" t="str">
        <f>IF(samples!D123=0,"",samples!D123)</f>
        <v/>
      </c>
      <c r="H586">
        <f>IFERROR(SEARCH(search!$B$6,samples!D123,1),0)</f>
        <v>0</v>
      </c>
      <c r="I586" t="str">
        <f>IF(samples!E123=0,"",samples!E123)</f>
        <v/>
      </c>
      <c r="J586">
        <f>IFERROR(SEARCH(search!$B$6,samples!E123,1),0)</f>
        <v>0</v>
      </c>
      <c r="K586" t="str">
        <f>IF(samples!F123=0,"",samples!F123)</f>
        <v/>
      </c>
      <c r="L586">
        <f>IFERROR(SEARCH(search!$B$6,samples!F123,1),0)</f>
        <v>0</v>
      </c>
      <c r="M586" t="str">
        <f>IF(samples!G123=0,"",samples!G123)</f>
        <v/>
      </c>
      <c r="N586">
        <f>IFERROR(SEARCH(search!$B$6,samples!G123,1),0)</f>
        <v>0</v>
      </c>
      <c r="O586" t="str">
        <f>IF(samples!H123=0,"",samples!H123)</f>
        <v/>
      </c>
      <c r="P586">
        <f>IFERROR(SEARCH(search!$B$6,samples!H123,1),0)</f>
        <v>0</v>
      </c>
      <c r="Q586" t="str">
        <f>IF(samples!I123=0,"",samples!I123)</f>
        <v/>
      </c>
      <c r="R586">
        <f>IFERROR(SEARCH(search!$B$6,samples!I123,1),0)</f>
        <v>0</v>
      </c>
      <c r="S586" t="str">
        <f>IF(samples!J123=0,"",samples!J123)</f>
        <v/>
      </c>
      <c r="T586">
        <f>IFERROR(SEARCH(search!$B$6,samples!J123,1),0)</f>
        <v>0</v>
      </c>
      <c r="U586" t="str">
        <f>IF(samples!K123=0,"",samples!K123)</f>
        <v/>
      </c>
      <c r="V586">
        <f>IFERROR(SEARCH(search!$B$6,samples!K123,1),0)</f>
        <v>0</v>
      </c>
      <c r="W586" t="str">
        <f>IF(samples!L123=0,"",samples!L123)</f>
        <v/>
      </c>
      <c r="X586">
        <f>IFERROR(SEARCH(search!$B$6,samples!L123,1),0)</f>
        <v>0</v>
      </c>
      <c r="Y586" t="str">
        <f>IF(samples!M123=0,"",samples!M123)</f>
        <v/>
      </c>
      <c r="Z586">
        <f>IFERROR(SEARCH(search!$B$6,samples!M123,1),0)</f>
        <v>0</v>
      </c>
      <c r="AA586" t="str">
        <f>IF(samples!N123=0,"",samples!N123)</f>
        <v/>
      </c>
      <c r="AB586">
        <f>IFERROR(SEARCH(search!$B$6,samples!N123,1),0)</f>
        <v>0</v>
      </c>
      <c r="AC586" t="str">
        <f>IF(samples!O123=0,"",samples!O123)</f>
        <v/>
      </c>
      <c r="AD586">
        <f>IFERROR(SEARCH(search!$B$6,samples!O123,1),0)</f>
        <v>0</v>
      </c>
    </row>
    <row r="587" spans="1:30">
      <c r="A587">
        <f t="shared" si="9"/>
        <v>0</v>
      </c>
      <c r="B587">
        <f>IF(SUM(D587,F587,H587,J587,L587,N587,P587,R587,T587,V587,X587,Z587,AB587,AD587)&gt;0,SUM($A$2:A587),0)</f>
        <v>0</v>
      </c>
      <c r="C587">
        <f>samples!B124</f>
        <v>0</v>
      </c>
      <c r="D587">
        <f>IFERROR(SEARCH(search!$B$6,samples!B124,1),0)</f>
        <v>0</v>
      </c>
      <c r="E587" t="str">
        <f>IF(samples!C124=0,"",samples!C124)</f>
        <v/>
      </c>
      <c r="F587">
        <f>IFERROR(SEARCH(search!$B$6,samples!C124,1),0)</f>
        <v>0</v>
      </c>
      <c r="G587" t="str">
        <f>IF(samples!D124=0,"",samples!D124)</f>
        <v/>
      </c>
      <c r="H587">
        <f>IFERROR(SEARCH(search!$B$6,samples!D124,1),0)</f>
        <v>0</v>
      </c>
      <c r="I587" t="str">
        <f>IF(samples!E124=0,"",samples!E124)</f>
        <v/>
      </c>
      <c r="J587">
        <f>IFERROR(SEARCH(search!$B$6,samples!E124,1),0)</f>
        <v>0</v>
      </c>
      <c r="K587" t="str">
        <f>IF(samples!F124=0,"",samples!F124)</f>
        <v/>
      </c>
      <c r="L587">
        <f>IFERROR(SEARCH(search!$B$6,samples!F124,1),0)</f>
        <v>0</v>
      </c>
      <c r="M587" t="str">
        <f>IF(samples!G124=0,"",samples!G124)</f>
        <v/>
      </c>
      <c r="N587">
        <f>IFERROR(SEARCH(search!$B$6,samples!G124,1),0)</f>
        <v>0</v>
      </c>
      <c r="O587" t="str">
        <f>IF(samples!H124=0,"",samples!H124)</f>
        <v/>
      </c>
      <c r="P587">
        <f>IFERROR(SEARCH(search!$B$6,samples!H124,1),0)</f>
        <v>0</v>
      </c>
      <c r="Q587" t="str">
        <f>IF(samples!I124=0,"",samples!I124)</f>
        <v/>
      </c>
      <c r="R587">
        <f>IFERROR(SEARCH(search!$B$6,samples!I124,1),0)</f>
        <v>0</v>
      </c>
      <c r="S587" t="str">
        <f>IF(samples!J124=0,"",samples!J124)</f>
        <v/>
      </c>
      <c r="T587">
        <f>IFERROR(SEARCH(search!$B$6,samples!J124,1),0)</f>
        <v>0</v>
      </c>
      <c r="U587" t="str">
        <f>IF(samples!K124=0,"",samples!K124)</f>
        <v/>
      </c>
      <c r="V587">
        <f>IFERROR(SEARCH(search!$B$6,samples!K124,1),0)</f>
        <v>0</v>
      </c>
      <c r="W587" t="str">
        <f>IF(samples!L124=0,"",samples!L124)</f>
        <v/>
      </c>
      <c r="X587">
        <f>IFERROR(SEARCH(search!$B$6,samples!L124,1),0)</f>
        <v>0</v>
      </c>
      <c r="Y587" t="str">
        <f>IF(samples!M124=0,"",samples!M124)</f>
        <v/>
      </c>
      <c r="Z587">
        <f>IFERROR(SEARCH(search!$B$6,samples!M124,1),0)</f>
        <v>0</v>
      </c>
      <c r="AA587" t="str">
        <f>IF(samples!N124=0,"",samples!N124)</f>
        <v/>
      </c>
      <c r="AB587">
        <f>IFERROR(SEARCH(search!$B$6,samples!N124,1),0)</f>
        <v>0</v>
      </c>
      <c r="AC587" t="str">
        <f>IF(samples!O124=0,"",samples!O124)</f>
        <v/>
      </c>
      <c r="AD587">
        <f>IFERROR(SEARCH(search!$B$6,samples!O124,1),0)</f>
        <v>0</v>
      </c>
    </row>
    <row r="588" spans="1:30">
      <c r="A588">
        <f t="shared" si="9"/>
        <v>0</v>
      </c>
      <c r="B588">
        <f>IF(SUM(D588,F588,H588,J588,L588,N588,P588,R588,T588,V588,X588,Z588,AB588,AD588)&gt;0,SUM($A$2:A588),0)</f>
        <v>0</v>
      </c>
      <c r="C588">
        <f>samples!B125</f>
        <v>0</v>
      </c>
      <c r="D588">
        <f>IFERROR(SEARCH(search!$B$6,samples!B125,1),0)</f>
        <v>0</v>
      </c>
      <c r="E588" t="str">
        <f>IF(samples!C125=0,"",samples!C125)</f>
        <v/>
      </c>
      <c r="F588">
        <f>IFERROR(SEARCH(search!$B$6,samples!C125,1),0)</f>
        <v>0</v>
      </c>
      <c r="G588" t="str">
        <f>IF(samples!D125=0,"",samples!D125)</f>
        <v/>
      </c>
      <c r="H588">
        <f>IFERROR(SEARCH(search!$B$6,samples!D125,1),0)</f>
        <v>0</v>
      </c>
      <c r="I588" t="str">
        <f>IF(samples!E125=0,"",samples!E125)</f>
        <v/>
      </c>
      <c r="J588">
        <f>IFERROR(SEARCH(search!$B$6,samples!E125,1),0)</f>
        <v>0</v>
      </c>
      <c r="K588" t="str">
        <f>IF(samples!F125=0,"",samples!F125)</f>
        <v/>
      </c>
      <c r="L588">
        <f>IFERROR(SEARCH(search!$B$6,samples!F125,1),0)</f>
        <v>0</v>
      </c>
      <c r="M588" t="str">
        <f>IF(samples!G125=0,"",samples!G125)</f>
        <v/>
      </c>
      <c r="N588">
        <f>IFERROR(SEARCH(search!$B$6,samples!G125,1),0)</f>
        <v>0</v>
      </c>
      <c r="O588" t="str">
        <f>IF(samples!H125=0,"",samples!H125)</f>
        <v/>
      </c>
      <c r="P588">
        <f>IFERROR(SEARCH(search!$B$6,samples!H125,1),0)</f>
        <v>0</v>
      </c>
      <c r="Q588" t="str">
        <f>IF(samples!I125=0,"",samples!I125)</f>
        <v/>
      </c>
      <c r="R588">
        <f>IFERROR(SEARCH(search!$B$6,samples!I125,1),0)</f>
        <v>0</v>
      </c>
      <c r="S588" t="str">
        <f>IF(samples!J125=0,"",samples!J125)</f>
        <v/>
      </c>
      <c r="T588">
        <f>IFERROR(SEARCH(search!$B$6,samples!J125,1),0)</f>
        <v>0</v>
      </c>
      <c r="U588" t="str">
        <f>IF(samples!K125=0,"",samples!K125)</f>
        <v/>
      </c>
      <c r="V588">
        <f>IFERROR(SEARCH(search!$B$6,samples!K125,1),0)</f>
        <v>0</v>
      </c>
      <c r="W588" t="str">
        <f>IF(samples!L125=0,"",samples!L125)</f>
        <v/>
      </c>
      <c r="X588">
        <f>IFERROR(SEARCH(search!$B$6,samples!L125,1),0)</f>
        <v>0</v>
      </c>
      <c r="Y588" t="str">
        <f>IF(samples!M125=0,"",samples!M125)</f>
        <v/>
      </c>
      <c r="Z588">
        <f>IFERROR(SEARCH(search!$B$6,samples!M125,1),0)</f>
        <v>0</v>
      </c>
      <c r="AA588" t="str">
        <f>IF(samples!N125=0,"",samples!N125)</f>
        <v/>
      </c>
      <c r="AB588">
        <f>IFERROR(SEARCH(search!$B$6,samples!N125,1),0)</f>
        <v>0</v>
      </c>
      <c r="AC588" t="str">
        <f>IF(samples!O125=0,"",samples!O125)</f>
        <v/>
      </c>
      <c r="AD588">
        <f>IFERROR(SEARCH(search!$B$6,samples!O125,1),0)</f>
        <v>0</v>
      </c>
    </row>
    <row r="589" spans="1:30">
      <c r="A589">
        <f t="shared" si="9"/>
        <v>0</v>
      </c>
      <c r="B589">
        <f>IF(SUM(D589,F589,H589,J589,L589,N589,P589,R589,T589,V589,X589,Z589,AB589,AD589)&gt;0,SUM($A$2:A589),0)</f>
        <v>0</v>
      </c>
      <c r="C589">
        <f>samples!B126</f>
        <v>0</v>
      </c>
      <c r="D589">
        <f>IFERROR(SEARCH(search!$B$6,samples!B126,1),0)</f>
        <v>0</v>
      </c>
      <c r="E589" t="str">
        <f>IF(samples!C126=0,"",samples!C126)</f>
        <v/>
      </c>
      <c r="F589">
        <f>IFERROR(SEARCH(search!$B$6,samples!C126,1),0)</f>
        <v>0</v>
      </c>
      <c r="G589" t="str">
        <f>IF(samples!D126=0,"",samples!D126)</f>
        <v/>
      </c>
      <c r="H589">
        <f>IFERROR(SEARCH(search!$B$6,samples!D126,1),0)</f>
        <v>0</v>
      </c>
      <c r="I589" t="str">
        <f>IF(samples!E126=0,"",samples!E126)</f>
        <v/>
      </c>
      <c r="J589">
        <f>IFERROR(SEARCH(search!$B$6,samples!E126,1),0)</f>
        <v>0</v>
      </c>
      <c r="K589" t="str">
        <f>IF(samples!F126=0,"",samples!F126)</f>
        <v/>
      </c>
      <c r="L589">
        <f>IFERROR(SEARCH(search!$B$6,samples!F126,1),0)</f>
        <v>0</v>
      </c>
      <c r="M589" t="str">
        <f>IF(samples!G126=0,"",samples!G126)</f>
        <v/>
      </c>
      <c r="N589">
        <f>IFERROR(SEARCH(search!$B$6,samples!G126,1),0)</f>
        <v>0</v>
      </c>
      <c r="O589" t="str">
        <f>IF(samples!H126=0,"",samples!H126)</f>
        <v/>
      </c>
      <c r="P589">
        <f>IFERROR(SEARCH(search!$B$6,samples!H126,1),0)</f>
        <v>0</v>
      </c>
      <c r="Q589" t="str">
        <f>IF(samples!I126=0,"",samples!I126)</f>
        <v/>
      </c>
      <c r="R589">
        <f>IFERROR(SEARCH(search!$B$6,samples!I126,1),0)</f>
        <v>0</v>
      </c>
      <c r="S589" t="str">
        <f>IF(samples!J126=0,"",samples!J126)</f>
        <v/>
      </c>
      <c r="T589">
        <f>IFERROR(SEARCH(search!$B$6,samples!J126,1),0)</f>
        <v>0</v>
      </c>
      <c r="U589" t="str">
        <f>IF(samples!K126=0,"",samples!K126)</f>
        <v/>
      </c>
      <c r="V589">
        <f>IFERROR(SEARCH(search!$B$6,samples!K126,1),0)</f>
        <v>0</v>
      </c>
      <c r="W589" t="str">
        <f>IF(samples!L126=0,"",samples!L126)</f>
        <v/>
      </c>
      <c r="X589">
        <f>IFERROR(SEARCH(search!$B$6,samples!L126,1),0)</f>
        <v>0</v>
      </c>
      <c r="Y589" t="str">
        <f>IF(samples!M126=0,"",samples!M126)</f>
        <v/>
      </c>
      <c r="Z589">
        <f>IFERROR(SEARCH(search!$B$6,samples!M126,1),0)</f>
        <v>0</v>
      </c>
      <c r="AA589" t="str">
        <f>IF(samples!N126=0,"",samples!N126)</f>
        <v/>
      </c>
      <c r="AB589">
        <f>IFERROR(SEARCH(search!$B$6,samples!N126,1),0)</f>
        <v>0</v>
      </c>
      <c r="AC589" t="str">
        <f>IF(samples!O126=0,"",samples!O126)</f>
        <v/>
      </c>
      <c r="AD589">
        <f>IFERROR(SEARCH(search!$B$6,samples!O126,1),0)</f>
        <v>0</v>
      </c>
    </row>
    <row r="590" spans="1:30">
      <c r="A590">
        <f t="shared" si="9"/>
        <v>0</v>
      </c>
      <c r="B590">
        <f>IF(SUM(D590,F590,H590,J590,L590,N590,P590,R590,T590,V590,X590,Z590,AB590,AD590)&gt;0,SUM($A$2:A590),0)</f>
        <v>0</v>
      </c>
      <c r="C590">
        <f>samples!B127</f>
        <v>0</v>
      </c>
      <c r="D590">
        <f>IFERROR(SEARCH(search!$B$6,samples!B127,1),0)</f>
        <v>0</v>
      </c>
      <c r="E590" t="str">
        <f>IF(samples!C127=0,"",samples!C127)</f>
        <v/>
      </c>
      <c r="F590">
        <f>IFERROR(SEARCH(search!$B$6,samples!C127,1),0)</f>
        <v>0</v>
      </c>
      <c r="G590" t="str">
        <f>IF(samples!D127=0,"",samples!D127)</f>
        <v/>
      </c>
      <c r="H590">
        <f>IFERROR(SEARCH(search!$B$6,samples!D127,1),0)</f>
        <v>0</v>
      </c>
      <c r="I590" t="str">
        <f>IF(samples!E127=0,"",samples!E127)</f>
        <v/>
      </c>
      <c r="J590">
        <f>IFERROR(SEARCH(search!$B$6,samples!E127,1),0)</f>
        <v>0</v>
      </c>
      <c r="K590" t="str">
        <f>IF(samples!F127=0,"",samples!F127)</f>
        <v/>
      </c>
      <c r="L590">
        <f>IFERROR(SEARCH(search!$B$6,samples!F127,1),0)</f>
        <v>0</v>
      </c>
      <c r="M590" t="str">
        <f>IF(samples!G127=0,"",samples!G127)</f>
        <v/>
      </c>
      <c r="N590">
        <f>IFERROR(SEARCH(search!$B$6,samples!G127,1),0)</f>
        <v>0</v>
      </c>
      <c r="O590" t="str">
        <f>IF(samples!H127=0,"",samples!H127)</f>
        <v/>
      </c>
      <c r="P590">
        <f>IFERROR(SEARCH(search!$B$6,samples!H127,1),0)</f>
        <v>0</v>
      </c>
      <c r="Q590" t="str">
        <f>IF(samples!I127=0,"",samples!I127)</f>
        <v/>
      </c>
      <c r="R590">
        <f>IFERROR(SEARCH(search!$B$6,samples!I127,1),0)</f>
        <v>0</v>
      </c>
      <c r="S590" t="str">
        <f>IF(samples!J127=0,"",samples!J127)</f>
        <v/>
      </c>
      <c r="T590">
        <f>IFERROR(SEARCH(search!$B$6,samples!J127,1),0)</f>
        <v>0</v>
      </c>
      <c r="U590" t="str">
        <f>IF(samples!K127=0,"",samples!K127)</f>
        <v/>
      </c>
      <c r="V590">
        <f>IFERROR(SEARCH(search!$B$6,samples!K127,1),0)</f>
        <v>0</v>
      </c>
      <c r="W590" t="str">
        <f>IF(samples!L127=0,"",samples!L127)</f>
        <v/>
      </c>
      <c r="X590">
        <f>IFERROR(SEARCH(search!$B$6,samples!L127,1),0)</f>
        <v>0</v>
      </c>
      <c r="Y590" t="str">
        <f>IF(samples!M127=0,"",samples!M127)</f>
        <v/>
      </c>
      <c r="Z590">
        <f>IFERROR(SEARCH(search!$B$6,samples!M127,1),0)</f>
        <v>0</v>
      </c>
      <c r="AA590" t="str">
        <f>IF(samples!N127=0,"",samples!N127)</f>
        <v/>
      </c>
      <c r="AB590">
        <f>IFERROR(SEARCH(search!$B$6,samples!N127,1),0)</f>
        <v>0</v>
      </c>
      <c r="AC590" t="str">
        <f>IF(samples!O127=0,"",samples!O127)</f>
        <v/>
      </c>
      <c r="AD590">
        <f>IFERROR(SEARCH(search!$B$6,samples!O127,1),0)</f>
        <v>0</v>
      </c>
    </row>
    <row r="591" spans="1:30">
      <c r="A591">
        <f t="shared" si="9"/>
        <v>0</v>
      </c>
      <c r="B591">
        <f>IF(SUM(D591,F591,H591,J591,L591,N591,P591,R591,T591,V591,X591,Z591,AB591,AD591)&gt;0,SUM($A$2:A591),0)</f>
        <v>0</v>
      </c>
      <c r="C591">
        <f>samples!B128</f>
        <v>0</v>
      </c>
      <c r="D591">
        <f>IFERROR(SEARCH(search!$B$6,samples!B128,1),0)</f>
        <v>0</v>
      </c>
      <c r="E591" t="str">
        <f>IF(samples!C128=0,"",samples!C128)</f>
        <v/>
      </c>
      <c r="F591">
        <f>IFERROR(SEARCH(search!$B$6,samples!C128,1),0)</f>
        <v>0</v>
      </c>
      <c r="G591" t="str">
        <f>IF(samples!D128=0,"",samples!D128)</f>
        <v/>
      </c>
      <c r="H591">
        <f>IFERROR(SEARCH(search!$B$6,samples!D128,1),0)</f>
        <v>0</v>
      </c>
      <c r="I591" t="str">
        <f>IF(samples!E128=0,"",samples!E128)</f>
        <v/>
      </c>
      <c r="J591">
        <f>IFERROR(SEARCH(search!$B$6,samples!E128,1),0)</f>
        <v>0</v>
      </c>
      <c r="K591" t="str">
        <f>IF(samples!F128=0,"",samples!F128)</f>
        <v/>
      </c>
      <c r="L591">
        <f>IFERROR(SEARCH(search!$B$6,samples!F128,1),0)</f>
        <v>0</v>
      </c>
      <c r="M591" t="str">
        <f>IF(samples!G128=0,"",samples!G128)</f>
        <v/>
      </c>
      <c r="N591">
        <f>IFERROR(SEARCH(search!$B$6,samples!G128,1),0)</f>
        <v>0</v>
      </c>
      <c r="O591" t="str">
        <f>IF(samples!H128=0,"",samples!H128)</f>
        <v/>
      </c>
      <c r="P591">
        <f>IFERROR(SEARCH(search!$B$6,samples!H128,1),0)</f>
        <v>0</v>
      </c>
      <c r="Q591" t="str">
        <f>IF(samples!I128=0,"",samples!I128)</f>
        <v/>
      </c>
      <c r="R591">
        <f>IFERROR(SEARCH(search!$B$6,samples!I128,1),0)</f>
        <v>0</v>
      </c>
      <c r="S591" t="str">
        <f>IF(samples!J128=0,"",samples!J128)</f>
        <v/>
      </c>
      <c r="T591">
        <f>IFERROR(SEARCH(search!$B$6,samples!J128,1),0)</f>
        <v>0</v>
      </c>
      <c r="U591" t="str">
        <f>IF(samples!K128=0,"",samples!K128)</f>
        <v/>
      </c>
      <c r="V591">
        <f>IFERROR(SEARCH(search!$B$6,samples!K128,1),0)</f>
        <v>0</v>
      </c>
      <c r="W591" t="str">
        <f>IF(samples!L128=0,"",samples!L128)</f>
        <v/>
      </c>
      <c r="X591">
        <f>IFERROR(SEARCH(search!$B$6,samples!L128,1),0)</f>
        <v>0</v>
      </c>
      <c r="Y591" t="str">
        <f>IF(samples!M128=0,"",samples!M128)</f>
        <v/>
      </c>
      <c r="Z591">
        <f>IFERROR(SEARCH(search!$B$6,samples!M128,1),0)</f>
        <v>0</v>
      </c>
      <c r="AA591" t="str">
        <f>IF(samples!N128=0,"",samples!N128)</f>
        <v/>
      </c>
      <c r="AB591">
        <f>IFERROR(SEARCH(search!$B$6,samples!N128,1),0)</f>
        <v>0</v>
      </c>
      <c r="AC591" t="str">
        <f>IF(samples!O128=0,"",samples!O128)</f>
        <v/>
      </c>
      <c r="AD591">
        <f>IFERROR(SEARCH(search!$B$6,samples!O128,1),0)</f>
        <v>0</v>
      </c>
    </row>
    <row r="592" spans="1:30">
      <c r="A592">
        <f t="shared" si="9"/>
        <v>0</v>
      </c>
      <c r="B592">
        <f>IF(SUM(D592,F592,H592,J592,L592,N592,P592,R592,T592,V592,X592,Z592,AB592,AD592)&gt;0,SUM($A$2:A592),0)</f>
        <v>0</v>
      </c>
      <c r="C592">
        <f>samples!B129</f>
        <v>0</v>
      </c>
      <c r="D592">
        <f>IFERROR(SEARCH(search!$B$6,samples!B129,1),0)</f>
        <v>0</v>
      </c>
      <c r="E592" t="str">
        <f>IF(samples!C129=0,"",samples!C129)</f>
        <v/>
      </c>
      <c r="F592">
        <f>IFERROR(SEARCH(search!$B$6,samples!C129,1),0)</f>
        <v>0</v>
      </c>
      <c r="G592" t="str">
        <f>IF(samples!D129=0,"",samples!D129)</f>
        <v/>
      </c>
      <c r="H592">
        <f>IFERROR(SEARCH(search!$B$6,samples!D129,1),0)</f>
        <v>0</v>
      </c>
      <c r="I592" t="str">
        <f>IF(samples!E129=0,"",samples!E129)</f>
        <v/>
      </c>
      <c r="J592">
        <f>IFERROR(SEARCH(search!$B$6,samples!E129,1),0)</f>
        <v>0</v>
      </c>
      <c r="K592" t="str">
        <f>IF(samples!F129=0,"",samples!F129)</f>
        <v/>
      </c>
      <c r="L592">
        <f>IFERROR(SEARCH(search!$B$6,samples!F129,1),0)</f>
        <v>0</v>
      </c>
      <c r="M592" t="str">
        <f>IF(samples!G129=0,"",samples!G129)</f>
        <v/>
      </c>
      <c r="N592">
        <f>IFERROR(SEARCH(search!$B$6,samples!G129,1),0)</f>
        <v>0</v>
      </c>
      <c r="O592" t="str">
        <f>IF(samples!H129=0,"",samples!H129)</f>
        <v/>
      </c>
      <c r="P592">
        <f>IFERROR(SEARCH(search!$B$6,samples!H129,1),0)</f>
        <v>0</v>
      </c>
      <c r="Q592" t="str">
        <f>IF(samples!I129=0,"",samples!I129)</f>
        <v/>
      </c>
      <c r="R592">
        <f>IFERROR(SEARCH(search!$B$6,samples!I129,1),0)</f>
        <v>0</v>
      </c>
      <c r="S592" t="str">
        <f>IF(samples!J129=0,"",samples!J129)</f>
        <v/>
      </c>
      <c r="T592">
        <f>IFERROR(SEARCH(search!$B$6,samples!J129,1),0)</f>
        <v>0</v>
      </c>
      <c r="U592" t="str">
        <f>IF(samples!K129=0,"",samples!K129)</f>
        <v/>
      </c>
      <c r="V592">
        <f>IFERROR(SEARCH(search!$B$6,samples!K129,1),0)</f>
        <v>0</v>
      </c>
      <c r="W592" t="str">
        <f>IF(samples!L129=0,"",samples!L129)</f>
        <v/>
      </c>
      <c r="X592">
        <f>IFERROR(SEARCH(search!$B$6,samples!L129,1),0)</f>
        <v>0</v>
      </c>
      <c r="Y592" t="str">
        <f>IF(samples!M129=0,"",samples!M129)</f>
        <v/>
      </c>
      <c r="Z592">
        <f>IFERROR(SEARCH(search!$B$6,samples!M129,1),0)</f>
        <v>0</v>
      </c>
      <c r="AA592" t="str">
        <f>IF(samples!N129=0,"",samples!N129)</f>
        <v/>
      </c>
      <c r="AB592">
        <f>IFERROR(SEARCH(search!$B$6,samples!N129,1),0)</f>
        <v>0</v>
      </c>
      <c r="AC592" t="str">
        <f>IF(samples!O129=0,"",samples!O129)</f>
        <v/>
      </c>
      <c r="AD592">
        <f>IFERROR(SEARCH(search!$B$6,samples!O129,1),0)</f>
        <v>0</v>
      </c>
    </row>
    <row r="593" spans="1:30">
      <c r="A593">
        <f t="shared" si="9"/>
        <v>0</v>
      </c>
      <c r="B593">
        <f>IF(SUM(D593,F593,H593,J593,L593,N593,P593,R593,T593,V593,X593,Z593,AB593,AD593)&gt;0,SUM($A$2:A593),0)</f>
        <v>0</v>
      </c>
      <c r="C593">
        <f>samples!B130</f>
        <v>0</v>
      </c>
      <c r="D593">
        <f>IFERROR(SEARCH(search!$B$6,samples!B130,1),0)</f>
        <v>0</v>
      </c>
      <c r="E593" t="str">
        <f>IF(samples!C130=0,"",samples!C130)</f>
        <v/>
      </c>
      <c r="F593">
        <f>IFERROR(SEARCH(search!$B$6,samples!C130,1),0)</f>
        <v>0</v>
      </c>
      <c r="G593" t="str">
        <f>IF(samples!D130=0,"",samples!D130)</f>
        <v/>
      </c>
      <c r="H593">
        <f>IFERROR(SEARCH(search!$B$6,samples!D130,1),0)</f>
        <v>0</v>
      </c>
      <c r="I593" t="str">
        <f>IF(samples!E130=0,"",samples!E130)</f>
        <v/>
      </c>
      <c r="J593">
        <f>IFERROR(SEARCH(search!$B$6,samples!E130,1),0)</f>
        <v>0</v>
      </c>
      <c r="K593" t="str">
        <f>IF(samples!F130=0,"",samples!F130)</f>
        <v/>
      </c>
      <c r="L593">
        <f>IFERROR(SEARCH(search!$B$6,samples!F130,1),0)</f>
        <v>0</v>
      </c>
      <c r="M593" t="str">
        <f>IF(samples!G130=0,"",samples!G130)</f>
        <v/>
      </c>
      <c r="N593">
        <f>IFERROR(SEARCH(search!$B$6,samples!G130,1),0)</f>
        <v>0</v>
      </c>
      <c r="O593" t="str">
        <f>IF(samples!H130=0,"",samples!H130)</f>
        <v/>
      </c>
      <c r="P593">
        <f>IFERROR(SEARCH(search!$B$6,samples!H130,1),0)</f>
        <v>0</v>
      </c>
      <c r="Q593" t="str">
        <f>IF(samples!I130=0,"",samples!I130)</f>
        <v/>
      </c>
      <c r="R593">
        <f>IFERROR(SEARCH(search!$B$6,samples!I130,1),0)</f>
        <v>0</v>
      </c>
      <c r="S593" t="str">
        <f>IF(samples!J130=0,"",samples!J130)</f>
        <v/>
      </c>
      <c r="T593">
        <f>IFERROR(SEARCH(search!$B$6,samples!J130,1),0)</f>
        <v>0</v>
      </c>
      <c r="U593" t="str">
        <f>IF(samples!K130=0,"",samples!K130)</f>
        <v/>
      </c>
      <c r="V593">
        <f>IFERROR(SEARCH(search!$B$6,samples!K130,1),0)</f>
        <v>0</v>
      </c>
      <c r="W593" t="str">
        <f>IF(samples!L130=0,"",samples!L130)</f>
        <v/>
      </c>
      <c r="X593">
        <f>IFERROR(SEARCH(search!$B$6,samples!L130,1),0)</f>
        <v>0</v>
      </c>
      <c r="Y593" t="str">
        <f>IF(samples!M130=0,"",samples!M130)</f>
        <v/>
      </c>
      <c r="Z593">
        <f>IFERROR(SEARCH(search!$B$6,samples!M130,1),0)</f>
        <v>0</v>
      </c>
      <c r="AA593" t="str">
        <f>IF(samples!N130=0,"",samples!N130)</f>
        <v/>
      </c>
      <c r="AB593">
        <f>IFERROR(SEARCH(search!$B$6,samples!N130,1),0)</f>
        <v>0</v>
      </c>
      <c r="AC593" t="str">
        <f>IF(samples!O130=0,"",samples!O130)</f>
        <v/>
      </c>
      <c r="AD593">
        <f>IFERROR(SEARCH(search!$B$6,samples!O130,1),0)</f>
        <v>0</v>
      </c>
    </row>
    <row r="594" spans="1:30">
      <c r="A594">
        <f t="shared" si="9"/>
        <v>0</v>
      </c>
      <c r="B594">
        <f>IF(SUM(D594,F594,H594,J594,L594,N594,P594,R594,T594,V594,X594,Z594,AB594,AD594)&gt;0,SUM($A$2:A594),0)</f>
        <v>0</v>
      </c>
      <c r="C594">
        <f>samples!B131</f>
        <v>0</v>
      </c>
      <c r="D594">
        <f>IFERROR(SEARCH(search!$B$6,samples!B131,1),0)</f>
        <v>0</v>
      </c>
      <c r="E594" t="str">
        <f>IF(samples!C131=0,"",samples!C131)</f>
        <v/>
      </c>
      <c r="F594">
        <f>IFERROR(SEARCH(search!$B$6,samples!C131,1),0)</f>
        <v>0</v>
      </c>
      <c r="G594" t="str">
        <f>IF(samples!D131=0,"",samples!D131)</f>
        <v/>
      </c>
      <c r="H594">
        <f>IFERROR(SEARCH(search!$B$6,samples!D131,1),0)</f>
        <v>0</v>
      </c>
      <c r="I594" t="str">
        <f>IF(samples!E131=0,"",samples!E131)</f>
        <v/>
      </c>
      <c r="J594">
        <f>IFERROR(SEARCH(search!$B$6,samples!E131,1),0)</f>
        <v>0</v>
      </c>
      <c r="K594" t="str">
        <f>IF(samples!F131=0,"",samples!F131)</f>
        <v/>
      </c>
      <c r="L594">
        <f>IFERROR(SEARCH(search!$B$6,samples!F131,1),0)</f>
        <v>0</v>
      </c>
      <c r="M594" t="str">
        <f>IF(samples!G131=0,"",samples!G131)</f>
        <v/>
      </c>
      <c r="N594">
        <f>IFERROR(SEARCH(search!$B$6,samples!G131,1),0)</f>
        <v>0</v>
      </c>
      <c r="O594" t="str">
        <f>IF(samples!H131=0,"",samples!H131)</f>
        <v/>
      </c>
      <c r="P594">
        <f>IFERROR(SEARCH(search!$B$6,samples!H131,1),0)</f>
        <v>0</v>
      </c>
      <c r="Q594" t="str">
        <f>IF(samples!I131=0,"",samples!I131)</f>
        <v/>
      </c>
      <c r="R594">
        <f>IFERROR(SEARCH(search!$B$6,samples!I131,1),0)</f>
        <v>0</v>
      </c>
      <c r="S594" t="str">
        <f>IF(samples!J131=0,"",samples!J131)</f>
        <v/>
      </c>
      <c r="T594">
        <f>IFERROR(SEARCH(search!$B$6,samples!J131,1),0)</f>
        <v>0</v>
      </c>
      <c r="U594" t="str">
        <f>IF(samples!K131=0,"",samples!K131)</f>
        <v/>
      </c>
      <c r="V594">
        <f>IFERROR(SEARCH(search!$B$6,samples!K131,1),0)</f>
        <v>0</v>
      </c>
      <c r="W594" t="str">
        <f>IF(samples!L131=0,"",samples!L131)</f>
        <v/>
      </c>
      <c r="X594">
        <f>IFERROR(SEARCH(search!$B$6,samples!L131,1),0)</f>
        <v>0</v>
      </c>
      <c r="Y594" t="str">
        <f>IF(samples!M131=0,"",samples!M131)</f>
        <v/>
      </c>
      <c r="Z594">
        <f>IFERROR(SEARCH(search!$B$6,samples!M131,1),0)</f>
        <v>0</v>
      </c>
      <c r="AA594" t="str">
        <f>IF(samples!N131=0,"",samples!N131)</f>
        <v/>
      </c>
      <c r="AB594">
        <f>IFERROR(SEARCH(search!$B$6,samples!N131,1),0)</f>
        <v>0</v>
      </c>
      <c r="AC594" t="str">
        <f>IF(samples!O131=0,"",samples!O131)</f>
        <v/>
      </c>
      <c r="AD594">
        <f>IFERROR(SEARCH(search!$B$6,samples!O131,1),0)</f>
        <v>0</v>
      </c>
    </row>
    <row r="595" spans="1:30">
      <c r="A595">
        <f t="shared" si="9"/>
        <v>0</v>
      </c>
      <c r="B595">
        <f>IF(SUM(D595,F595,H595,J595,L595,N595,P595,R595,T595,V595,X595,Z595,AB595,AD595)&gt;0,SUM($A$2:A595),0)</f>
        <v>0</v>
      </c>
      <c r="C595">
        <f>samples!B132</f>
        <v>0</v>
      </c>
      <c r="D595">
        <f>IFERROR(SEARCH(search!$B$6,samples!B132,1),0)</f>
        <v>0</v>
      </c>
      <c r="E595" t="str">
        <f>IF(samples!C132=0,"",samples!C132)</f>
        <v/>
      </c>
      <c r="F595">
        <f>IFERROR(SEARCH(search!$B$6,samples!C132,1),0)</f>
        <v>0</v>
      </c>
      <c r="G595" t="str">
        <f>IF(samples!D132=0,"",samples!D132)</f>
        <v/>
      </c>
      <c r="H595">
        <f>IFERROR(SEARCH(search!$B$6,samples!D132,1),0)</f>
        <v>0</v>
      </c>
      <c r="I595" t="str">
        <f>IF(samples!E132=0,"",samples!E132)</f>
        <v/>
      </c>
      <c r="J595">
        <f>IFERROR(SEARCH(search!$B$6,samples!E132,1),0)</f>
        <v>0</v>
      </c>
      <c r="K595" t="str">
        <f>IF(samples!F132=0,"",samples!F132)</f>
        <v/>
      </c>
      <c r="L595">
        <f>IFERROR(SEARCH(search!$B$6,samples!F132,1),0)</f>
        <v>0</v>
      </c>
      <c r="M595" t="str">
        <f>IF(samples!G132=0,"",samples!G132)</f>
        <v/>
      </c>
      <c r="N595">
        <f>IFERROR(SEARCH(search!$B$6,samples!G132,1),0)</f>
        <v>0</v>
      </c>
      <c r="O595" t="str">
        <f>IF(samples!H132=0,"",samples!H132)</f>
        <v/>
      </c>
      <c r="P595">
        <f>IFERROR(SEARCH(search!$B$6,samples!H132,1),0)</f>
        <v>0</v>
      </c>
      <c r="Q595" t="str">
        <f>IF(samples!I132=0,"",samples!I132)</f>
        <v/>
      </c>
      <c r="R595">
        <f>IFERROR(SEARCH(search!$B$6,samples!I132,1),0)</f>
        <v>0</v>
      </c>
      <c r="S595" t="str">
        <f>IF(samples!J132=0,"",samples!J132)</f>
        <v/>
      </c>
      <c r="T595">
        <f>IFERROR(SEARCH(search!$B$6,samples!J132,1),0)</f>
        <v>0</v>
      </c>
      <c r="U595" t="str">
        <f>IF(samples!K132=0,"",samples!K132)</f>
        <v/>
      </c>
      <c r="V595">
        <f>IFERROR(SEARCH(search!$B$6,samples!K132,1),0)</f>
        <v>0</v>
      </c>
      <c r="W595" t="str">
        <f>IF(samples!L132=0,"",samples!L132)</f>
        <v/>
      </c>
      <c r="X595">
        <f>IFERROR(SEARCH(search!$B$6,samples!L132,1),0)</f>
        <v>0</v>
      </c>
      <c r="Y595" t="str">
        <f>IF(samples!M132=0,"",samples!M132)</f>
        <v/>
      </c>
      <c r="Z595">
        <f>IFERROR(SEARCH(search!$B$6,samples!M132,1),0)</f>
        <v>0</v>
      </c>
      <c r="AA595" t="str">
        <f>IF(samples!N132=0,"",samples!N132)</f>
        <v/>
      </c>
      <c r="AB595">
        <f>IFERROR(SEARCH(search!$B$6,samples!N132,1),0)</f>
        <v>0</v>
      </c>
      <c r="AC595" t="str">
        <f>IF(samples!O132=0,"",samples!O132)</f>
        <v/>
      </c>
      <c r="AD595">
        <f>IFERROR(SEARCH(search!$B$6,samples!O132,1),0)</f>
        <v>0</v>
      </c>
    </row>
    <row r="596" spans="1:30">
      <c r="A596">
        <f t="shared" si="9"/>
        <v>0</v>
      </c>
      <c r="B596">
        <f>IF(SUM(D596,F596,H596,J596,L596,N596,P596,R596,T596,V596,X596,Z596,AB596,AD596)&gt;0,SUM($A$2:A596),0)</f>
        <v>0</v>
      </c>
      <c r="C596">
        <f>samples!B133</f>
        <v>0</v>
      </c>
      <c r="D596">
        <f>IFERROR(SEARCH(search!$B$6,samples!B133,1),0)</f>
        <v>0</v>
      </c>
      <c r="E596" t="str">
        <f>IF(samples!C133=0,"",samples!C133)</f>
        <v/>
      </c>
      <c r="F596">
        <f>IFERROR(SEARCH(search!$B$6,samples!C133,1),0)</f>
        <v>0</v>
      </c>
      <c r="G596" t="str">
        <f>IF(samples!D133=0,"",samples!D133)</f>
        <v/>
      </c>
      <c r="H596">
        <f>IFERROR(SEARCH(search!$B$6,samples!D133,1),0)</f>
        <v>0</v>
      </c>
      <c r="I596" t="str">
        <f>IF(samples!E133=0,"",samples!E133)</f>
        <v/>
      </c>
      <c r="J596">
        <f>IFERROR(SEARCH(search!$B$6,samples!E133,1),0)</f>
        <v>0</v>
      </c>
      <c r="K596" t="str">
        <f>IF(samples!F133=0,"",samples!F133)</f>
        <v/>
      </c>
      <c r="L596">
        <f>IFERROR(SEARCH(search!$B$6,samples!F133,1),0)</f>
        <v>0</v>
      </c>
      <c r="M596" t="str">
        <f>IF(samples!G133=0,"",samples!G133)</f>
        <v/>
      </c>
      <c r="N596">
        <f>IFERROR(SEARCH(search!$B$6,samples!G133,1),0)</f>
        <v>0</v>
      </c>
      <c r="O596" t="str">
        <f>IF(samples!H133=0,"",samples!H133)</f>
        <v/>
      </c>
      <c r="P596">
        <f>IFERROR(SEARCH(search!$B$6,samples!H133,1),0)</f>
        <v>0</v>
      </c>
      <c r="Q596" t="str">
        <f>IF(samples!I133=0,"",samples!I133)</f>
        <v/>
      </c>
      <c r="R596">
        <f>IFERROR(SEARCH(search!$B$6,samples!I133,1),0)</f>
        <v>0</v>
      </c>
      <c r="S596" t="str">
        <f>IF(samples!J133=0,"",samples!J133)</f>
        <v/>
      </c>
      <c r="T596">
        <f>IFERROR(SEARCH(search!$B$6,samples!J133,1),0)</f>
        <v>0</v>
      </c>
      <c r="U596" t="str">
        <f>IF(samples!K133=0,"",samples!K133)</f>
        <v/>
      </c>
      <c r="V596">
        <f>IFERROR(SEARCH(search!$B$6,samples!K133,1),0)</f>
        <v>0</v>
      </c>
      <c r="W596" t="str">
        <f>IF(samples!L133=0,"",samples!L133)</f>
        <v/>
      </c>
      <c r="X596">
        <f>IFERROR(SEARCH(search!$B$6,samples!L133,1),0)</f>
        <v>0</v>
      </c>
      <c r="Y596" t="str">
        <f>IF(samples!M133=0,"",samples!M133)</f>
        <v/>
      </c>
      <c r="Z596">
        <f>IFERROR(SEARCH(search!$B$6,samples!M133,1),0)</f>
        <v>0</v>
      </c>
      <c r="AA596" t="str">
        <f>IF(samples!N133=0,"",samples!N133)</f>
        <v/>
      </c>
      <c r="AB596">
        <f>IFERROR(SEARCH(search!$B$6,samples!N133,1),0)</f>
        <v>0</v>
      </c>
      <c r="AC596" t="str">
        <f>IF(samples!O133=0,"",samples!O133)</f>
        <v/>
      </c>
      <c r="AD596">
        <f>IFERROR(SEARCH(search!$B$6,samples!O133,1),0)</f>
        <v>0</v>
      </c>
    </row>
    <row r="597" spans="1:30">
      <c r="A597">
        <f t="shared" si="9"/>
        <v>0</v>
      </c>
      <c r="B597">
        <f>IF(SUM(D597,F597,H597,J597,L597,N597,P597,R597,T597,V597,X597,Z597,AB597,AD597)&gt;0,SUM($A$2:A597),0)</f>
        <v>0</v>
      </c>
      <c r="C597">
        <f>samples!B134</f>
        <v>0</v>
      </c>
      <c r="D597">
        <f>IFERROR(SEARCH(search!$B$6,samples!B134,1),0)</f>
        <v>0</v>
      </c>
      <c r="E597" t="str">
        <f>IF(samples!C134=0,"",samples!C134)</f>
        <v/>
      </c>
      <c r="F597">
        <f>IFERROR(SEARCH(search!$B$6,samples!C134,1),0)</f>
        <v>0</v>
      </c>
      <c r="G597" t="str">
        <f>IF(samples!D134=0,"",samples!D134)</f>
        <v/>
      </c>
      <c r="H597">
        <f>IFERROR(SEARCH(search!$B$6,samples!D134,1),0)</f>
        <v>0</v>
      </c>
      <c r="I597" t="str">
        <f>IF(samples!E134=0,"",samples!E134)</f>
        <v/>
      </c>
      <c r="J597">
        <f>IFERROR(SEARCH(search!$B$6,samples!E134,1),0)</f>
        <v>0</v>
      </c>
      <c r="K597" t="str">
        <f>IF(samples!F134=0,"",samples!F134)</f>
        <v/>
      </c>
      <c r="L597">
        <f>IFERROR(SEARCH(search!$B$6,samples!F134,1),0)</f>
        <v>0</v>
      </c>
      <c r="M597" t="str">
        <f>IF(samples!G134=0,"",samples!G134)</f>
        <v/>
      </c>
      <c r="N597">
        <f>IFERROR(SEARCH(search!$B$6,samples!G134,1),0)</f>
        <v>0</v>
      </c>
      <c r="O597" t="str">
        <f>IF(samples!H134=0,"",samples!H134)</f>
        <v/>
      </c>
      <c r="P597">
        <f>IFERROR(SEARCH(search!$B$6,samples!H134,1),0)</f>
        <v>0</v>
      </c>
      <c r="Q597" t="str">
        <f>IF(samples!I134=0,"",samples!I134)</f>
        <v/>
      </c>
      <c r="R597">
        <f>IFERROR(SEARCH(search!$B$6,samples!I134,1),0)</f>
        <v>0</v>
      </c>
      <c r="S597" t="str">
        <f>IF(samples!J134=0,"",samples!J134)</f>
        <v/>
      </c>
      <c r="T597">
        <f>IFERROR(SEARCH(search!$B$6,samples!J134,1),0)</f>
        <v>0</v>
      </c>
      <c r="U597" t="str">
        <f>IF(samples!K134=0,"",samples!K134)</f>
        <v/>
      </c>
      <c r="V597">
        <f>IFERROR(SEARCH(search!$B$6,samples!K134,1),0)</f>
        <v>0</v>
      </c>
      <c r="W597" t="str">
        <f>IF(samples!L134=0,"",samples!L134)</f>
        <v/>
      </c>
      <c r="X597">
        <f>IFERROR(SEARCH(search!$B$6,samples!L134,1),0)</f>
        <v>0</v>
      </c>
      <c r="Y597" t="str">
        <f>IF(samples!M134=0,"",samples!M134)</f>
        <v/>
      </c>
      <c r="Z597">
        <f>IFERROR(SEARCH(search!$B$6,samples!M134,1),0)</f>
        <v>0</v>
      </c>
      <c r="AA597" t="str">
        <f>IF(samples!N134=0,"",samples!N134)</f>
        <v/>
      </c>
      <c r="AB597">
        <f>IFERROR(SEARCH(search!$B$6,samples!N134,1),0)</f>
        <v>0</v>
      </c>
      <c r="AC597" t="str">
        <f>IF(samples!O134=0,"",samples!O134)</f>
        <v/>
      </c>
      <c r="AD597">
        <f>IFERROR(SEARCH(search!$B$6,samples!O134,1),0)</f>
        <v>0</v>
      </c>
    </row>
    <row r="598" spans="1:30">
      <c r="A598">
        <f t="shared" si="9"/>
        <v>0</v>
      </c>
      <c r="B598">
        <f>IF(SUM(D598,F598,H598,J598,L598,N598,P598,R598,T598,V598,X598,Z598,AB598,AD598)&gt;0,SUM($A$2:A598),0)</f>
        <v>0</v>
      </c>
      <c r="C598">
        <f>samples!B135</f>
        <v>0</v>
      </c>
      <c r="D598">
        <f>IFERROR(SEARCH(search!$B$6,samples!B135,1),0)</f>
        <v>0</v>
      </c>
      <c r="E598" t="str">
        <f>IF(samples!C135=0,"",samples!C135)</f>
        <v/>
      </c>
      <c r="F598">
        <f>IFERROR(SEARCH(search!$B$6,samples!C135,1),0)</f>
        <v>0</v>
      </c>
      <c r="G598" t="str">
        <f>IF(samples!D135=0,"",samples!D135)</f>
        <v/>
      </c>
      <c r="H598">
        <f>IFERROR(SEARCH(search!$B$6,samples!D135,1),0)</f>
        <v>0</v>
      </c>
      <c r="I598" t="str">
        <f>IF(samples!E135=0,"",samples!E135)</f>
        <v/>
      </c>
      <c r="J598">
        <f>IFERROR(SEARCH(search!$B$6,samples!E135,1),0)</f>
        <v>0</v>
      </c>
      <c r="K598" t="str">
        <f>IF(samples!F135=0,"",samples!F135)</f>
        <v/>
      </c>
      <c r="L598">
        <f>IFERROR(SEARCH(search!$B$6,samples!F135,1),0)</f>
        <v>0</v>
      </c>
      <c r="M598" t="str">
        <f>IF(samples!G135=0,"",samples!G135)</f>
        <v/>
      </c>
      <c r="N598">
        <f>IFERROR(SEARCH(search!$B$6,samples!G135,1),0)</f>
        <v>0</v>
      </c>
      <c r="O598" t="str">
        <f>IF(samples!H135=0,"",samples!H135)</f>
        <v/>
      </c>
      <c r="P598">
        <f>IFERROR(SEARCH(search!$B$6,samples!H135,1),0)</f>
        <v>0</v>
      </c>
      <c r="Q598" t="str">
        <f>IF(samples!I135=0,"",samples!I135)</f>
        <v/>
      </c>
      <c r="R598">
        <f>IFERROR(SEARCH(search!$B$6,samples!I135,1),0)</f>
        <v>0</v>
      </c>
      <c r="S598" t="str">
        <f>IF(samples!J135=0,"",samples!J135)</f>
        <v/>
      </c>
      <c r="T598">
        <f>IFERROR(SEARCH(search!$B$6,samples!J135,1),0)</f>
        <v>0</v>
      </c>
      <c r="U598" t="str">
        <f>IF(samples!K135=0,"",samples!K135)</f>
        <v/>
      </c>
      <c r="V598">
        <f>IFERROR(SEARCH(search!$B$6,samples!K135,1),0)</f>
        <v>0</v>
      </c>
      <c r="W598" t="str">
        <f>IF(samples!L135=0,"",samples!L135)</f>
        <v/>
      </c>
      <c r="X598">
        <f>IFERROR(SEARCH(search!$B$6,samples!L135,1),0)</f>
        <v>0</v>
      </c>
      <c r="Y598" t="str">
        <f>IF(samples!M135=0,"",samples!M135)</f>
        <v/>
      </c>
      <c r="Z598">
        <f>IFERROR(SEARCH(search!$B$6,samples!M135,1),0)</f>
        <v>0</v>
      </c>
      <c r="AA598" t="str">
        <f>IF(samples!N135=0,"",samples!N135)</f>
        <v/>
      </c>
      <c r="AB598">
        <f>IFERROR(SEARCH(search!$B$6,samples!N135,1),0)</f>
        <v>0</v>
      </c>
      <c r="AC598" t="str">
        <f>IF(samples!O135=0,"",samples!O135)</f>
        <v/>
      </c>
      <c r="AD598">
        <f>IFERROR(SEARCH(search!$B$6,samples!O135,1),0)</f>
        <v>0</v>
      </c>
    </row>
    <row r="599" spans="1:30">
      <c r="A599">
        <f t="shared" si="9"/>
        <v>0</v>
      </c>
      <c r="B599">
        <f>IF(SUM(D599,F599,H599,J599,L599,N599,P599,R599,T599,V599,X599,Z599,AB599,AD599)&gt;0,SUM($A$2:A599),0)</f>
        <v>0</v>
      </c>
      <c r="C599">
        <f>samples!B136</f>
        <v>0</v>
      </c>
      <c r="D599">
        <f>IFERROR(SEARCH(search!$B$6,samples!B136,1),0)</f>
        <v>0</v>
      </c>
      <c r="E599" t="str">
        <f>IF(samples!C136=0,"",samples!C136)</f>
        <v/>
      </c>
      <c r="F599">
        <f>IFERROR(SEARCH(search!$B$6,samples!C136,1),0)</f>
        <v>0</v>
      </c>
      <c r="G599" t="str">
        <f>IF(samples!D136=0,"",samples!D136)</f>
        <v/>
      </c>
      <c r="H599">
        <f>IFERROR(SEARCH(search!$B$6,samples!D136,1),0)</f>
        <v>0</v>
      </c>
      <c r="I599" t="str">
        <f>IF(samples!E136=0,"",samples!E136)</f>
        <v/>
      </c>
      <c r="J599">
        <f>IFERROR(SEARCH(search!$B$6,samples!E136,1),0)</f>
        <v>0</v>
      </c>
      <c r="K599" t="str">
        <f>IF(samples!F136=0,"",samples!F136)</f>
        <v/>
      </c>
      <c r="L599">
        <f>IFERROR(SEARCH(search!$B$6,samples!F136,1),0)</f>
        <v>0</v>
      </c>
      <c r="M599" t="str">
        <f>IF(samples!G136=0,"",samples!G136)</f>
        <v/>
      </c>
      <c r="N599">
        <f>IFERROR(SEARCH(search!$B$6,samples!G136,1),0)</f>
        <v>0</v>
      </c>
      <c r="O599" t="str">
        <f>IF(samples!H136=0,"",samples!H136)</f>
        <v/>
      </c>
      <c r="P599">
        <f>IFERROR(SEARCH(search!$B$6,samples!H136,1),0)</f>
        <v>0</v>
      </c>
      <c r="Q599" t="str">
        <f>IF(samples!I136=0,"",samples!I136)</f>
        <v/>
      </c>
      <c r="R599">
        <f>IFERROR(SEARCH(search!$B$6,samples!I136,1),0)</f>
        <v>0</v>
      </c>
      <c r="S599" t="str">
        <f>IF(samples!J136=0,"",samples!J136)</f>
        <v/>
      </c>
      <c r="T599">
        <f>IFERROR(SEARCH(search!$B$6,samples!J136,1),0)</f>
        <v>0</v>
      </c>
      <c r="U599" t="str">
        <f>IF(samples!K136=0,"",samples!K136)</f>
        <v/>
      </c>
      <c r="V599">
        <f>IFERROR(SEARCH(search!$B$6,samples!K136,1),0)</f>
        <v>0</v>
      </c>
      <c r="W599" t="str">
        <f>IF(samples!L136=0,"",samples!L136)</f>
        <v/>
      </c>
      <c r="X599">
        <f>IFERROR(SEARCH(search!$B$6,samples!L136,1),0)</f>
        <v>0</v>
      </c>
      <c r="Y599" t="str">
        <f>IF(samples!M136=0,"",samples!M136)</f>
        <v/>
      </c>
      <c r="Z599">
        <f>IFERROR(SEARCH(search!$B$6,samples!M136,1),0)</f>
        <v>0</v>
      </c>
      <c r="AA599" t="str">
        <f>IF(samples!N136=0,"",samples!N136)</f>
        <v/>
      </c>
      <c r="AB599">
        <f>IFERROR(SEARCH(search!$B$6,samples!N136,1),0)</f>
        <v>0</v>
      </c>
      <c r="AC599" t="str">
        <f>IF(samples!O136=0,"",samples!O136)</f>
        <v/>
      </c>
      <c r="AD599">
        <f>IFERROR(SEARCH(search!$B$6,samples!O136,1),0)</f>
        <v>0</v>
      </c>
    </row>
    <row r="600" spans="1:30">
      <c r="A600">
        <f t="shared" si="9"/>
        <v>0</v>
      </c>
      <c r="B600">
        <f>IF(SUM(D600,F600,H600,J600,L600,N600,P600,R600,T600,V600,X600,Z600,AB600,AD600)&gt;0,SUM($A$2:A600),0)</f>
        <v>0</v>
      </c>
      <c r="C600">
        <f>samples!B137</f>
        <v>0</v>
      </c>
      <c r="D600">
        <f>IFERROR(SEARCH(search!$B$6,samples!B137,1),0)</f>
        <v>0</v>
      </c>
      <c r="E600" t="str">
        <f>IF(samples!C137=0,"",samples!C137)</f>
        <v/>
      </c>
      <c r="F600">
        <f>IFERROR(SEARCH(search!$B$6,samples!C137,1),0)</f>
        <v>0</v>
      </c>
      <c r="G600" t="str">
        <f>IF(samples!D137=0,"",samples!D137)</f>
        <v/>
      </c>
      <c r="H600">
        <f>IFERROR(SEARCH(search!$B$6,samples!D137,1),0)</f>
        <v>0</v>
      </c>
      <c r="I600" t="str">
        <f>IF(samples!E137=0,"",samples!E137)</f>
        <v/>
      </c>
      <c r="J600">
        <f>IFERROR(SEARCH(search!$B$6,samples!E137,1),0)</f>
        <v>0</v>
      </c>
      <c r="K600" t="str">
        <f>IF(samples!F137=0,"",samples!F137)</f>
        <v/>
      </c>
      <c r="L600">
        <f>IFERROR(SEARCH(search!$B$6,samples!F137,1),0)</f>
        <v>0</v>
      </c>
      <c r="M600" t="str">
        <f>IF(samples!G137=0,"",samples!G137)</f>
        <v/>
      </c>
      <c r="N600">
        <f>IFERROR(SEARCH(search!$B$6,samples!G137,1),0)</f>
        <v>0</v>
      </c>
      <c r="O600" t="str">
        <f>IF(samples!H137=0,"",samples!H137)</f>
        <v/>
      </c>
      <c r="P600">
        <f>IFERROR(SEARCH(search!$B$6,samples!H137,1),0)</f>
        <v>0</v>
      </c>
      <c r="Q600" t="str">
        <f>IF(samples!I137=0,"",samples!I137)</f>
        <v/>
      </c>
      <c r="R600">
        <f>IFERROR(SEARCH(search!$B$6,samples!I137,1),0)</f>
        <v>0</v>
      </c>
      <c r="S600" t="str">
        <f>IF(samples!J137=0,"",samples!J137)</f>
        <v/>
      </c>
      <c r="T600">
        <f>IFERROR(SEARCH(search!$B$6,samples!J137,1),0)</f>
        <v>0</v>
      </c>
      <c r="U600" t="str">
        <f>IF(samples!K137=0,"",samples!K137)</f>
        <v/>
      </c>
      <c r="V600">
        <f>IFERROR(SEARCH(search!$B$6,samples!K137,1),0)</f>
        <v>0</v>
      </c>
      <c r="W600" t="str">
        <f>IF(samples!L137=0,"",samples!L137)</f>
        <v/>
      </c>
      <c r="X600">
        <f>IFERROR(SEARCH(search!$B$6,samples!L137,1),0)</f>
        <v>0</v>
      </c>
      <c r="Y600" t="str">
        <f>IF(samples!M137=0,"",samples!M137)</f>
        <v/>
      </c>
      <c r="Z600">
        <f>IFERROR(SEARCH(search!$B$6,samples!M137,1),0)</f>
        <v>0</v>
      </c>
      <c r="AA600" t="str">
        <f>IF(samples!N137=0,"",samples!N137)</f>
        <v/>
      </c>
      <c r="AB600">
        <f>IFERROR(SEARCH(search!$B$6,samples!N137,1),0)</f>
        <v>0</v>
      </c>
      <c r="AC600" t="str">
        <f>IF(samples!O137=0,"",samples!O137)</f>
        <v/>
      </c>
      <c r="AD600">
        <f>IFERROR(SEARCH(search!$B$6,samples!O137,1),0)</f>
        <v>0</v>
      </c>
    </row>
    <row r="601" spans="1:30">
      <c r="A601">
        <f t="shared" si="9"/>
        <v>0</v>
      </c>
      <c r="B601">
        <f>IF(SUM(D601,F601,H601,J601,L601,N601,P601,R601,T601,V601,X601,Z601,AB601,AD601)&gt;0,SUM($A$2:A601),0)</f>
        <v>0</v>
      </c>
      <c r="C601">
        <f>samples!B138</f>
        <v>0</v>
      </c>
      <c r="D601">
        <f>IFERROR(SEARCH(search!$B$6,samples!B138,1),0)</f>
        <v>0</v>
      </c>
      <c r="E601" t="str">
        <f>IF(samples!C138=0,"",samples!C138)</f>
        <v/>
      </c>
      <c r="F601">
        <f>IFERROR(SEARCH(search!$B$6,samples!C138,1),0)</f>
        <v>0</v>
      </c>
      <c r="G601" t="str">
        <f>IF(samples!D138=0,"",samples!D138)</f>
        <v/>
      </c>
      <c r="H601">
        <f>IFERROR(SEARCH(search!$B$6,samples!D138,1),0)</f>
        <v>0</v>
      </c>
      <c r="I601" t="str">
        <f>IF(samples!E138=0,"",samples!E138)</f>
        <v/>
      </c>
      <c r="J601">
        <f>IFERROR(SEARCH(search!$B$6,samples!E138,1),0)</f>
        <v>0</v>
      </c>
      <c r="K601" t="str">
        <f>IF(samples!F138=0,"",samples!F138)</f>
        <v/>
      </c>
      <c r="L601">
        <f>IFERROR(SEARCH(search!$B$6,samples!F138,1),0)</f>
        <v>0</v>
      </c>
      <c r="M601" t="str">
        <f>IF(samples!G138=0,"",samples!G138)</f>
        <v/>
      </c>
      <c r="N601">
        <f>IFERROR(SEARCH(search!$B$6,samples!G138,1),0)</f>
        <v>0</v>
      </c>
      <c r="O601" t="str">
        <f>IF(samples!H138=0,"",samples!H138)</f>
        <v/>
      </c>
      <c r="P601">
        <f>IFERROR(SEARCH(search!$B$6,samples!H138,1),0)</f>
        <v>0</v>
      </c>
      <c r="Q601" t="str">
        <f>IF(samples!I138=0,"",samples!I138)</f>
        <v/>
      </c>
      <c r="R601">
        <f>IFERROR(SEARCH(search!$B$6,samples!I138,1),0)</f>
        <v>0</v>
      </c>
      <c r="S601" t="str">
        <f>IF(samples!J138=0,"",samples!J138)</f>
        <v/>
      </c>
      <c r="T601">
        <f>IFERROR(SEARCH(search!$B$6,samples!J138,1),0)</f>
        <v>0</v>
      </c>
      <c r="U601" t="str">
        <f>IF(samples!K138=0,"",samples!K138)</f>
        <v/>
      </c>
      <c r="V601">
        <f>IFERROR(SEARCH(search!$B$6,samples!K138,1),0)</f>
        <v>0</v>
      </c>
      <c r="W601" t="str">
        <f>IF(samples!L138=0,"",samples!L138)</f>
        <v/>
      </c>
      <c r="X601">
        <f>IFERROR(SEARCH(search!$B$6,samples!L138,1),0)</f>
        <v>0</v>
      </c>
      <c r="Y601" t="str">
        <f>IF(samples!M138=0,"",samples!M138)</f>
        <v/>
      </c>
      <c r="Z601">
        <f>IFERROR(SEARCH(search!$B$6,samples!M138,1),0)</f>
        <v>0</v>
      </c>
      <c r="AA601" t="str">
        <f>IF(samples!N138=0,"",samples!N138)</f>
        <v/>
      </c>
      <c r="AB601">
        <f>IFERROR(SEARCH(search!$B$6,samples!N138,1),0)</f>
        <v>0</v>
      </c>
      <c r="AC601" t="str">
        <f>IF(samples!O138=0,"",samples!O138)</f>
        <v/>
      </c>
      <c r="AD601">
        <f>IFERROR(SEARCH(search!$B$6,samples!O138,1),0)</f>
        <v>0</v>
      </c>
    </row>
    <row r="602" spans="1:30">
      <c r="A602">
        <f t="shared" si="9"/>
        <v>0</v>
      </c>
      <c r="B602">
        <f>IF(SUM(D602,F602,H602,J602,L602,N602,P602,R602,T602,V602,X602,Z602,AB602,AD602)&gt;0,SUM($A$2:A602),0)</f>
        <v>0</v>
      </c>
      <c r="C602">
        <f>samples!B139</f>
        <v>0</v>
      </c>
      <c r="D602">
        <f>IFERROR(SEARCH(search!$B$6,samples!B139,1),0)</f>
        <v>0</v>
      </c>
      <c r="E602" t="str">
        <f>IF(samples!C139=0,"",samples!C139)</f>
        <v/>
      </c>
      <c r="F602">
        <f>IFERROR(SEARCH(search!$B$6,samples!C139,1),0)</f>
        <v>0</v>
      </c>
      <c r="G602" t="str">
        <f>IF(samples!D139=0,"",samples!D139)</f>
        <v/>
      </c>
      <c r="H602">
        <f>IFERROR(SEARCH(search!$B$6,samples!D139,1),0)</f>
        <v>0</v>
      </c>
      <c r="I602" t="str">
        <f>IF(samples!E139=0,"",samples!E139)</f>
        <v/>
      </c>
      <c r="J602">
        <f>IFERROR(SEARCH(search!$B$6,samples!E139,1),0)</f>
        <v>0</v>
      </c>
      <c r="K602" t="str">
        <f>IF(samples!F139=0,"",samples!F139)</f>
        <v/>
      </c>
      <c r="L602">
        <f>IFERROR(SEARCH(search!$B$6,samples!F139,1),0)</f>
        <v>0</v>
      </c>
      <c r="M602" t="str">
        <f>IF(samples!G139=0,"",samples!G139)</f>
        <v/>
      </c>
      <c r="N602">
        <f>IFERROR(SEARCH(search!$B$6,samples!G139,1),0)</f>
        <v>0</v>
      </c>
      <c r="O602" t="str">
        <f>IF(samples!H139=0,"",samples!H139)</f>
        <v/>
      </c>
      <c r="P602">
        <f>IFERROR(SEARCH(search!$B$6,samples!H139,1),0)</f>
        <v>0</v>
      </c>
      <c r="Q602" t="str">
        <f>IF(samples!I139=0,"",samples!I139)</f>
        <v/>
      </c>
      <c r="R602">
        <f>IFERROR(SEARCH(search!$B$6,samples!I139,1),0)</f>
        <v>0</v>
      </c>
      <c r="S602" t="str">
        <f>IF(samples!J139=0,"",samples!J139)</f>
        <v/>
      </c>
      <c r="T602">
        <f>IFERROR(SEARCH(search!$B$6,samples!J139,1),0)</f>
        <v>0</v>
      </c>
      <c r="U602" t="str">
        <f>IF(samples!K139=0,"",samples!K139)</f>
        <v/>
      </c>
      <c r="V602">
        <f>IFERROR(SEARCH(search!$B$6,samples!K139,1),0)</f>
        <v>0</v>
      </c>
      <c r="W602" t="str">
        <f>IF(samples!L139=0,"",samples!L139)</f>
        <v/>
      </c>
      <c r="X602">
        <f>IFERROR(SEARCH(search!$B$6,samples!L139,1),0)</f>
        <v>0</v>
      </c>
      <c r="Y602" t="str">
        <f>IF(samples!M139=0,"",samples!M139)</f>
        <v/>
      </c>
      <c r="Z602">
        <f>IFERROR(SEARCH(search!$B$6,samples!M139,1),0)</f>
        <v>0</v>
      </c>
      <c r="AA602" t="str">
        <f>IF(samples!N139=0,"",samples!N139)</f>
        <v/>
      </c>
      <c r="AB602">
        <f>IFERROR(SEARCH(search!$B$6,samples!N139,1),0)</f>
        <v>0</v>
      </c>
      <c r="AC602" t="str">
        <f>IF(samples!O139=0,"",samples!O139)</f>
        <v/>
      </c>
      <c r="AD602">
        <f>IFERROR(SEARCH(search!$B$6,samples!O139,1),0)</f>
        <v>0</v>
      </c>
    </row>
    <row r="603" spans="1:30">
      <c r="A603">
        <f t="shared" si="9"/>
        <v>0</v>
      </c>
      <c r="B603">
        <f>IF(SUM(D603,F603,H603,J603,L603,N603,P603,R603,T603,V603,X603,Z603,AB603,AD603)&gt;0,SUM($A$2:A603),0)</f>
        <v>0</v>
      </c>
      <c r="C603">
        <f>samples!B140</f>
        <v>0</v>
      </c>
      <c r="D603">
        <f>IFERROR(SEARCH(search!$B$6,samples!B140,1),0)</f>
        <v>0</v>
      </c>
      <c r="E603" t="str">
        <f>IF(samples!C140=0,"",samples!C140)</f>
        <v/>
      </c>
      <c r="F603">
        <f>IFERROR(SEARCH(search!$B$6,samples!C140,1),0)</f>
        <v>0</v>
      </c>
      <c r="G603" t="str">
        <f>IF(samples!D140=0,"",samples!D140)</f>
        <v/>
      </c>
      <c r="H603">
        <f>IFERROR(SEARCH(search!$B$6,samples!D140,1),0)</f>
        <v>0</v>
      </c>
      <c r="I603" t="str">
        <f>IF(samples!E140=0,"",samples!E140)</f>
        <v/>
      </c>
      <c r="J603">
        <f>IFERROR(SEARCH(search!$B$6,samples!E140,1),0)</f>
        <v>0</v>
      </c>
      <c r="K603" t="str">
        <f>IF(samples!F140=0,"",samples!F140)</f>
        <v/>
      </c>
      <c r="L603">
        <f>IFERROR(SEARCH(search!$B$6,samples!F140,1),0)</f>
        <v>0</v>
      </c>
      <c r="M603" t="str">
        <f>IF(samples!G140=0,"",samples!G140)</f>
        <v/>
      </c>
      <c r="N603">
        <f>IFERROR(SEARCH(search!$B$6,samples!G140,1),0)</f>
        <v>0</v>
      </c>
      <c r="O603" t="str">
        <f>IF(samples!H140=0,"",samples!H140)</f>
        <v/>
      </c>
      <c r="P603">
        <f>IFERROR(SEARCH(search!$B$6,samples!H140,1),0)</f>
        <v>0</v>
      </c>
      <c r="Q603" t="str">
        <f>IF(samples!I140=0,"",samples!I140)</f>
        <v/>
      </c>
      <c r="R603">
        <f>IFERROR(SEARCH(search!$B$6,samples!I140,1),0)</f>
        <v>0</v>
      </c>
      <c r="S603" t="str">
        <f>IF(samples!J140=0,"",samples!J140)</f>
        <v/>
      </c>
      <c r="T603">
        <f>IFERROR(SEARCH(search!$B$6,samples!J140,1),0)</f>
        <v>0</v>
      </c>
      <c r="U603" t="str">
        <f>IF(samples!K140=0,"",samples!K140)</f>
        <v/>
      </c>
      <c r="V603">
        <f>IFERROR(SEARCH(search!$B$6,samples!K140,1),0)</f>
        <v>0</v>
      </c>
      <c r="W603" t="str">
        <f>IF(samples!L140=0,"",samples!L140)</f>
        <v/>
      </c>
      <c r="X603">
        <f>IFERROR(SEARCH(search!$B$6,samples!L140,1),0)</f>
        <v>0</v>
      </c>
      <c r="Y603" t="str">
        <f>IF(samples!M140=0,"",samples!M140)</f>
        <v/>
      </c>
      <c r="Z603">
        <f>IFERROR(SEARCH(search!$B$6,samples!M140,1),0)</f>
        <v>0</v>
      </c>
      <c r="AA603" t="str">
        <f>IF(samples!N140=0,"",samples!N140)</f>
        <v/>
      </c>
      <c r="AB603">
        <f>IFERROR(SEARCH(search!$B$6,samples!N140,1),0)</f>
        <v>0</v>
      </c>
      <c r="AC603" t="str">
        <f>IF(samples!O140=0,"",samples!O140)</f>
        <v/>
      </c>
      <c r="AD603">
        <f>IFERROR(SEARCH(search!$B$6,samples!O140,1),0)</f>
        <v>0</v>
      </c>
    </row>
    <row r="604" spans="1:30">
      <c r="A604">
        <f t="shared" si="9"/>
        <v>0</v>
      </c>
      <c r="B604">
        <f>IF(SUM(D604,F604,H604,J604,L604,N604,P604,R604,T604,V604,X604,Z604,AB604,AD604)&gt;0,SUM($A$2:A604),0)</f>
        <v>0</v>
      </c>
      <c r="C604">
        <f>samples!B141</f>
        <v>0</v>
      </c>
      <c r="D604">
        <f>IFERROR(SEARCH(search!$B$6,samples!B141,1),0)</f>
        <v>0</v>
      </c>
      <c r="E604" t="str">
        <f>IF(samples!C141=0,"",samples!C141)</f>
        <v/>
      </c>
      <c r="F604">
        <f>IFERROR(SEARCH(search!$B$6,samples!C141,1),0)</f>
        <v>0</v>
      </c>
      <c r="G604" t="str">
        <f>IF(samples!D141=0,"",samples!D141)</f>
        <v/>
      </c>
      <c r="H604">
        <f>IFERROR(SEARCH(search!$B$6,samples!D141,1),0)</f>
        <v>0</v>
      </c>
      <c r="I604" t="str">
        <f>IF(samples!E141=0,"",samples!E141)</f>
        <v/>
      </c>
      <c r="J604">
        <f>IFERROR(SEARCH(search!$B$6,samples!E141,1),0)</f>
        <v>0</v>
      </c>
      <c r="K604" t="str">
        <f>IF(samples!F141=0,"",samples!F141)</f>
        <v/>
      </c>
      <c r="L604">
        <f>IFERROR(SEARCH(search!$B$6,samples!F141,1),0)</f>
        <v>0</v>
      </c>
      <c r="M604" t="str">
        <f>IF(samples!G141=0,"",samples!G141)</f>
        <v/>
      </c>
      <c r="N604">
        <f>IFERROR(SEARCH(search!$B$6,samples!G141,1),0)</f>
        <v>0</v>
      </c>
      <c r="O604" t="str">
        <f>IF(samples!H141=0,"",samples!H141)</f>
        <v/>
      </c>
      <c r="P604">
        <f>IFERROR(SEARCH(search!$B$6,samples!H141,1),0)</f>
        <v>0</v>
      </c>
      <c r="Q604" t="str">
        <f>IF(samples!I141=0,"",samples!I141)</f>
        <v/>
      </c>
      <c r="R604">
        <f>IFERROR(SEARCH(search!$B$6,samples!I141,1),0)</f>
        <v>0</v>
      </c>
      <c r="S604" t="str">
        <f>IF(samples!J141=0,"",samples!J141)</f>
        <v/>
      </c>
      <c r="T604">
        <f>IFERROR(SEARCH(search!$B$6,samples!J141,1),0)</f>
        <v>0</v>
      </c>
      <c r="U604" t="str">
        <f>IF(samples!K141=0,"",samples!K141)</f>
        <v/>
      </c>
      <c r="V604">
        <f>IFERROR(SEARCH(search!$B$6,samples!K141,1),0)</f>
        <v>0</v>
      </c>
      <c r="W604" t="str">
        <f>IF(samples!L141=0,"",samples!L141)</f>
        <v/>
      </c>
      <c r="X604">
        <f>IFERROR(SEARCH(search!$B$6,samples!L141,1),0)</f>
        <v>0</v>
      </c>
      <c r="Y604" t="str">
        <f>IF(samples!M141=0,"",samples!M141)</f>
        <v/>
      </c>
      <c r="Z604">
        <f>IFERROR(SEARCH(search!$B$6,samples!M141,1),0)</f>
        <v>0</v>
      </c>
      <c r="AA604" t="str">
        <f>IF(samples!N141=0,"",samples!N141)</f>
        <v/>
      </c>
      <c r="AB604">
        <f>IFERROR(SEARCH(search!$B$6,samples!N141,1),0)</f>
        <v>0</v>
      </c>
      <c r="AC604" t="str">
        <f>IF(samples!O141=0,"",samples!O141)</f>
        <v/>
      </c>
      <c r="AD604">
        <f>IFERROR(SEARCH(search!$B$6,samples!O141,1),0)</f>
        <v>0</v>
      </c>
    </row>
    <row r="605" spans="1:30">
      <c r="A605">
        <f t="shared" si="9"/>
        <v>0</v>
      </c>
      <c r="B605">
        <f>IF(SUM(D605,F605,H605,J605,L605,N605,P605,R605,T605,V605,X605,Z605,AB605,AD605)&gt;0,SUM($A$2:A605),0)</f>
        <v>0</v>
      </c>
      <c r="C605">
        <f>samples!B142</f>
        <v>0</v>
      </c>
      <c r="D605">
        <f>IFERROR(SEARCH(search!$B$6,samples!B142,1),0)</f>
        <v>0</v>
      </c>
      <c r="E605" t="str">
        <f>IF(samples!C142=0,"",samples!C142)</f>
        <v/>
      </c>
      <c r="F605">
        <f>IFERROR(SEARCH(search!$B$6,samples!C142,1),0)</f>
        <v>0</v>
      </c>
      <c r="G605" t="str">
        <f>IF(samples!D142=0,"",samples!D142)</f>
        <v/>
      </c>
      <c r="H605">
        <f>IFERROR(SEARCH(search!$B$6,samples!D142,1),0)</f>
        <v>0</v>
      </c>
      <c r="I605" t="str">
        <f>IF(samples!E142=0,"",samples!E142)</f>
        <v/>
      </c>
      <c r="J605">
        <f>IFERROR(SEARCH(search!$B$6,samples!E142,1),0)</f>
        <v>0</v>
      </c>
      <c r="K605" t="str">
        <f>IF(samples!F142=0,"",samples!F142)</f>
        <v/>
      </c>
      <c r="L605">
        <f>IFERROR(SEARCH(search!$B$6,samples!F142,1),0)</f>
        <v>0</v>
      </c>
      <c r="M605" t="str">
        <f>IF(samples!G142=0,"",samples!G142)</f>
        <v/>
      </c>
      <c r="N605">
        <f>IFERROR(SEARCH(search!$B$6,samples!G142,1),0)</f>
        <v>0</v>
      </c>
      <c r="O605" t="str">
        <f>IF(samples!H142=0,"",samples!H142)</f>
        <v/>
      </c>
      <c r="P605">
        <f>IFERROR(SEARCH(search!$B$6,samples!H142,1),0)</f>
        <v>0</v>
      </c>
      <c r="Q605" t="str">
        <f>IF(samples!I142=0,"",samples!I142)</f>
        <v/>
      </c>
      <c r="R605">
        <f>IFERROR(SEARCH(search!$B$6,samples!I142,1),0)</f>
        <v>0</v>
      </c>
      <c r="S605" t="str">
        <f>IF(samples!J142=0,"",samples!J142)</f>
        <v/>
      </c>
      <c r="T605">
        <f>IFERROR(SEARCH(search!$B$6,samples!J142,1),0)</f>
        <v>0</v>
      </c>
      <c r="U605" t="str">
        <f>IF(samples!K142=0,"",samples!K142)</f>
        <v/>
      </c>
      <c r="V605">
        <f>IFERROR(SEARCH(search!$B$6,samples!K142,1),0)</f>
        <v>0</v>
      </c>
      <c r="W605" t="str">
        <f>IF(samples!L142=0,"",samples!L142)</f>
        <v/>
      </c>
      <c r="X605">
        <f>IFERROR(SEARCH(search!$B$6,samples!L142,1),0)</f>
        <v>0</v>
      </c>
      <c r="Y605" t="str">
        <f>IF(samples!M142=0,"",samples!M142)</f>
        <v/>
      </c>
      <c r="Z605">
        <f>IFERROR(SEARCH(search!$B$6,samples!M142,1),0)</f>
        <v>0</v>
      </c>
      <c r="AA605" t="str">
        <f>IF(samples!N142=0,"",samples!N142)</f>
        <v/>
      </c>
      <c r="AB605">
        <f>IFERROR(SEARCH(search!$B$6,samples!N142,1),0)</f>
        <v>0</v>
      </c>
      <c r="AC605" t="str">
        <f>IF(samples!O142=0,"",samples!O142)</f>
        <v/>
      </c>
      <c r="AD605">
        <f>IFERROR(SEARCH(search!$B$6,samples!O142,1),0)</f>
        <v>0</v>
      </c>
    </row>
    <row r="606" spans="1:30">
      <c r="A606">
        <f t="shared" si="9"/>
        <v>0</v>
      </c>
      <c r="B606">
        <f>IF(SUM(D606,F606,H606,J606,L606,N606,P606,R606,T606,V606,X606,Z606,AB606,AD606)&gt;0,SUM($A$2:A606),0)</f>
        <v>0</v>
      </c>
      <c r="C606">
        <f>samples!B143</f>
        <v>0</v>
      </c>
      <c r="D606">
        <f>IFERROR(SEARCH(search!$B$6,samples!B143,1),0)</f>
        <v>0</v>
      </c>
      <c r="E606" t="str">
        <f>IF(samples!C143=0,"",samples!C143)</f>
        <v/>
      </c>
      <c r="F606">
        <f>IFERROR(SEARCH(search!$B$6,samples!C143,1),0)</f>
        <v>0</v>
      </c>
      <c r="G606" t="str">
        <f>IF(samples!D143=0,"",samples!D143)</f>
        <v/>
      </c>
      <c r="H606">
        <f>IFERROR(SEARCH(search!$B$6,samples!D143,1),0)</f>
        <v>0</v>
      </c>
      <c r="I606" t="str">
        <f>IF(samples!E143=0,"",samples!E143)</f>
        <v/>
      </c>
      <c r="J606">
        <f>IFERROR(SEARCH(search!$B$6,samples!E143,1),0)</f>
        <v>0</v>
      </c>
      <c r="K606" t="str">
        <f>IF(samples!F143=0,"",samples!F143)</f>
        <v/>
      </c>
      <c r="L606">
        <f>IFERROR(SEARCH(search!$B$6,samples!F143,1),0)</f>
        <v>0</v>
      </c>
      <c r="M606" t="str">
        <f>IF(samples!G143=0,"",samples!G143)</f>
        <v/>
      </c>
      <c r="N606">
        <f>IFERROR(SEARCH(search!$B$6,samples!G143,1),0)</f>
        <v>0</v>
      </c>
      <c r="O606" t="str">
        <f>IF(samples!H143=0,"",samples!H143)</f>
        <v/>
      </c>
      <c r="P606">
        <f>IFERROR(SEARCH(search!$B$6,samples!H143,1),0)</f>
        <v>0</v>
      </c>
      <c r="Q606" t="str">
        <f>IF(samples!I143=0,"",samples!I143)</f>
        <v/>
      </c>
      <c r="R606">
        <f>IFERROR(SEARCH(search!$B$6,samples!I143,1),0)</f>
        <v>0</v>
      </c>
      <c r="S606" t="str">
        <f>IF(samples!J143=0,"",samples!J143)</f>
        <v/>
      </c>
      <c r="T606">
        <f>IFERROR(SEARCH(search!$B$6,samples!J143,1),0)</f>
        <v>0</v>
      </c>
      <c r="U606" t="str">
        <f>IF(samples!K143=0,"",samples!K143)</f>
        <v/>
      </c>
      <c r="V606">
        <f>IFERROR(SEARCH(search!$B$6,samples!K143,1),0)</f>
        <v>0</v>
      </c>
      <c r="W606" t="str">
        <f>IF(samples!L143=0,"",samples!L143)</f>
        <v/>
      </c>
      <c r="X606">
        <f>IFERROR(SEARCH(search!$B$6,samples!L143,1),0)</f>
        <v>0</v>
      </c>
      <c r="Y606" t="str">
        <f>IF(samples!M143=0,"",samples!M143)</f>
        <v/>
      </c>
      <c r="Z606">
        <f>IFERROR(SEARCH(search!$B$6,samples!M143,1),0)</f>
        <v>0</v>
      </c>
      <c r="AA606" t="str">
        <f>IF(samples!N143=0,"",samples!N143)</f>
        <v/>
      </c>
      <c r="AB606">
        <f>IFERROR(SEARCH(search!$B$6,samples!N143,1),0)</f>
        <v>0</v>
      </c>
      <c r="AC606" t="str">
        <f>IF(samples!O143=0,"",samples!O143)</f>
        <v/>
      </c>
      <c r="AD606">
        <f>IFERROR(SEARCH(search!$B$6,samples!O143,1),0)</f>
        <v>0</v>
      </c>
    </row>
    <row r="607" spans="1:30">
      <c r="A607">
        <f t="shared" si="9"/>
        <v>0</v>
      </c>
      <c r="B607">
        <f>IF(SUM(D607,F607,H607,J607,L607,N607,P607,R607,T607,V607,X607,Z607,AB607,AD607)&gt;0,SUM($A$2:A607),0)</f>
        <v>0</v>
      </c>
      <c r="C607">
        <f>samples!B144</f>
        <v>0</v>
      </c>
      <c r="D607">
        <f>IFERROR(SEARCH(search!$B$6,samples!B144,1),0)</f>
        <v>0</v>
      </c>
      <c r="E607" t="str">
        <f>IF(samples!C144=0,"",samples!C144)</f>
        <v/>
      </c>
      <c r="F607">
        <f>IFERROR(SEARCH(search!$B$6,samples!C144,1),0)</f>
        <v>0</v>
      </c>
      <c r="G607" t="str">
        <f>IF(samples!D144=0,"",samples!D144)</f>
        <v/>
      </c>
      <c r="H607">
        <f>IFERROR(SEARCH(search!$B$6,samples!D144,1),0)</f>
        <v>0</v>
      </c>
      <c r="I607" t="str">
        <f>IF(samples!E144=0,"",samples!E144)</f>
        <v/>
      </c>
      <c r="J607">
        <f>IFERROR(SEARCH(search!$B$6,samples!E144,1),0)</f>
        <v>0</v>
      </c>
      <c r="K607" t="str">
        <f>IF(samples!F144=0,"",samples!F144)</f>
        <v/>
      </c>
      <c r="L607">
        <f>IFERROR(SEARCH(search!$B$6,samples!F144,1),0)</f>
        <v>0</v>
      </c>
      <c r="M607" t="str">
        <f>IF(samples!G144=0,"",samples!G144)</f>
        <v/>
      </c>
      <c r="N607">
        <f>IFERROR(SEARCH(search!$B$6,samples!G144,1),0)</f>
        <v>0</v>
      </c>
      <c r="O607" t="str">
        <f>IF(samples!H144=0,"",samples!H144)</f>
        <v/>
      </c>
      <c r="P607">
        <f>IFERROR(SEARCH(search!$B$6,samples!H144,1),0)</f>
        <v>0</v>
      </c>
      <c r="Q607" t="str">
        <f>IF(samples!I144=0,"",samples!I144)</f>
        <v/>
      </c>
      <c r="R607">
        <f>IFERROR(SEARCH(search!$B$6,samples!I144,1),0)</f>
        <v>0</v>
      </c>
      <c r="S607" t="str">
        <f>IF(samples!J144=0,"",samples!J144)</f>
        <v/>
      </c>
      <c r="T607">
        <f>IFERROR(SEARCH(search!$B$6,samples!J144,1),0)</f>
        <v>0</v>
      </c>
      <c r="U607" t="str">
        <f>IF(samples!K144=0,"",samples!K144)</f>
        <v/>
      </c>
      <c r="V607">
        <f>IFERROR(SEARCH(search!$B$6,samples!K144,1),0)</f>
        <v>0</v>
      </c>
      <c r="W607" t="str">
        <f>IF(samples!L144=0,"",samples!L144)</f>
        <v/>
      </c>
      <c r="X607">
        <f>IFERROR(SEARCH(search!$B$6,samples!L144,1),0)</f>
        <v>0</v>
      </c>
      <c r="Y607" t="str">
        <f>IF(samples!M144=0,"",samples!M144)</f>
        <v/>
      </c>
      <c r="Z607">
        <f>IFERROR(SEARCH(search!$B$6,samples!M144,1),0)</f>
        <v>0</v>
      </c>
      <c r="AA607" t="str">
        <f>IF(samples!N144=0,"",samples!N144)</f>
        <v/>
      </c>
      <c r="AB607">
        <f>IFERROR(SEARCH(search!$B$6,samples!N144,1),0)</f>
        <v>0</v>
      </c>
      <c r="AC607" t="str">
        <f>IF(samples!O144=0,"",samples!O144)</f>
        <v/>
      </c>
      <c r="AD607">
        <f>IFERROR(SEARCH(search!$B$6,samples!O144,1),0)</f>
        <v>0</v>
      </c>
    </row>
    <row r="608" spans="1:30">
      <c r="A608">
        <f t="shared" si="9"/>
        <v>0</v>
      </c>
      <c r="B608">
        <f>IF(SUM(D608,F608,H608,J608,L608,N608,P608,R608,T608,V608,X608,Z608,AB608,AD608)&gt;0,SUM($A$2:A608),0)</f>
        <v>0</v>
      </c>
      <c r="C608">
        <f>samples!B145</f>
        <v>0</v>
      </c>
      <c r="D608">
        <f>IFERROR(SEARCH(search!$B$6,samples!B145,1),0)</f>
        <v>0</v>
      </c>
      <c r="E608" t="str">
        <f>IF(samples!C145=0,"",samples!C145)</f>
        <v/>
      </c>
      <c r="F608">
        <f>IFERROR(SEARCH(search!$B$6,samples!C145,1),0)</f>
        <v>0</v>
      </c>
      <c r="G608" t="str">
        <f>IF(samples!D145=0,"",samples!D145)</f>
        <v/>
      </c>
      <c r="H608">
        <f>IFERROR(SEARCH(search!$B$6,samples!D145,1),0)</f>
        <v>0</v>
      </c>
      <c r="I608" t="str">
        <f>IF(samples!E145=0,"",samples!E145)</f>
        <v/>
      </c>
      <c r="J608">
        <f>IFERROR(SEARCH(search!$B$6,samples!E145,1),0)</f>
        <v>0</v>
      </c>
      <c r="K608" t="str">
        <f>IF(samples!F145=0,"",samples!F145)</f>
        <v/>
      </c>
      <c r="L608">
        <f>IFERROR(SEARCH(search!$B$6,samples!F145,1),0)</f>
        <v>0</v>
      </c>
      <c r="M608" t="str">
        <f>IF(samples!G145=0,"",samples!G145)</f>
        <v/>
      </c>
      <c r="N608">
        <f>IFERROR(SEARCH(search!$B$6,samples!G145,1),0)</f>
        <v>0</v>
      </c>
      <c r="O608" t="str">
        <f>IF(samples!H145=0,"",samples!H145)</f>
        <v/>
      </c>
      <c r="P608">
        <f>IFERROR(SEARCH(search!$B$6,samples!H145,1),0)</f>
        <v>0</v>
      </c>
      <c r="Q608" t="str">
        <f>IF(samples!I145=0,"",samples!I145)</f>
        <v/>
      </c>
      <c r="R608">
        <f>IFERROR(SEARCH(search!$B$6,samples!I145,1),0)</f>
        <v>0</v>
      </c>
      <c r="S608" t="str">
        <f>IF(samples!J145=0,"",samples!J145)</f>
        <v/>
      </c>
      <c r="T608">
        <f>IFERROR(SEARCH(search!$B$6,samples!J145,1),0)</f>
        <v>0</v>
      </c>
      <c r="U608" t="str">
        <f>IF(samples!K145=0,"",samples!K145)</f>
        <v/>
      </c>
      <c r="V608">
        <f>IFERROR(SEARCH(search!$B$6,samples!K145,1),0)</f>
        <v>0</v>
      </c>
      <c r="W608" t="str">
        <f>IF(samples!L145=0,"",samples!L145)</f>
        <v/>
      </c>
      <c r="X608">
        <f>IFERROR(SEARCH(search!$B$6,samples!L145,1),0)</f>
        <v>0</v>
      </c>
      <c r="Y608" t="str">
        <f>IF(samples!M145=0,"",samples!M145)</f>
        <v/>
      </c>
      <c r="Z608">
        <f>IFERROR(SEARCH(search!$B$6,samples!M145,1),0)</f>
        <v>0</v>
      </c>
      <c r="AA608" t="str">
        <f>IF(samples!N145=0,"",samples!N145)</f>
        <v/>
      </c>
      <c r="AB608">
        <f>IFERROR(SEARCH(search!$B$6,samples!N145,1),0)</f>
        <v>0</v>
      </c>
      <c r="AC608" t="str">
        <f>IF(samples!O145=0,"",samples!O145)</f>
        <v/>
      </c>
      <c r="AD608">
        <f>IFERROR(SEARCH(search!$B$6,samples!O145,1),0)</f>
        <v>0</v>
      </c>
    </row>
    <row r="609" spans="1:30">
      <c r="A609">
        <f t="shared" si="9"/>
        <v>0</v>
      </c>
      <c r="B609">
        <f>IF(SUM(D609,F609,H609,J609,L609,N609,P609,R609,T609,V609,X609,Z609,AB609,AD609)&gt;0,SUM($A$2:A609),0)</f>
        <v>0</v>
      </c>
      <c r="C609">
        <f>samples!B146</f>
        <v>0</v>
      </c>
      <c r="D609">
        <f>IFERROR(SEARCH(search!$B$6,samples!B146,1),0)</f>
        <v>0</v>
      </c>
      <c r="E609" t="str">
        <f>IF(samples!C146=0,"",samples!C146)</f>
        <v/>
      </c>
      <c r="F609">
        <f>IFERROR(SEARCH(search!$B$6,samples!C146,1),0)</f>
        <v>0</v>
      </c>
      <c r="G609" t="str">
        <f>IF(samples!D146=0,"",samples!D146)</f>
        <v/>
      </c>
      <c r="H609">
        <f>IFERROR(SEARCH(search!$B$6,samples!D146,1),0)</f>
        <v>0</v>
      </c>
      <c r="I609" t="str">
        <f>IF(samples!E146=0,"",samples!E146)</f>
        <v/>
      </c>
      <c r="J609">
        <f>IFERROR(SEARCH(search!$B$6,samples!E146,1),0)</f>
        <v>0</v>
      </c>
      <c r="K609" t="str">
        <f>IF(samples!F146=0,"",samples!F146)</f>
        <v/>
      </c>
      <c r="L609">
        <f>IFERROR(SEARCH(search!$B$6,samples!F146,1),0)</f>
        <v>0</v>
      </c>
      <c r="M609" t="str">
        <f>IF(samples!G146=0,"",samples!G146)</f>
        <v/>
      </c>
      <c r="N609">
        <f>IFERROR(SEARCH(search!$B$6,samples!G146,1),0)</f>
        <v>0</v>
      </c>
      <c r="O609" t="str">
        <f>IF(samples!H146=0,"",samples!H146)</f>
        <v/>
      </c>
      <c r="P609">
        <f>IFERROR(SEARCH(search!$B$6,samples!H146,1),0)</f>
        <v>0</v>
      </c>
      <c r="Q609" t="str">
        <f>IF(samples!I146=0,"",samples!I146)</f>
        <v/>
      </c>
      <c r="R609">
        <f>IFERROR(SEARCH(search!$B$6,samples!I146,1),0)</f>
        <v>0</v>
      </c>
      <c r="S609" t="str">
        <f>IF(samples!J146=0,"",samples!J146)</f>
        <v/>
      </c>
      <c r="T609">
        <f>IFERROR(SEARCH(search!$B$6,samples!J146,1),0)</f>
        <v>0</v>
      </c>
      <c r="U609" t="str">
        <f>IF(samples!K146=0,"",samples!K146)</f>
        <v/>
      </c>
      <c r="V609">
        <f>IFERROR(SEARCH(search!$B$6,samples!K146,1),0)</f>
        <v>0</v>
      </c>
      <c r="W609" t="str">
        <f>IF(samples!L146=0,"",samples!L146)</f>
        <v/>
      </c>
      <c r="X609">
        <f>IFERROR(SEARCH(search!$B$6,samples!L146,1),0)</f>
        <v>0</v>
      </c>
      <c r="Y609" t="str">
        <f>IF(samples!M146=0,"",samples!M146)</f>
        <v/>
      </c>
      <c r="Z609">
        <f>IFERROR(SEARCH(search!$B$6,samples!M146,1),0)</f>
        <v>0</v>
      </c>
      <c r="AA609" t="str">
        <f>IF(samples!N146=0,"",samples!N146)</f>
        <v/>
      </c>
      <c r="AB609">
        <f>IFERROR(SEARCH(search!$B$6,samples!N146,1),0)</f>
        <v>0</v>
      </c>
      <c r="AC609" t="str">
        <f>IF(samples!O146=0,"",samples!O146)</f>
        <v/>
      </c>
      <c r="AD609">
        <f>IFERROR(SEARCH(search!$B$6,samples!O146,1),0)</f>
        <v>0</v>
      </c>
    </row>
    <row r="610" spans="1:30">
      <c r="A610">
        <f t="shared" si="9"/>
        <v>0</v>
      </c>
      <c r="B610">
        <f>IF(SUM(D610,F610,H610,J610,L610,N610,P610,R610,T610,V610,X610,Z610,AB610,AD610)&gt;0,SUM($A$2:A610),0)</f>
        <v>0</v>
      </c>
      <c r="C610">
        <f>samples!B147</f>
        <v>0</v>
      </c>
      <c r="D610">
        <f>IFERROR(SEARCH(search!$B$6,samples!B147,1),0)</f>
        <v>0</v>
      </c>
      <c r="E610" t="str">
        <f>IF(samples!C147=0,"",samples!C147)</f>
        <v/>
      </c>
      <c r="F610">
        <f>IFERROR(SEARCH(search!$B$6,samples!C147,1),0)</f>
        <v>0</v>
      </c>
      <c r="G610" t="str">
        <f>IF(samples!D147=0,"",samples!D147)</f>
        <v/>
      </c>
      <c r="H610">
        <f>IFERROR(SEARCH(search!$B$6,samples!D147,1),0)</f>
        <v>0</v>
      </c>
      <c r="I610" t="str">
        <f>IF(samples!E147=0,"",samples!E147)</f>
        <v/>
      </c>
      <c r="J610">
        <f>IFERROR(SEARCH(search!$B$6,samples!E147,1),0)</f>
        <v>0</v>
      </c>
      <c r="K610" t="str">
        <f>IF(samples!F147=0,"",samples!F147)</f>
        <v/>
      </c>
      <c r="L610">
        <f>IFERROR(SEARCH(search!$B$6,samples!F147,1),0)</f>
        <v>0</v>
      </c>
      <c r="M610" t="str">
        <f>IF(samples!G147=0,"",samples!G147)</f>
        <v/>
      </c>
      <c r="N610">
        <f>IFERROR(SEARCH(search!$B$6,samples!G147,1),0)</f>
        <v>0</v>
      </c>
      <c r="O610" t="str">
        <f>IF(samples!H147=0,"",samples!H147)</f>
        <v/>
      </c>
      <c r="P610">
        <f>IFERROR(SEARCH(search!$B$6,samples!H147,1),0)</f>
        <v>0</v>
      </c>
      <c r="Q610" t="str">
        <f>IF(samples!I147=0,"",samples!I147)</f>
        <v/>
      </c>
      <c r="R610">
        <f>IFERROR(SEARCH(search!$B$6,samples!I147,1),0)</f>
        <v>0</v>
      </c>
      <c r="S610" t="str">
        <f>IF(samples!J147=0,"",samples!J147)</f>
        <v/>
      </c>
      <c r="T610">
        <f>IFERROR(SEARCH(search!$B$6,samples!J147,1),0)</f>
        <v>0</v>
      </c>
      <c r="U610" t="str">
        <f>IF(samples!K147=0,"",samples!K147)</f>
        <v/>
      </c>
      <c r="V610">
        <f>IFERROR(SEARCH(search!$B$6,samples!K147,1),0)</f>
        <v>0</v>
      </c>
      <c r="W610" t="str">
        <f>IF(samples!L147=0,"",samples!L147)</f>
        <v/>
      </c>
      <c r="X610">
        <f>IFERROR(SEARCH(search!$B$6,samples!L147,1),0)</f>
        <v>0</v>
      </c>
      <c r="Y610" t="str">
        <f>IF(samples!M147=0,"",samples!M147)</f>
        <v/>
      </c>
      <c r="Z610">
        <f>IFERROR(SEARCH(search!$B$6,samples!M147,1),0)</f>
        <v>0</v>
      </c>
      <c r="AA610" t="str">
        <f>IF(samples!N147=0,"",samples!N147)</f>
        <v/>
      </c>
      <c r="AB610">
        <f>IFERROR(SEARCH(search!$B$6,samples!N147,1),0)</f>
        <v>0</v>
      </c>
      <c r="AC610" t="str">
        <f>IF(samples!O147=0,"",samples!O147)</f>
        <v/>
      </c>
      <c r="AD610">
        <f>IFERROR(SEARCH(search!$B$6,samples!O147,1),0)</f>
        <v>0</v>
      </c>
    </row>
    <row r="611" spans="1:30">
      <c r="A611">
        <f t="shared" si="9"/>
        <v>0</v>
      </c>
      <c r="B611">
        <f>IF(SUM(D611,F611,H611,J611,L611,N611,P611,R611,T611,V611,X611,Z611,AB611,AD611)&gt;0,SUM($A$2:A611),0)</f>
        <v>0</v>
      </c>
      <c r="C611">
        <f>samples!B148</f>
        <v>0</v>
      </c>
      <c r="D611">
        <f>IFERROR(SEARCH(search!$B$6,samples!B148,1),0)</f>
        <v>0</v>
      </c>
      <c r="E611" t="str">
        <f>IF(samples!C148=0,"",samples!C148)</f>
        <v/>
      </c>
      <c r="F611">
        <f>IFERROR(SEARCH(search!$B$6,samples!C148,1),0)</f>
        <v>0</v>
      </c>
      <c r="G611" t="str">
        <f>IF(samples!D148=0,"",samples!D148)</f>
        <v/>
      </c>
      <c r="H611">
        <f>IFERROR(SEARCH(search!$B$6,samples!D148,1),0)</f>
        <v>0</v>
      </c>
      <c r="I611" t="str">
        <f>IF(samples!E148=0,"",samples!E148)</f>
        <v/>
      </c>
      <c r="J611">
        <f>IFERROR(SEARCH(search!$B$6,samples!E148,1),0)</f>
        <v>0</v>
      </c>
      <c r="K611" t="str">
        <f>IF(samples!F148=0,"",samples!F148)</f>
        <v/>
      </c>
      <c r="L611">
        <f>IFERROR(SEARCH(search!$B$6,samples!F148,1),0)</f>
        <v>0</v>
      </c>
      <c r="M611" t="str">
        <f>IF(samples!G148=0,"",samples!G148)</f>
        <v/>
      </c>
      <c r="N611">
        <f>IFERROR(SEARCH(search!$B$6,samples!G148,1),0)</f>
        <v>0</v>
      </c>
      <c r="O611" t="str">
        <f>IF(samples!H148=0,"",samples!H148)</f>
        <v/>
      </c>
      <c r="P611">
        <f>IFERROR(SEARCH(search!$B$6,samples!H148,1),0)</f>
        <v>0</v>
      </c>
      <c r="Q611" t="str">
        <f>IF(samples!I148=0,"",samples!I148)</f>
        <v/>
      </c>
      <c r="R611">
        <f>IFERROR(SEARCH(search!$B$6,samples!I148,1),0)</f>
        <v>0</v>
      </c>
      <c r="S611" t="str">
        <f>IF(samples!J148=0,"",samples!J148)</f>
        <v/>
      </c>
      <c r="T611">
        <f>IFERROR(SEARCH(search!$B$6,samples!J148,1),0)</f>
        <v>0</v>
      </c>
      <c r="U611" t="str">
        <f>IF(samples!K148=0,"",samples!K148)</f>
        <v/>
      </c>
      <c r="V611">
        <f>IFERROR(SEARCH(search!$B$6,samples!K148,1),0)</f>
        <v>0</v>
      </c>
      <c r="W611" t="str">
        <f>IF(samples!L148=0,"",samples!L148)</f>
        <v/>
      </c>
      <c r="X611">
        <f>IFERROR(SEARCH(search!$B$6,samples!L148,1),0)</f>
        <v>0</v>
      </c>
      <c r="Y611" t="str">
        <f>IF(samples!M148=0,"",samples!M148)</f>
        <v/>
      </c>
      <c r="Z611">
        <f>IFERROR(SEARCH(search!$B$6,samples!M148,1),0)</f>
        <v>0</v>
      </c>
      <c r="AA611" t="str">
        <f>IF(samples!N148=0,"",samples!N148)</f>
        <v/>
      </c>
      <c r="AB611">
        <f>IFERROR(SEARCH(search!$B$6,samples!N148,1),0)</f>
        <v>0</v>
      </c>
      <c r="AC611" t="str">
        <f>IF(samples!O148=0,"",samples!O148)</f>
        <v/>
      </c>
      <c r="AD611">
        <f>IFERROR(SEARCH(search!$B$6,samples!O148,1),0)</f>
        <v>0</v>
      </c>
    </row>
    <row r="612" spans="1:30">
      <c r="A612">
        <f t="shared" si="9"/>
        <v>0</v>
      </c>
      <c r="B612">
        <f>IF(SUM(D612,F612,H612,J612,L612,N612,P612,R612,T612,V612,X612,Z612,AB612,AD612)&gt;0,SUM($A$2:A612),0)</f>
        <v>0</v>
      </c>
      <c r="C612">
        <f>samples!B149</f>
        <v>0</v>
      </c>
      <c r="D612">
        <f>IFERROR(SEARCH(search!$B$6,samples!B149,1),0)</f>
        <v>0</v>
      </c>
      <c r="E612" t="str">
        <f>IF(samples!C149=0,"",samples!C149)</f>
        <v/>
      </c>
      <c r="F612">
        <f>IFERROR(SEARCH(search!$B$6,samples!C149,1),0)</f>
        <v>0</v>
      </c>
      <c r="G612" t="str">
        <f>IF(samples!D149=0,"",samples!D149)</f>
        <v/>
      </c>
      <c r="H612">
        <f>IFERROR(SEARCH(search!$B$6,samples!D149,1),0)</f>
        <v>0</v>
      </c>
      <c r="I612" t="str">
        <f>IF(samples!E149=0,"",samples!E149)</f>
        <v/>
      </c>
      <c r="J612">
        <f>IFERROR(SEARCH(search!$B$6,samples!E149,1),0)</f>
        <v>0</v>
      </c>
      <c r="K612" t="str">
        <f>IF(samples!F149=0,"",samples!F149)</f>
        <v/>
      </c>
      <c r="L612">
        <f>IFERROR(SEARCH(search!$B$6,samples!F149,1),0)</f>
        <v>0</v>
      </c>
      <c r="M612" t="str">
        <f>IF(samples!G149=0,"",samples!G149)</f>
        <v/>
      </c>
      <c r="N612">
        <f>IFERROR(SEARCH(search!$B$6,samples!G149,1),0)</f>
        <v>0</v>
      </c>
      <c r="O612" t="str">
        <f>IF(samples!H149=0,"",samples!H149)</f>
        <v/>
      </c>
      <c r="P612">
        <f>IFERROR(SEARCH(search!$B$6,samples!H149,1),0)</f>
        <v>0</v>
      </c>
      <c r="Q612" t="str">
        <f>IF(samples!I149=0,"",samples!I149)</f>
        <v/>
      </c>
      <c r="R612">
        <f>IFERROR(SEARCH(search!$B$6,samples!I149,1),0)</f>
        <v>0</v>
      </c>
      <c r="S612" t="str">
        <f>IF(samples!J149=0,"",samples!J149)</f>
        <v/>
      </c>
      <c r="T612">
        <f>IFERROR(SEARCH(search!$B$6,samples!J149,1),0)</f>
        <v>0</v>
      </c>
      <c r="U612" t="str">
        <f>IF(samples!K149=0,"",samples!K149)</f>
        <v/>
      </c>
      <c r="V612">
        <f>IFERROR(SEARCH(search!$B$6,samples!K149,1),0)</f>
        <v>0</v>
      </c>
      <c r="W612" t="str">
        <f>IF(samples!L149=0,"",samples!L149)</f>
        <v/>
      </c>
      <c r="X612">
        <f>IFERROR(SEARCH(search!$B$6,samples!L149,1),0)</f>
        <v>0</v>
      </c>
      <c r="Y612" t="str">
        <f>IF(samples!M149=0,"",samples!M149)</f>
        <v/>
      </c>
      <c r="Z612">
        <f>IFERROR(SEARCH(search!$B$6,samples!M149,1),0)</f>
        <v>0</v>
      </c>
      <c r="AA612" t="str">
        <f>IF(samples!N149=0,"",samples!N149)</f>
        <v/>
      </c>
      <c r="AB612">
        <f>IFERROR(SEARCH(search!$B$6,samples!N149,1),0)</f>
        <v>0</v>
      </c>
      <c r="AC612" t="str">
        <f>IF(samples!O149=0,"",samples!O149)</f>
        <v/>
      </c>
      <c r="AD612">
        <f>IFERROR(SEARCH(search!$B$6,samples!O149,1),0)</f>
        <v>0</v>
      </c>
    </row>
    <row r="613" spans="1:30">
      <c r="A613">
        <f t="shared" si="9"/>
        <v>0</v>
      </c>
      <c r="B613">
        <f>IF(SUM(D613,F613,H613,J613,L613,N613,P613,R613,T613,V613,X613,Z613,AB613,AD613)&gt;0,SUM($A$2:A613),0)</f>
        <v>0</v>
      </c>
      <c r="C613">
        <f>samples!B150</f>
        <v>0</v>
      </c>
      <c r="D613">
        <f>IFERROR(SEARCH(search!$B$6,samples!B150,1),0)</f>
        <v>0</v>
      </c>
      <c r="E613" t="str">
        <f>IF(samples!C150=0,"",samples!C150)</f>
        <v/>
      </c>
      <c r="F613">
        <f>IFERROR(SEARCH(search!$B$6,samples!C150,1),0)</f>
        <v>0</v>
      </c>
      <c r="G613" t="str">
        <f>IF(samples!D150=0,"",samples!D150)</f>
        <v/>
      </c>
      <c r="H613">
        <f>IFERROR(SEARCH(search!$B$6,samples!D150,1),0)</f>
        <v>0</v>
      </c>
      <c r="I613" t="str">
        <f>IF(samples!E150=0,"",samples!E150)</f>
        <v/>
      </c>
      <c r="J613">
        <f>IFERROR(SEARCH(search!$B$6,samples!E150,1),0)</f>
        <v>0</v>
      </c>
      <c r="K613" t="str">
        <f>IF(samples!F150=0,"",samples!F150)</f>
        <v/>
      </c>
      <c r="L613">
        <f>IFERROR(SEARCH(search!$B$6,samples!F150,1),0)</f>
        <v>0</v>
      </c>
      <c r="M613" t="str">
        <f>IF(samples!G150=0,"",samples!G150)</f>
        <v/>
      </c>
      <c r="N613">
        <f>IFERROR(SEARCH(search!$B$6,samples!G150,1),0)</f>
        <v>0</v>
      </c>
      <c r="O613" t="str">
        <f>IF(samples!H150=0,"",samples!H150)</f>
        <v/>
      </c>
      <c r="P613">
        <f>IFERROR(SEARCH(search!$B$6,samples!H150,1),0)</f>
        <v>0</v>
      </c>
      <c r="Q613" t="str">
        <f>IF(samples!I150=0,"",samples!I150)</f>
        <v/>
      </c>
      <c r="R613">
        <f>IFERROR(SEARCH(search!$B$6,samples!I150,1),0)</f>
        <v>0</v>
      </c>
      <c r="S613" t="str">
        <f>IF(samples!J150=0,"",samples!J150)</f>
        <v/>
      </c>
      <c r="T613">
        <f>IFERROR(SEARCH(search!$B$6,samples!J150,1),0)</f>
        <v>0</v>
      </c>
      <c r="U613" t="str">
        <f>IF(samples!K150=0,"",samples!K150)</f>
        <v/>
      </c>
      <c r="V613">
        <f>IFERROR(SEARCH(search!$B$6,samples!K150,1),0)</f>
        <v>0</v>
      </c>
      <c r="W613" t="str">
        <f>IF(samples!L150=0,"",samples!L150)</f>
        <v/>
      </c>
      <c r="X613">
        <f>IFERROR(SEARCH(search!$B$6,samples!L150,1),0)</f>
        <v>0</v>
      </c>
      <c r="Y613" t="str">
        <f>IF(samples!M150=0,"",samples!M150)</f>
        <v/>
      </c>
      <c r="Z613">
        <f>IFERROR(SEARCH(search!$B$6,samples!M150,1),0)</f>
        <v>0</v>
      </c>
      <c r="AA613" t="str">
        <f>IF(samples!N150=0,"",samples!N150)</f>
        <v/>
      </c>
      <c r="AB613">
        <f>IFERROR(SEARCH(search!$B$6,samples!N150,1),0)</f>
        <v>0</v>
      </c>
      <c r="AC613" t="str">
        <f>IF(samples!O150=0,"",samples!O150)</f>
        <v/>
      </c>
      <c r="AD613">
        <f>IFERROR(SEARCH(search!$B$6,samples!O150,1),0)</f>
        <v>0</v>
      </c>
    </row>
    <row r="614" spans="1:30">
      <c r="A614">
        <f t="shared" si="9"/>
        <v>0</v>
      </c>
      <c r="B614">
        <f>IF(SUM(D614,F614,H614,J614,L614,N614,P614,R614,T614,V614,X614,Z614,AB614,AD614)&gt;0,SUM($A$2:A614),0)</f>
        <v>0</v>
      </c>
      <c r="C614">
        <f>samples!B151</f>
        <v>0</v>
      </c>
      <c r="D614">
        <f>IFERROR(SEARCH(search!$B$6,samples!B151,1),0)</f>
        <v>0</v>
      </c>
      <c r="E614" t="str">
        <f>IF(samples!C151=0,"",samples!C151)</f>
        <v/>
      </c>
      <c r="F614">
        <f>IFERROR(SEARCH(search!$B$6,samples!C151,1),0)</f>
        <v>0</v>
      </c>
      <c r="G614" t="str">
        <f>IF(samples!D151=0,"",samples!D151)</f>
        <v/>
      </c>
      <c r="H614">
        <f>IFERROR(SEARCH(search!$B$6,samples!D151,1),0)</f>
        <v>0</v>
      </c>
      <c r="I614" t="str">
        <f>IF(samples!E151=0,"",samples!E151)</f>
        <v/>
      </c>
      <c r="J614">
        <f>IFERROR(SEARCH(search!$B$6,samples!E151,1),0)</f>
        <v>0</v>
      </c>
      <c r="K614" t="str">
        <f>IF(samples!F151=0,"",samples!F151)</f>
        <v/>
      </c>
      <c r="L614">
        <f>IFERROR(SEARCH(search!$B$6,samples!F151,1),0)</f>
        <v>0</v>
      </c>
      <c r="M614" t="str">
        <f>IF(samples!G151=0,"",samples!G151)</f>
        <v/>
      </c>
      <c r="N614">
        <f>IFERROR(SEARCH(search!$B$6,samples!G151,1),0)</f>
        <v>0</v>
      </c>
      <c r="O614" t="str">
        <f>IF(samples!H151=0,"",samples!H151)</f>
        <v/>
      </c>
      <c r="P614">
        <f>IFERROR(SEARCH(search!$B$6,samples!H151,1),0)</f>
        <v>0</v>
      </c>
      <c r="Q614" t="str">
        <f>IF(samples!I151=0,"",samples!I151)</f>
        <v/>
      </c>
      <c r="R614">
        <f>IFERROR(SEARCH(search!$B$6,samples!I151,1),0)</f>
        <v>0</v>
      </c>
      <c r="S614" t="str">
        <f>IF(samples!J151=0,"",samples!J151)</f>
        <v/>
      </c>
      <c r="T614">
        <f>IFERROR(SEARCH(search!$B$6,samples!J151,1),0)</f>
        <v>0</v>
      </c>
      <c r="U614" t="str">
        <f>IF(samples!K151=0,"",samples!K151)</f>
        <v/>
      </c>
      <c r="V614">
        <f>IFERROR(SEARCH(search!$B$6,samples!K151,1),0)</f>
        <v>0</v>
      </c>
      <c r="W614" t="str">
        <f>IF(samples!L151=0,"",samples!L151)</f>
        <v/>
      </c>
      <c r="X614">
        <f>IFERROR(SEARCH(search!$B$6,samples!L151,1),0)</f>
        <v>0</v>
      </c>
      <c r="Y614" t="str">
        <f>IF(samples!M151=0,"",samples!M151)</f>
        <v/>
      </c>
      <c r="Z614">
        <f>IFERROR(SEARCH(search!$B$6,samples!M151,1),0)</f>
        <v>0</v>
      </c>
      <c r="AA614" t="str">
        <f>IF(samples!N151=0,"",samples!N151)</f>
        <v/>
      </c>
      <c r="AB614">
        <f>IFERROR(SEARCH(search!$B$6,samples!N151,1),0)</f>
        <v>0</v>
      </c>
      <c r="AC614" t="str">
        <f>IF(samples!O151=0,"",samples!O151)</f>
        <v/>
      </c>
      <c r="AD614">
        <f>IFERROR(SEARCH(search!$B$6,samples!O151,1),0)</f>
        <v>0</v>
      </c>
    </row>
    <row r="615" spans="1:30">
      <c r="A615">
        <f t="shared" si="9"/>
        <v>0</v>
      </c>
      <c r="B615">
        <f>IF(SUM(D615,F615,H615,J615,L615,N615,P615,R615,T615,V615,X615,Z615,AB615,AD615)&gt;0,SUM($A$2:A615),0)</f>
        <v>0</v>
      </c>
      <c r="C615">
        <f>samples!B152</f>
        <v>0</v>
      </c>
      <c r="D615">
        <f>IFERROR(SEARCH(search!$B$6,samples!B152,1),0)</f>
        <v>0</v>
      </c>
      <c r="E615" t="str">
        <f>IF(samples!C152=0,"",samples!C152)</f>
        <v/>
      </c>
      <c r="F615">
        <f>IFERROR(SEARCH(search!$B$6,samples!C152,1),0)</f>
        <v>0</v>
      </c>
      <c r="G615" t="str">
        <f>IF(samples!D152=0,"",samples!D152)</f>
        <v/>
      </c>
      <c r="H615">
        <f>IFERROR(SEARCH(search!$B$6,samples!D152,1),0)</f>
        <v>0</v>
      </c>
      <c r="I615" t="str">
        <f>IF(samples!E152=0,"",samples!E152)</f>
        <v/>
      </c>
      <c r="J615">
        <f>IFERROR(SEARCH(search!$B$6,samples!E152,1),0)</f>
        <v>0</v>
      </c>
      <c r="K615" t="str">
        <f>IF(samples!F152=0,"",samples!F152)</f>
        <v/>
      </c>
      <c r="L615">
        <f>IFERROR(SEARCH(search!$B$6,samples!F152,1),0)</f>
        <v>0</v>
      </c>
      <c r="M615" t="str">
        <f>IF(samples!G152=0,"",samples!G152)</f>
        <v/>
      </c>
      <c r="N615">
        <f>IFERROR(SEARCH(search!$B$6,samples!G152,1),0)</f>
        <v>0</v>
      </c>
      <c r="O615" t="str">
        <f>IF(samples!H152=0,"",samples!H152)</f>
        <v/>
      </c>
      <c r="P615">
        <f>IFERROR(SEARCH(search!$B$6,samples!H152,1),0)</f>
        <v>0</v>
      </c>
      <c r="Q615" t="str">
        <f>IF(samples!I152=0,"",samples!I152)</f>
        <v/>
      </c>
      <c r="R615">
        <f>IFERROR(SEARCH(search!$B$6,samples!I152,1),0)</f>
        <v>0</v>
      </c>
      <c r="S615" t="str">
        <f>IF(samples!J152=0,"",samples!J152)</f>
        <v/>
      </c>
      <c r="T615">
        <f>IFERROR(SEARCH(search!$B$6,samples!J152,1),0)</f>
        <v>0</v>
      </c>
      <c r="U615" t="str">
        <f>IF(samples!K152=0,"",samples!K152)</f>
        <v/>
      </c>
      <c r="V615">
        <f>IFERROR(SEARCH(search!$B$6,samples!K152,1),0)</f>
        <v>0</v>
      </c>
      <c r="W615" t="str">
        <f>IF(samples!L152=0,"",samples!L152)</f>
        <v/>
      </c>
      <c r="X615">
        <f>IFERROR(SEARCH(search!$B$6,samples!L152,1),0)</f>
        <v>0</v>
      </c>
      <c r="Y615" t="str">
        <f>IF(samples!M152=0,"",samples!M152)</f>
        <v/>
      </c>
      <c r="Z615">
        <f>IFERROR(SEARCH(search!$B$6,samples!M152,1),0)</f>
        <v>0</v>
      </c>
      <c r="AA615" t="str">
        <f>IF(samples!N152=0,"",samples!N152)</f>
        <v/>
      </c>
      <c r="AB615">
        <f>IFERROR(SEARCH(search!$B$6,samples!N152,1),0)</f>
        <v>0</v>
      </c>
      <c r="AC615" t="str">
        <f>IF(samples!O152=0,"",samples!O152)</f>
        <v/>
      </c>
      <c r="AD615">
        <f>IFERROR(SEARCH(search!$B$6,samples!O152,1),0)</f>
        <v>0</v>
      </c>
    </row>
    <row r="616" spans="1:30">
      <c r="A616">
        <f t="shared" si="9"/>
        <v>0</v>
      </c>
      <c r="B616">
        <f>IF(SUM(D616,F616,H616,J616,L616,N616,P616,R616,T616,V616,X616,Z616,AB616,AD616)&gt;0,SUM($A$2:A616),0)</f>
        <v>0</v>
      </c>
      <c r="C616">
        <f>samples!B153</f>
        <v>0</v>
      </c>
      <c r="D616">
        <f>IFERROR(SEARCH(search!$B$6,samples!B153,1),0)</f>
        <v>0</v>
      </c>
      <c r="E616" t="str">
        <f>IF(samples!C153=0,"",samples!C153)</f>
        <v/>
      </c>
      <c r="F616">
        <f>IFERROR(SEARCH(search!$B$6,samples!C153,1),0)</f>
        <v>0</v>
      </c>
      <c r="G616" t="str">
        <f>IF(samples!D153=0,"",samples!D153)</f>
        <v/>
      </c>
      <c r="H616">
        <f>IFERROR(SEARCH(search!$B$6,samples!D153,1),0)</f>
        <v>0</v>
      </c>
      <c r="I616" t="str">
        <f>IF(samples!E153=0,"",samples!E153)</f>
        <v/>
      </c>
      <c r="J616">
        <f>IFERROR(SEARCH(search!$B$6,samples!E153,1),0)</f>
        <v>0</v>
      </c>
      <c r="K616" t="str">
        <f>IF(samples!F153=0,"",samples!F153)</f>
        <v/>
      </c>
      <c r="L616">
        <f>IFERROR(SEARCH(search!$B$6,samples!F153,1),0)</f>
        <v>0</v>
      </c>
      <c r="M616" t="str">
        <f>IF(samples!G153=0,"",samples!G153)</f>
        <v/>
      </c>
      <c r="N616">
        <f>IFERROR(SEARCH(search!$B$6,samples!G153,1),0)</f>
        <v>0</v>
      </c>
      <c r="O616" t="str">
        <f>IF(samples!H153=0,"",samples!H153)</f>
        <v/>
      </c>
      <c r="P616">
        <f>IFERROR(SEARCH(search!$B$6,samples!H153,1),0)</f>
        <v>0</v>
      </c>
      <c r="Q616" t="str">
        <f>IF(samples!I153=0,"",samples!I153)</f>
        <v/>
      </c>
      <c r="R616">
        <f>IFERROR(SEARCH(search!$B$6,samples!I153,1),0)</f>
        <v>0</v>
      </c>
      <c r="S616" t="str">
        <f>IF(samples!J153=0,"",samples!J153)</f>
        <v/>
      </c>
      <c r="T616">
        <f>IFERROR(SEARCH(search!$B$6,samples!J153,1),0)</f>
        <v>0</v>
      </c>
      <c r="U616" t="str">
        <f>IF(samples!K153=0,"",samples!K153)</f>
        <v/>
      </c>
      <c r="V616">
        <f>IFERROR(SEARCH(search!$B$6,samples!K153,1),0)</f>
        <v>0</v>
      </c>
      <c r="W616" t="str">
        <f>IF(samples!L153=0,"",samples!L153)</f>
        <v/>
      </c>
      <c r="X616">
        <f>IFERROR(SEARCH(search!$B$6,samples!L153,1),0)</f>
        <v>0</v>
      </c>
      <c r="Y616" t="str">
        <f>IF(samples!M153=0,"",samples!M153)</f>
        <v/>
      </c>
      <c r="Z616">
        <f>IFERROR(SEARCH(search!$B$6,samples!M153,1),0)</f>
        <v>0</v>
      </c>
      <c r="AA616" t="str">
        <f>IF(samples!N153=0,"",samples!N153)</f>
        <v/>
      </c>
      <c r="AB616">
        <f>IFERROR(SEARCH(search!$B$6,samples!N153,1),0)</f>
        <v>0</v>
      </c>
      <c r="AC616" t="str">
        <f>IF(samples!O153=0,"",samples!O153)</f>
        <v/>
      </c>
      <c r="AD616">
        <f>IFERROR(SEARCH(search!$B$6,samples!O153,1),0)</f>
        <v>0</v>
      </c>
    </row>
    <row r="617" spans="1:30">
      <c r="A617">
        <f t="shared" si="9"/>
        <v>0</v>
      </c>
      <c r="B617">
        <f>IF(SUM(D617,F617,H617,J617,L617,N617,P617,R617,T617,V617,X617,Z617,AB617,AD617)&gt;0,SUM($A$2:A617),0)</f>
        <v>0</v>
      </c>
      <c r="C617">
        <f>samples!B154</f>
        <v>0</v>
      </c>
      <c r="D617">
        <f>IFERROR(SEARCH(search!$B$6,samples!B154,1),0)</f>
        <v>0</v>
      </c>
      <c r="E617" t="str">
        <f>IF(samples!C154=0,"",samples!C154)</f>
        <v/>
      </c>
      <c r="F617">
        <f>IFERROR(SEARCH(search!$B$6,samples!C154,1),0)</f>
        <v>0</v>
      </c>
      <c r="G617" t="str">
        <f>IF(samples!D154=0,"",samples!D154)</f>
        <v/>
      </c>
      <c r="H617">
        <f>IFERROR(SEARCH(search!$B$6,samples!D154,1),0)</f>
        <v>0</v>
      </c>
      <c r="I617" t="str">
        <f>IF(samples!E154=0,"",samples!E154)</f>
        <v/>
      </c>
      <c r="J617">
        <f>IFERROR(SEARCH(search!$B$6,samples!E154,1),0)</f>
        <v>0</v>
      </c>
      <c r="K617" t="str">
        <f>IF(samples!F154=0,"",samples!F154)</f>
        <v/>
      </c>
      <c r="L617">
        <f>IFERROR(SEARCH(search!$B$6,samples!F154,1),0)</f>
        <v>0</v>
      </c>
      <c r="M617" t="str">
        <f>IF(samples!G154=0,"",samples!G154)</f>
        <v/>
      </c>
      <c r="N617">
        <f>IFERROR(SEARCH(search!$B$6,samples!G154,1),0)</f>
        <v>0</v>
      </c>
      <c r="O617" t="str">
        <f>IF(samples!H154=0,"",samples!H154)</f>
        <v/>
      </c>
      <c r="P617">
        <f>IFERROR(SEARCH(search!$B$6,samples!H154,1),0)</f>
        <v>0</v>
      </c>
      <c r="Q617" t="str">
        <f>IF(samples!I154=0,"",samples!I154)</f>
        <v/>
      </c>
      <c r="R617">
        <f>IFERROR(SEARCH(search!$B$6,samples!I154,1),0)</f>
        <v>0</v>
      </c>
      <c r="S617" t="str">
        <f>IF(samples!J154=0,"",samples!J154)</f>
        <v/>
      </c>
      <c r="T617">
        <f>IFERROR(SEARCH(search!$B$6,samples!J154,1),0)</f>
        <v>0</v>
      </c>
      <c r="U617" t="str">
        <f>IF(samples!K154=0,"",samples!K154)</f>
        <v/>
      </c>
      <c r="V617">
        <f>IFERROR(SEARCH(search!$B$6,samples!K154,1),0)</f>
        <v>0</v>
      </c>
      <c r="W617" t="str">
        <f>IF(samples!L154=0,"",samples!L154)</f>
        <v/>
      </c>
      <c r="X617">
        <f>IFERROR(SEARCH(search!$B$6,samples!L154,1),0)</f>
        <v>0</v>
      </c>
      <c r="Y617" t="str">
        <f>IF(samples!M154=0,"",samples!M154)</f>
        <v/>
      </c>
      <c r="Z617">
        <f>IFERROR(SEARCH(search!$B$6,samples!M154,1),0)</f>
        <v>0</v>
      </c>
      <c r="AA617" t="str">
        <f>IF(samples!N154=0,"",samples!N154)</f>
        <v/>
      </c>
      <c r="AB617">
        <f>IFERROR(SEARCH(search!$B$6,samples!N154,1),0)</f>
        <v>0</v>
      </c>
      <c r="AC617" t="str">
        <f>IF(samples!O154=0,"",samples!O154)</f>
        <v/>
      </c>
      <c r="AD617">
        <f>IFERROR(SEARCH(search!$B$6,samples!O154,1),0)</f>
        <v>0</v>
      </c>
    </row>
    <row r="618" spans="1:30">
      <c r="A618">
        <f t="shared" si="9"/>
        <v>0</v>
      </c>
      <c r="B618">
        <f>IF(SUM(D618,F618,H618,J618,L618,N618,P618,R618,T618,V618,X618,Z618,AB618,AD618)&gt;0,SUM($A$2:A618),0)</f>
        <v>0</v>
      </c>
      <c r="C618">
        <f>samples!B155</f>
        <v>0</v>
      </c>
      <c r="D618">
        <f>IFERROR(SEARCH(search!$B$6,samples!B155,1),0)</f>
        <v>0</v>
      </c>
      <c r="E618" t="str">
        <f>IF(samples!C155=0,"",samples!C155)</f>
        <v/>
      </c>
      <c r="F618">
        <f>IFERROR(SEARCH(search!$B$6,samples!C155,1),0)</f>
        <v>0</v>
      </c>
      <c r="G618" t="str">
        <f>IF(samples!D155=0,"",samples!D155)</f>
        <v/>
      </c>
      <c r="H618">
        <f>IFERROR(SEARCH(search!$B$6,samples!D155,1),0)</f>
        <v>0</v>
      </c>
      <c r="I618" t="str">
        <f>IF(samples!E155=0,"",samples!E155)</f>
        <v/>
      </c>
      <c r="J618">
        <f>IFERROR(SEARCH(search!$B$6,samples!E155,1),0)</f>
        <v>0</v>
      </c>
      <c r="K618" t="str">
        <f>IF(samples!F155=0,"",samples!F155)</f>
        <v/>
      </c>
      <c r="L618">
        <f>IFERROR(SEARCH(search!$B$6,samples!F155,1),0)</f>
        <v>0</v>
      </c>
      <c r="M618" t="str">
        <f>IF(samples!G155=0,"",samples!G155)</f>
        <v/>
      </c>
      <c r="N618">
        <f>IFERROR(SEARCH(search!$B$6,samples!G155,1),0)</f>
        <v>0</v>
      </c>
      <c r="O618" t="str">
        <f>IF(samples!H155=0,"",samples!H155)</f>
        <v/>
      </c>
      <c r="P618">
        <f>IFERROR(SEARCH(search!$B$6,samples!H155,1),0)</f>
        <v>0</v>
      </c>
      <c r="Q618" t="str">
        <f>IF(samples!I155=0,"",samples!I155)</f>
        <v/>
      </c>
      <c r="R618">
        <f>IFERROR(SEARCH(search!$B$6,samples!I155,1),0)</f>
        <v>0</v>
      </c>
      <c r="S618" t="str">
        <f>IF(samples!J155=0,"",samples!J155)</f>
        <v/>
      </c>
      <c r="T618">
        <f>IFERROR(SEARCH(search!$B$6,samples!J155,1),0)</f>
        <v>0</v>
      </c>
      <c r="U618" t="str">
        <f>IF(samples!K155=0,"",samples!K155)</f>
        <v/>
      </c>
      <c r="V618">
        <f>IFERROR(SEARCH(search!$B$6,samples!K155,1),0)</f>
        <v>0</v>
      </c>
      <c r="W618" t="str">
        <f>IF(samples!L155=0,"",samples!L155)</f>
        <v/>
      </c>
      <c r="X618">
        <f>IFERROR(SEARCH(search!$B$6,samples!L155,1),0)</f>
        <v>0</v>
      </c>
      <c r="Y618" t="str">
        <f>IF(samples!M155=0,"",samples!M155)</f>
        <v/>
      </c>
      <c r="Z618">
        <f>IFERROR(SEARCH(search!$B$6,samples!M155,1),0)</f>
        <v>0</v>
      </c>
      <c r="AA618" t="str">
        <f>IF(samples!N155=0,"",samples!N155)</f>
        <v/>
      </c>
      <c r="AB618">
        <f>IFERROR(SEARCH(search!$B$6,samples!N155,1),0)</f>
        <v>0</v>
      </c>
      <c r="AC618" t="str">
        <f>IF(samples!O155=0,"",samples!O155)</f>
        <v/>
      </c>
      <c r="AD618">
        <f>IFERROR(SEARCH(search!$B$6,samples!O155,1),0)</f>
        <v>0</v>
      </c>
    </row>
    <row r="619" spans="1:30">
      <c r="A619">
        <f t="shared" si="9"/>
        <v>0</v>
      </c>
      <c r="B619">
        <f>IF(SUM(D619,F619,H619,J619,L619,N619,P619,R619,T619,V619,X619,Z619,AB619,AD619)&gt;0,SUM($A$2:A619),0)</f>
        <v>0</v>
      </c>
      <c r="C619">
        <f>samples!B156</f>
        <v>0</v>
      </c>
      <c r="D619">
        <f>IFERROR(SEARCH(search!$B$6,samples!B156,1),0)</f>
        <v>0</v>
      </c>
      <c r="E619" t="str">
        <f>IF(samples!C156=0,"",samples!C156)</f>
        <v/>
      </c>
      <c r="F619">
        <f>IFERROR(SEARCH(search!$B$6,samples!C156,1),0)</f>
        <v>0</v>
      </c>
      <c r="G619" t="str">
        <f>IF(samples!D156=0,"",samples!D156)</f>
        <v/>
      </c>
      <c r="H619">
        <f>IFERROR(SEARCH(search!$B$6,samples!D156,1),0)</f>
        <v>0</v>
      </c>
      <c r="I619" t="str">
        <f>IF(samples!E156=0,"",samples!E156)</f>
        <v/>
      </c>
      <c r="J619">
        <f>IFERROR(SEARCH(search!$B$6,samples!E156,1),0)</f>
        <v>0</v>
      </c>
      <c r="K619" t="str">
        <f>IF(samples!F156=0,"",samples!F156)</f>
        <v/>
      </c>
      <c r="L619">
        <f>IFERROR(SEARCH(search!$B$6,samples!F156,1),0)</f>
        <v>0</v>
      </c>
      <c r="M619" t="str">
        <f>IF(samples!G156=0,"",samples!G156)</f>
        <v/>
      </c>
      <c r="N619">
        <f>IFERROR(SEARCH(search!$B$6,samples!G156,1),0)</f>
        <v>0</v>
      </c>
      <c r="O619" t="str">
        <f>IF(samples!H156=0,"",samples!H156)</f>
        <v/>
      </c>
      <c r="P619">
        <f>IFERROR(SEARCH(search!$B$6,samples!H156,1),0)</f>
        <v>0</v>
      </c>
      <c r="Q619" t="str">
        <f>IF(samples!I156=0,"",samples!I156)</f>
        <v/>
      </c>
      <c r="R619">
        <f>IFERROR(SEARCH(search!$B$6,samples!I156,1),0)</f>
        <v>0</v>
      </c>
      <c r="S619" t="str">
        <f>IF(samples!J156=0,"",samples!J156)</f>
        <v/>
      </c>
      <c r="T619">
        <f>IFERROR(SEARCH(search!$B$6,samples!J156,1),0)</f>
        <v>0</v>
      </c>
      <c r="U619" t="str">
        <f>IF(samples!K156=0,"",samples!K156)</f>
        <v/>
      </c>
      <c r="V619">
        <f>IFERROR(SEARCH(search!$B$6,samples!K156,1),0)</f>
        <v>0</v>
      </c>
      <c r="W619" t="str">
        <f>IF(samples!L156=0,"",samples!L156)</f>
        <v/>
      </c>
      <c r="X619">
        <f>IFERROR(SEARCH(search!$B$6,samples!L156,1),0)</f>
        <v>0</v>
      </c>
      <c r="Y619" t="str">
        <f>IF(samples!M156=0,"",samples!M156)</f>
        <v/>
      </c>
      <c r="Z619">
        <f>IFERROR(SEARCH(search!$B$6,samples!M156,1),0)</f>
        <v>0</v>
      </c>
      <c r="AA619" t="str">
        <f>IF(samples!N156=0,"",samples!N156)</f>
        <v/>
      </c>
      <c r="AB619">
        <f>IFERROR(SEARCH(search!$B$6,samples!N156,1),0)</f>
        <v>0</v>
      </c>
      <c r="AC619" t="str">
        <f>IF(samples!O156=0,"",samples!O156)</f>
        <v/>
      </c>
      <c r="AD619">
        <f>IFERROR(SEARCH(search!$B$6,samples!O156,1),0)</f>
        <v>0</v>
      </c>
    </row>
    <row r="620" spans="1:30">
      <c r="A620">
        <f t="shared" si="9"/>
        <v>0</v>
      </c>
      <c r="B620">
        <f>IF(SUM(D620,F620,H620,J620,L620,N620,P620,R620,T620,V620,X620,Z620,AB620,AD620)&gt;0,SUM($A$2:A620),0)</f>
        <v>0</v>
      </c>
      <c r="C620">
        <f>samples!B157</f>
        <v>0</v>
      </c>
      <c r="D620">
        <f>IFERROR(SEARCH(search!$B$6,samples!B157,1),0)</f>
        <v>0</v>
      </c>
      <c r="E620" t="str">
        <f>IF(samples!C157=0,"",samples!C157)</f>
        <v/>
      </c>
      <c r="F620">
        <f>IFERROR(SEARCH(search!$B$6,samples!C157,1),0)</f>
        <v>0</v>
      </c>
      <c r="G620" t="str">
        <f>IF(samples!D157=0,"",samples!D157)</f>
        <v/>
      </c>
      <c r="H620">
        <f>IFERROR(SEARCH(search!$B$6,samples!D157,1),0)</f>
        <v>0</v>
      </c>
      <c r="I620" t="str">
        <f>IF(samples!E157=0,"",samples!E157)</f>
        <v/>
      </c>
      <c r="J620">
        <f>IFERROR(SEARCH(search!$B$6,samples!E157,1),0)</f>
        <v>0</v>
      </c>
      <c r="K620" t="str">
        <f>IF(samples!F157=0,"",samples!F157)</f>
        <v/>
      </c>
      <c r="L620">
        <f>IFERROR(SEARCH(search!$B$6,samples!F157,1),0)</f>
        <v>0</v>
      </c>
      <c r="M620" t="str">
        <f>IF(samples!G157=0,"",samples!G157)</f>
        <v/>
      </c>
      <c r="N620">
        <f>IFERROR(SEARCH(search!$B$6,samples!G157,1),0)</f>
        <v>0</v>
      </c>
      <c r="O620" t="str">
        <f>IF(samples!H157=0,"",samples!H157)</f>
        <v/>
      </c>
      <c r="P620">
        <f>IFERROR(SEARCH(search!$B$6,samples!H157,1),0)</f>
        <v>0</v>
      </c>
      <c r="Q620" t="str">
        <f>IF(samples!I157=0,"",samples!I157)</f>
        <v/>
      </c>
      <c r="R620">
        <f>IFERROR(SEARCH(search!$B$6,samples!I157,1),0)</f>
        <v>0</v>
      </c>
      <c r="S620" t="str">
        <f>IF(samples!J157=0,"",samples!J157)</f>
        <v/>
      </c>
      <c r="T620">
        <f>IFERROR(SEARCH(search!$B$6,samples!J157,1),0)</f>
        <v>0</v>
      </c>
      <c r="U620" t="str">
        <f>IF(samples!K157=0,"",samples!K157)</f>
        <v/>
      </c>
      <c r="V620">
        <f>IFERROR(SEARCH(search!$B$6,samples!K157,1),0)</f>
        <v>0</v>
      </c>
      <c r="W620" t="str">
        <f>IF(samples!L157=0,"",samples!L157)</f>
        <v/>
      </c>
      <c r="X620">
        <f>IFERROR(SEARCH(search!$B$6,samples!L157,1),0)</f>
        <v>0</v>
      </c>
      <c r="Y620" t="str">
        <f>IF(samples!M157=0,"",samples!M157)</f>
        <v/>
      </c>
      <c r="Z620">
        <f>IFERROR(SEARCH(search!$B$6,samples!M157,1),0)</f>
        <v>0</v>
      </c>
      <c r="AA620" t="str">
        <f>IF(samples!N157=0,"",samples!N157)</f>
        <v/>
      </c>
      <c r="AB620">
        <f>IFERROR(SEARCH(search!$B$6,samples!N157,1),0)</f>
        <v>0</v>
      </c>
      <c r="AC620" t="str">
        <f>IF(samples!O157=0,"",samples!O157)</f>
        <v/>
      </c>
      <c r="AD620">
        <f>IFERROR(SEARCH(search!$B$6,samples!O157,1),0)</f>
        <v>0</v>
      </c>
    </row>
    <row r="621" spans="1:30">
      <c r="A621">
        <f t="shared" si="9"/>
        <v>0</v>
      </c>
      <c r="B621">
        <f>IF(SUM(D621,F621,H621,J621,L621,N621,P621,R621,T621,V621,X621,Z621,AB621,AD621)&gt;0,SUM($A$2:A621),0)</f>
        <v>0</v>
      </c>
      <c r="C621">
        <f>samples!B158</f>
        <v>0</v>
      </c>
      <c r="D621">
        <f>IFERROR(SEARCH(search!$B$6,samples!B158,1),0)</f>
        <v>0</v>
      </c>
      <c r="E621" t="str">
        <f>IF(samples!C158=0,"",samples!C158)</f>
        <v/>
      </c>
      <c r="F621">
        <f>IFERROR(SEARCH(search!$B$6,samples!C158,1),0)</f>
        <v>0</v>
      </c>
      <c r="G621" t="str">
        <f>IF(samples!D158=0,"",samples!D158)</f>
        <v/>
      </c>
      <c r="H621">
        <f>IFERROR(SEARCH(search!$B$6,samples!D158,1),0)</f>
        <v>0</v>
      </c>
      <c r="I621" t="str">
        <f>IF(samples!E158=0,"",samples!E158)</f>
        <v/>
      </c>
      <c r="J621">
        <f>IFERROR(SEARCH(search!$B$6,samples!E158,1),0)</f>
        <v>0</v>
      </c>
      <c r="K621" t="str">
        <f>IF(samples!F158=0,"",samples!F158)</f>
        <v/>
      </c>
      <c r="L621">
        <f>IFERROR(SEARCH(search!$B$6,samples!F158,1),0)</f>
        <v>0</v>
      </c>
      <c r="M621" t="str">
        <f>IF(samples!G158=0,"",samples!G158)</f>
        <v/>
      </c>
      <c r="N621">
        <f>IFERROR(SEARCH(search!$B$6,samples!G158,1),0)</f>
        <v>0</v>
      </c>
      <c r="O621" t="str">
        <f>IF(samples!H158=0,"",samples!H158)</f>
        <v/>
      </c>
      <c r="P621">
        <f>IFERROR(SEARCH(search!$B$6,samples!H158,1),0)</f>
        <v>0</v>
      </c>
      <c r="Q621" t="str">
        <f>IF(samples!I158=0,"",samples!I158)</f>
        <v/>
      </c>
      <c r="R621">
        <f>IFERROR(SEARCH(search!$B$6,samples!I158,1),0)</f>
        <v>0</v>
      </c>
      <c r="S621" t="str">
        <f>IF(samples!J158=0,"",samples!J158)</f>
        <v/>
      </c>
      <c r="T621">
        <f>IFERROR(SEARCH(search!$B$6,samples!J158,1),0)</f>
        <v>0</v>
      </c>
      <c r="U621" t="str">
        <f>IF(samples!K158=0,"",samples!K158)</f>
        <v/>
      </c>
      <c r="V621">
        <f>IFERROR(SEARCH(search!$B$6,samples!K158,1),0)</f>
        <v>0</v>
      </c>
      <c r="W621" t="str">
        <f>IF(samples!L158=0,"",samples!L158)</f>
        <v/>
      </c>
      <c r="X621">
        <f>IFERROR(SEARCH(search!$B$6,samples!L158,1),0)</f>
        <v>0</v>
      </c>
      <c r="Y621" t="str">
        <f>IF(samples!M158=0,"",samples!M158)</f>
        <v/>
      </c>
      <c r="Z621">
        <f>IFERROR(SEARCH(search!$B$6,samples!M158,1),0)</f>
        <v>0</v>
      </c>
      <c r="AA621" t="str">
        <f>IF(samples!N158=0,"",samples!N158)</f>
        <v/>
      </c>
      <c r="AB621">
        <f>IFERROR(SEARCH(search!$B$6,samples!N158,1),0)</f>
        <v>0</v>
      </c>
      <c r="AC621" t="str">
        <f>IF(samples!O158=0,"",samples!O158)</f>
        <v/>
      </c>
      <c r="AD621">
        <f>IFERROR(SEARCH(search!$B$6,samples!O158,1),0)</f>
        <v>0</v>
      </c>
    </row>
    <row r="622" spans="1:30">
      <c r="A622">
        <f t="shared" si="9"/>
        <v>0</v>
      </c>
      <c r="B622">
        <f>IF(SUM(D622,F622,H622,J622,L622,N622,P622,R622,T622,V622,X622,Z622,AB622,AD622)&gt;0,SUM($A$2:A622),0)</f>
        <v>0</v>
      </c>
      <c r="C622">
        <f>samples!B159</f>
        <v>0</v>
      </c>
      <c r="D622">
        <f>IFERROR(SEARCH(search!$B$6,samples!B159,1),0)</f>
        <v>0</v>
      </c>
      <c r="E622" t="str">
        <f>IF(samples!C159=0,"",samples!C159)</f>
        <v/>
      </c>
      <c r="F622">
        <f>IFERROR(SEARCH(search!$B$6,samples!C159,1),0)</f>
        <v>0</v>
      </c>
      <c r="G622" t="str">
        <f>IF(samples!D159=0,"",samples!D159)</f>
        <v/>
      </c>
      <c r="H622">
        <f>IFERROR(SEARCH(search!$B$6,samples!D159,1),0)</f>
        <v>0</v>
      </c>
      <c r="I622" t="str">
        <f>IF(samples!E159=0,"",samples!E159)</f>
        <v/>
      </c>
      <c r="J622">
        <f>IFERROR(SEARCH(search!$B$6,samples!E159,1),0)</f>
        <v>0</v>
      </c>
      <c r="K622" t="str">
        <f>IF(samples!F159=0,"",samples!F159)</f>
        <v/>
      </c>
      <c r="L622">
        <f>IFERROR(SEARCH(search!$B$6,samples!F159,1),0)</f>
        <v>0</v>
      </c>
      <c r="M622" t="str">
        <f>IF(samples!G159=0,"",samples!G159)</f>
        <v/>
      </c>
      <c r="N622">
        <f>IFERROR(SEARCH(search!$B$6,samples!G159,1),0)</f>
        <v>0</v>
      </c>
      <c r="O622" t="str">
        <f>IF(samples!H159=0,"",samples!H159)</f>
        <v/>
      </c>
      <c r="P622">
        <f>IFERROR(SEARCH(search!$B$6,samples!H159,1),0)</f>
        <v>0</v>
      </c>
      <c r="Q622" t="str">
        <f>IF(samples!I159=0,"",samples!I159)</f>
        <v/>
      </c>
      <c r="R622">
        <f>IFERROR(SEARCH(search!$B$6,samples!I159,1),0)</f>
        <v>0</v>
      </c>
      <c r="S622" t="str">
        <f>IF(samples!J159=0,"",samples!J159)</f>
        <v/>
      </c>
      <c r="T622">
        <f>IFERROR(SEARCH(search!$B$6,samples!J159,1),0)</f>
        <v>0</v>
      </c>
      <c r="U622" t="str">
        <f>IF(samples!K159=0,"",samples!K159)</f>
        <v/>
      </c>
      <c r="V622">
        <f>IFERROR(SEARCH(search!$B$6,samples!K159,1),0)</f>
        <v>0</v>
      </c>
      <c r="W622" t="str">
        <f>IF(samples!L159=0,"",samples!L159)</f>
        <v/>
      </c>
      <c r="X622">
        <f>IFERROR(SEARCH(search!$B$6,samples!L159,1),0)</f>
        <v>0</v>
      </c>
      <c r="Y622" t="str">
        <f>IF(samples!M159=0,"",samples!M159)</f>
        <v/>
      </c>
      <c r="Z622">
        <f>IFERROR(SEARCH(search!$B$6,samples!M159,1),0)</f>
        <v>0</v>
      </c>
      <c r="AA622" t="str">
        <f>IF(samples!N159=0,"",samples!N159)</f>
        <v/>
      </c>
      <c r="AB622">
        <f>IFERROR(SEARCH(search!$B$6,samples!N159,1),0)</f>
        <v>0</v>
      </c>
      <c r="AC622" t="str">
        <f>IF(samples!O159=0,"",samples!O159)</f>
        <v/>
      </c>
      <c r="AD622">
        <f>IFERROR(SEARCH(search!$B$6,samples!O159,1),0)</f>
        <v>0</v>
      </c>
    </row>
    <row r="623" spans="1:30">
      <c r="A623">
        <f t="shared" si="9"/>
        <v>0</v>
      </c>
      <c r="B623">
        <f>IF(SUM(D623,F623,H623,J623,L623,N623,P623,R623,T623,V623,X623,Z623,AB623,AD623)&gt;0,SUM($A$2:A623),0)</f>
        <v>0</v>
      </c>
      <c r="C623">
        <f>samples!B160</f>
        <v>0</v>
      </c>
      <c r="D623">
        <f>IFERROR(SEARCH(search!$B$6,samples!B160,1),0)</f>
        <v>0</v>
      </c>
      <c r="E623" t="str">
        <f>IF(samples!C160=0,"",samples!C160)</f>
        <v/>
      </c>
      <c r="F623">
        <f>IFERROR(SEARCH(search!$B$6,samples!C160,1),0)</f>
        <v>0</v>
      </c>
      <c r="G623" t="str">
        <f>IF(samples!D160=0,"",samples!D160)</f>
        <v/>
      </c>
      <c r="H623">
        <f>IFERROR(SEARCH(search!$B$6,samples!D160,1),0)</f>
        <v>0</v>
      </c>
      <c r="I623" t="str">
        <f>IF(samples!E160=0,"",samples!E160)</f>
        <v/>
      </c>
      <c r="J623">
        <f>IFERROR(SEARCH(search!$B$6,samples!E160,1),0)</f>
        <v>0</v>
      </c>
      <c r="K623" t="str">
        <f>IF(samples!F160=0,"",samples!F160)</f>
        <v/>
      </c>
      <c r="L623">
        <f>IFERROR(SEARCH(search!$B$6,samples!F160,1),0)</f>
        <v>0</v>
      </c>
      <c r="M623" t="str">
        <f>IF(samples!G160=0,"",samples!G160)</f>
        <v/>
      </c>
      <c r="N623">
        <f>IFERROR(SEARCH(search!$B$6,samples!G160,1),0)</f>
        <v>0</v>
      </c>
      <c r="O623" t="str">
        <f>IF(samples!H160=0,"",samples!H160)</f>
        <v/>
      </c>
      <c r="P623">
        <f>IFERROR(SEARCH(search!$B$6,samples!H160,1),0)</f>
        <v>0</v>
      </c>
      <c r="Q623" t="str">
        <f>IF(samples!I160=0,"",samples!I160)</f>
        <v/>
      </c>
      <c r="R623">
        <f>IFERROR(SEARCH(search!$B$6,samples!I160,1),0)</f>
        <v>0</v>
      </c>
      <c r="S623" t="str">
        <f>IF(samples!J160=0,"",samples!J160)</f>
        <v/>
      </c>
      <c r="T623">
        <f>IFERROR(SEARCH(search!$B$6,samples!J160,1),0)</f>
        <v>0</v>
      </c>
      <c r="U623" t="str">
        <f>IF(samples!K160=0,"",samples!K160)</f>
        <v/>
      </c>
      <c r="V623">
        <f>IFERROR(SEARCH(search!$B$6,samples!K160,1),0)</f>
        <v>0</v>
      </c>
      <c r="W623" t="str">
        <f>IF(samples!L160=0,"",samples!L160)</f>
        <v/>
      </c>
      <c r="X623">
        <f>IFERROR(SEARCH(search!$B$6,samples!L160,1),0)</f>
        <v>0</v>
      </c>
      <c r="Y623" t="str">
        <f>IF(samples!M160=0,"",samples!M160)</f>
        <v/>
      </c>
      <c r="Z623">
        <f>IFERROR(SEARCH(search!$B$6,samples!M160,1),0)</f>
        <v>0</v>
      </c>
      <c r="AA623" t="str">
        <f>IF(samples!N160=0,"",samples!N160)</f>
        <v/>
      </c>
      <c r="AB623">
        <f>IFERROR(SEARCH(search!$B$6,samples!N160,1),0)</f>
        <v>0</v>
      </c>
      <c r="AC623" t="str">
        <f>IF(samples!O160=0,"",samples!O160)</f>
        <v/>
      </c>
      <c r="AD623">
        <f>IFERROR(SEARCH(search!$B$6,samples!O160,1),0)</f>
        <v>0</v>
      </c>
    </row>
    <row r="624" spans="1:30">
      <c r="A624">
        <f t="shared" si="9"/>
        <v>0</v>
      </c>
      <c r="B624">
        <f>IF(SUM(D624,F624,H624,J624,L624,N624,P624,R624,T624,V624,X624,Z624,AB624,AD624)&gt;0,SUM($A$2:A624),0)</f>
        <v>0</v>
      </c>
      <c r="C624">
        <f>samples!B161</f>
        <v>0</v>
      </c>
      <c r="D624">
        <f>IFERROR(SEARCH(search!$B$6,samples!B161,1),0)</f>
        <v>0</v>
      </c>
      <c r="E624" t="str">
        <f>IF(samples!C161=0,"",samples!C161)</f>
        <v/>
      </c>
      <c r="F624">
        <f>IFERROR(SEARCH(search!$B$6,samples!C161,1),0)</f>
        <v>0</v>
      </c>
      <c r="G624" t="str">
        <f>IF(samples!D161=0,"",samples!D161)</f>
        <v/>
      </c>
      <c r="H624">
        <f>IFERROR(SEARCH(search!$B$6,samples!D161,1),0)</f>
        <v>0</v>
      </c>
      <c r="I624" t="str">
        <f>IF(samples!E161=0,"",samples!E161)</f>
        <v/>
      </c>
      <c r="J624">
        <f>IFERROR(SEARCH(search!$B$6,samples!E161,1),0)</f>
        <v>0</v>
      </c>
      <c r="K624" t="str">
        <f>IF(samples!F161=0,"",samples!F161)</f>
        <v/>
      </c>
      <c r="L624">
        <f>IFERROR(SEARCH(search!$B$6,samples!F161,1),0)</f>
        <v>0</v>
      </c>
      <c r="M624" t="str">
        <f>IF(samples!G161=0,"",samples!G161)</f>
        <v/>
      </c>
      <c r="N624">
        <f>IFERROR(SEARCH(search!$B$6,samples!G161,1),0)</f>
        <v>0</v>
      </c>
      <c r="O624" t="str">
        <f>IF(samples!H161=0,"",samples!H161)</f>
        <v/>
      </c>
      <c r="P624">
        <f>IFERROR(SEARCH(search!$B$6,samples!H161,1),0)</f>
        <v>0</v>
      </c>
      <c r="Q624" t="str">
        <f>IF(samples!I161=0,"",samples!I161)</f>
        <v/>
      </c>
      <c r="R624">
        <f>IFERROR(SEARCH(search!$B$6,samples!I161,1),0)</f>
        <v>0</v>
      </c>
      <c r="S624" t="str">
        <f>IF(samples!J161=0,"",samples!J161)</f>
        <v/>
      </c>
      <c r="T624">
        <f>IFERROR(SEARCH(search!$B$6,samples!J161,1),0)</f>
        <v>0</v>
      </c>
      <c r="U624" t="str">
        <f>IF(samples!K161=0,"",samples!K161)</f>
        <v/>
      </c>
      <c r="V624">
        <f>IFERROR(SEARCH(search!$B$6,samples!K161,1),0)</f>
        <v>0</v>
      </c>
      <c r="W624" t="str">
        <f>IF(samples!L161=0,"",samples!L161)</f>
        <v/>
      </c>
      <c r="X624">
        <f>IFERROR(SEARCH(search!$B$6,samples!L161,1),0)</f>
        <v>0</v>
      </c>
      <c r="Y624" t="str">
        <f>IF(samples!M161=0,"",samples!M161)</f>
        <v/>
      </c>
      <c r="Z624">
        <f>IFERROR(SEARCH(search!$B$6,samples!M161,1),0)</f>
        <v>0</v>
      </c>
      <c r="AA624" t="str">
        <f>IF(samples!N161=0,"",samples!N161)</f>
        <v/>
      </c>
      <c r="AB624">
        <f>IFERROR(SEARCH(search!$B$6,samples!N161,1),0)</f>
        <v>0</v>
      </c>
      <c r="AC624" t="str">
        <f>IF(samples!O161=0,"",samples!O161)</f>
        <v/>
      </c>
      <c r="AD624">
        <f>IFERROR(SEARCH(search!$B$6,samples!O161,1),0)</f>
        <v>0</v>
      </c>
    </row>
    <row r="625" spans="1:30">
      <c r="A625">
        <f t="shared" si="9"/>
        <v>0</v>
      </c>
      <c r="B625">
        <f>IF(SUM(D625,F625,H625,J625,L625,N625,P625,R625,T625,V625,X625,Z625,AB625,AD625)&gt;0,SUM($A$2:A625),0)</f>
        <v>0</v>
      </c>
      <c r="C625">
        <f>samples!B162</f>
        <v>0</v>
      </c>
      <c r="D625">
        <f>IFERROR(SEARCH(search!$B$6,samples!B162,1),0)</f>
        <v>0</v>
      </c>
      <c r="E625" t="str">
        <f>IF(samples!C162=0,"",samples!C162)</f>
        <v/>
      </c>
      <c r="F625">
        <f>IFERROR(SEARCH(search!$B$6,samples!C162,1),0)</f>
        <v>0</v>
      </c>
      <c r="G625" t="str">
        <f>IF(samples!D162=0,"",samples!D162)</f>
        <v/>
      </c>
      <c r="H625">
        <f>IFERROR(SEARCH(search!$B$6,samples!D162,1),0)</f>
        <v>0</v>
      </c>
      <c r="I625" t="str">
        <f>IF(samples!E162=0,"",samples!E162)</f>
        <v/>
      </c>
      <c r="J625">
        <f>IFERROR(SEARCH(search!$B$6,samples!E162,1),0)</f>
        <v>0</v>
      </c>
      <c r="K625" t="str">
        <f>IF(samples!F162=0,"",samples!F162)</f>
        <v/>
      </c>
      <c r="L625">
        <f>IFERROR(SEARCH(search!$B$6,samples!F162,1),0)</f>
        <v>0</v>
      </c>
      <c r="M625" t="str">
        <f>IF(samples!G162=0,"",samples!G162)</f>
        <v/>
      </c>
      <c r="N625">
        <f>IFERROR(SEARCH(search!$B$6,samples!G162,1),0)</f>
        <v>0</v>
      </c>
      <c r="O625" t="str">
        <f>IF(samples!H162=0,"",samples!H162)</f>
        <v/>
      </c>
      <c r="P625">
        <f>IFERROR(SEARCH(search!$B$6,samples!H162,1),0)</f>
        <v>0</v>
      </c>
      <c r="Q625" t="str">
        <f>IF(samples!I162=0,"",samples!I162)</f>
        <v/>
      </c>
      <c r="R625">
        <f>IFERROR(SEARCH(search!$B$6,samples!I162,1),0)</f>
        <v>0</v>
      </c>
      <c r="S625" t="str">
        <f>IF(samples!J162=0,"",samples!J162)</f>
        <v/>
      </c>
      <c r="T625">
        <f>IFERROR(SEARCH(search!$B$6,samples!J162,1),0)</f>
        <v>0</v>
      </c>
      <c r="U625" t="str">
        <f>IF(samples!K162=0,"",samples!K162)</f>
        <v/>
      </c>
      <c r="V625">
        <f>IFERROR(SEARCH(search!$B$6,samples!K162,1),0)</f>
        <v>0</v>
      </c>
      <c r="W625" t="str">
        <f>IF(samples!L162=0,"",samples!L162)</f>
        <v/>
      </c>
      <c r="X625">
        <f>IFERROR(SEARCH(search!$B$6,samples!L162,1),0)</f>
        <v>0</v>
      </c>
      <c r="Y625" t="str">
        <f>IF(samples!M162=0,"",samples!M162)</f>
        <v/>
      </c>
      <c r="Z625">
        <f>IFERROR(SEARCH(search!$B$6,samples!M162,1),0)</f>
        <v>0</v>
      </c>
      <c r="AA625" t="str">
        <f>IF(samples!N162=0,"",samples!N162)</f>
        <v/>
      </c>
      <c r="AB625">
        <f>IFERROR(SEARCH(search!$B$6,samples!N162,1),0)</f>
        <v>0</v>
      </c>
      <c r="AC625" t="str">
        <f>IF(samples!O162=0,"",samples!O162)</f>
        <v/>
      </c>
      <c r="AD625">
        <f>IFERROR(SEARCH(search!$B$6,samples!O162,1),0)</f>
        <v>0</v>
      </c>
    </row>
    <row r="626" spans="1:30">
      <c r="A626">
        <f t="shared" si="9"/>
        <v>0</v>
      </c>
      <c r="B626">
        <f>IF(SUM(D626,F626,H626,J626,L626,N626,P626,R626,T626,V626,X626,Z626,AB626,AD626)&gt;0,SUM($A$2:A626),0)</f>
        <v>0</v>
      </c>
      <c r="C626">
        <f>samples!B163</f>
        <v>0</v>
      </c>
      <c r="D626">
        <f>IFERROR(SEARCH(search!$B$6,samples!B163,1),0)</f>
        <v>0</v>
      </c>
      <c r="E626" t="str">
        <f>IF(samples!C163=0,"",samples!C163)</f>
        <v/>
      </c>
      <c r="F626">
        <f>IFERROR(SEARCH(search!$B$6,samples!C163,1),0)</f>
        <v>0</v>
      </c>
      <c r="G626" t="str">
        <f>IF(samples!D163=0,"",samples!D163)</f>
        <v/>
      </c>
      <c r="H626">
        <f>IFERROR(SEARCH(search!$B$6,samples!D163,1),0)</f>
        <v>0</v>
      </c>
      <c r="I626" t="str">
        <f>IF(samples!E163=0,"",samples!E163)</f>
        <v/>
      </c>
      <c r="J626">
        <f>IFERROR(SEARCH(search!$B$6,samples!E163,1),0)</f>
        <v>0</v>
      </c>
      <c r="K626" t="str">
        <f>IF(samples!F163=0,"",samples!F163)</f>
        <v/>
      </c>
      <c r="L626">
        <f>IFERROR(SEARCH(search!$B$6,samples!F163,1),0)</f>
        <v>0</v>
      </c>
      <c r="M626" t="str">
        <f>IF(samples!G163=0,"",samples!G163)</f>
        <v/>
      </c>
      <c r="N626">
        <f>IFERROR(SEARCH(search!$B$6,samples!G163,1),0)</f>
        <v>0</v>
      </c>
      <c r="O626" t="str">
        <f>IF(samples!H163=0,"",samples!H163)</f>
        <v/>
      </c>
      <c r="P626">
        <f>IFERROR(SEARCH(search!$B$6,samples!H163,1),0)</f>
        <v>0</v>
      </c>
      <c r="Q626" t="str">
        <f>IF(samples!I163=0,"",samples!I163)</f>
        <v/>
      </c>
      <c r="R626">
        <f>IFERROR(SEARCH(search!$B$6,samples!I163,1),0)</f>
        <v>0</v>
      </c>
      <c r="S626" t="str">
        <f>IF(samples!J163=0,"",samples!J163)</f>
        <v/>
      </c>
      <c r="T626">
        <f>IFERROR(SEARCH(search!$B$6,samples!J163,1),0)</f>
        <v>0</v>
      </c>
      <c r="U626" t="str">
        <f>IF(samples!K163=0,"",samples!K163)</f>
        <v/>
      </c>
      <c r="V626">
        <f>IFERROR(SEARCH(search!$B$6,samples!K163,1),0)</f>
        <v>0</v>
      </c>
      <c r="W626" t="str">
        <f>IF(samples!L163=0,"",samples!L163)</f>
        <v/>
      </c>
      <c r="X626">
        <f>IFERROR(SEARCH(search!$B$6,samples!L163,1),0)</f>
        <v>0</v>
      </c>
      <c r="Y626" t="str">
        <f>IF(samples!M163=0,"",samples!M163)</f>
        <v/>
      </c>
      <c r="Z626">
        <f>IFERROR(SEARCH(search!$B$6,samples!M163,1),0)</f>
        <v>0</v>
      </c>
      <c r="AA626" t="str">
        <f>IF(samples!N163=0,"",samples!N163)</f>
        <v/>
      </c>
      <c r="AB626">
        <f>IFERROR(SEARCH(search!$B$6,samples!N163,1),0)</f>
        <v>0</v>
      </c>
      <c r="AC626" t="str">
        <f>IF(samples!O163=0,"",samples!O163)</f>
        <v/>
      </c>
      <c r="AD626">
        <f>IFERROR(SEARCH(search!$B$6,samples!O163,1),0)</f>
        <v>0</v>
      </c>
    </row>
    <row r="627" spans="1:30">
      <c r="A627">
        <f t="shared" si="9"/>
        <v>0</v>
      </c>
      <c r="B627">
        <f>IF(SUM(D627,F627,H627,J627,L627,N627,P627,R627,T627,V627,X627,Z627,AB627,AD627)&gt;0,SUM($A$2:A627),0)</f>
        <v>0</v>
      </c>
      <c r="C627">
        <f>samples!B164</f>
        <v>0</v>
      </c>
      <c r="D627">
        <f>IFERROR(SEARCH(search!$B$6,samples!B164,1),0)</f>
        <v>0</v>
      </c>
      <c r="E627" t="str">
        <f>IF(samples!C164=0,"",samples!C164)</f>
        <v/>
      </c>
      <c r="F627">
        <f>IFERROR(SEARCH(search!$B$6,samples!C164,1),0)</f>
        <v>0</v>
      </c>
      <c r="G627" t="str">
        <f>IF(samples!D164=0,"",samples!D164)</f>
        <v/>
      </c>
      <c r="H627">
        <f>IFERROR(SEARCH(search!$B$6,samples!D164,1),0)</f>
        <v>0</v>
      </c>
      <c r="I627" t="str">
        <f>IF(samples!E164=0,"",samples!E164)</f>
        <v/>
      </c>
      <c r="J627">
        <f>IFERROR(SEARCH(search!$B$6,samples!E164,1),0)</f>
        <v>0</v>
      </c>
      <c r="K627" t="str">
        <f>IF(samples!F164=0,"",samples!F164)</f>
        <v/>
      </c>
      <c r="L627">
        <f>IFERROR(SEARCH(search!$B$6,samples!F164,1),0)</f>
        <v>0</v>
      </c>
      <c r="M627" t="str">
        <f>IF(samples!G164=0,"",samples!G164)</f>
        <v/>
      </c>
      <c r="N627">
        <f>IFERROR(SEARCH(search!$B$6,samples!G164,1),0)</f>
        <v>0</v>
      </c>
      <c r="O627" t="str">
        <f>IF(samples!H164=0,"",samples!H164)</f>
        <v/>
      </c>
      <c r="P627">
        <f>IFERROR(SEARCH(search!$B$6,samples!H164,1),0)</f>
        <v>0</v>
      </c>
      <c r="Q627" t="str">
        <f>IF(samples!I164=0,"",samples!I164)</f>
        <v/>
      </c>
      <c r="R627">
        <f>IFERROR(SEARCH(search!$B$6,samples!I164,1),0)</f>
        <v>0</v>
      </c>
      <c r="S627" t="str">
        <f>IF(samples!J164=0,"",samples!J164)</f>
        <v/>
      </c>
      <c r="T627">
        <f>IFERROR(SEARCH(search!$B$6,samples!J164,1),0)</f>
        <v>0</v>
      </c>
      <c r="U627" t="str">
        <f>IF(samples!K164=0,"",samples!K164)</f>
        <v/>
      </c>
      <c r="V627">
        <f>IFERROR(SEARCH(search!$B$6,samples!K164,1),0)</f>
        <v>0</v>
      </c>
      <c r="W627" t="str">
        <f>IF(samples!L164=0,"",samples!L164)</f>
        <v/>
      </c>
      <c r="X627">
        <f>IFERROR(SEARCH(search!$B$6,samples!L164,1),0)</f>
        <v>0</v>
      </c>
      <c r="Y627" t="str">
        <f>IF(samples!M164=0,"",samples!M164)</f>
        <v/>
      </c>
      <c r="Z627">
        <f>IFERROR(SEARCH(search!$B$6,samples!M164,1),0)</f>
        <v>0</v>
      </c>
      <c r="AA627" t="str">
        <f>IF(samples!N164=0,"",samples!N164)</f>
        <v/>
      </c>
      <c r="AB627">
        <f>IFERROR(SEARCH(search!$B$6,samples!N164,1),0)</f>
        <v>0</v>
      </c>
      <c r="AC627" t="str">
        <f>IF(samples!O164=0,"",samples!O164)</f>
        <v/>
      </c>
      <c r="AD627">
        <f>IFERROR(SEARCH(search!$B$6,samples!O164,1),0)</f>
        <v>0</v>
      </c>
    </row>
    <row r="628" spans="1:30">
      <c r="A628">
        <f t="shared" si="9"/>
        <v>0</v>
      </c>
      <c r="B628">
        <f>IF(SUM(D628,F628,H628,J628,L628,N628,P628,R628,T628,V628,X628,Z628,AB628,AD628)&gt;0,SUM($A$2:A628),0)</f>
        <v>0</v>
      </c>
      <c r="C628">
        <f>samples!B165</f>
        <v>0</v>
      </c>
      <c r="D628">
        <f>IFERROR(SEARCH(search!$B$6,samples!B165,1),0)</f>
        <v>0</v>
      </c>
      <c r="E628" t="str">
        <f>IF(samples!C165=0,"",samples!C165)</f>
        <v/>
      </c>
      <c r="F628">
        <f>IFERROR(SEARCH(search!$B$6,samples!C165,1),0)</f>
        <v>0</v>
      </c>
      <c r="G628" t="str">
        <f>IF(samples!D165=0,"",samples!D165)</f>
        <v/>
      </c>
      <c r="H628">
        <f>IFERROR(SEARCH(search!$B$6,samples!D165,1),0)</f>
        <v>0</v>
      </c>
      <c r="I628" t="str">
        <f>IF(samples!E165=0,"",samples!E165)</f>
        <v/>
      </c>
      <c r="J628">
        <f>IFERROR(SEARCH(search!$B$6,samples!E165,1),0)</f>
        <v>0</v>
      </c>
      <c r="K628" t="str">
        <f>IF(samples!F165=0,"",samples!F165)</f>
        <v/>
      </c>
      <c r="L628">
        <f>IFERROR(SEARCH(search!$B$6,samples!F165,1),0)</f>
        <v>0</v>
      </c>
      <c r="M628" t="str">
        <f>IF(samples!G165=0,"",samples!G165)</f>
        <v/>
      </c>
      <c r="N628">
        <f>IFERROR(SEARCH(search!$B$6,samples!G165,1),0)</f>
        <v>0</v>
      </c>
      <c r="O628" t="str">
        <f>IF(samples!H165=0,"",samples!H165)</f>
        <v/>
      </c>
      <c r="P628">
        <f>IFERROR(SEARCH(search!$B$6,samples!H165,1),0)</f>
        <v>0</v>
      </c>
      <c r="Q628" t="str">
        <f>IF(samples!I165=0,"",samples!I165)</f>
        <v/>
      </c>
      <c r="R628">
        <f>IFERROR(SEARCH(search!$B$6,samples!I165,1),0)</f>
        <v>0</v>
      </c>
      <c r="S628" t="str">
        <f>IF(samples!J165=0,"",samples!J165)</f>
        <v/>
      </c>
      <c r="T628">
        <f>IFERROR(SEARCH(search!$B$6,samples!J165,1),0)</f>
        <v>0</v>
      </c>
      <c r="U628" t="str">
        <f>IF(samples!K165=0,"",samples!K165)</f>
        <v/>
      </c>
      <c r="V628">
        <f>IFERROR(SEARCH(search!$B$6,samples!K165,1),0)</f>
        <v>0</v>
      </c>
      <c r="W628" t="str">
        <f>IF(samples!L165=0,"",samples!L165)</f>
        <v/>
      </c>
      <c r="X628">
        <f>IFERROR(SEARCH(search!$B$6,samples!L165,1),0)</f>
        <v>0</v>
      </c>
      <c r="Y628" t="str">
        <f>IF(samples!M165=0,"",samples!M165)</f>
        <v/>
      </c>
      <c r="Z628">
        <f>IFERROR(SEARCH(search!$B$6,samples!M165,1),0)</f>
        <v>0</v>
      </c>
      <c r="AA628" t="str">
        <f>IF(samples!N165=0,"",samples!N165)</f>
        <v/>
      </c>
      <c r="AB628">
        <f>IFERROR(SEARCH(search!$B$6,samples!N165,1),0)</f>
        <v>0</v>
      </c>
      <c r="AC628" t="str">
        <f>IF(samples!O165=0,"",samples!O165)</f>
        <v/>
      </c>
      <c r="AD628">
        <f>IFERROR(SEARCH(search!$B$6,samples!O165,1),0)</f>
        <v>0</v>
      </c>
    </row>
    <row r="629" spans="1:30">
      <c r="A629">
        <f t="shared" si="9"/>
        <v>0</v>
      </c>
      <c r="B629">
        <f>IF(SUM(D629,F629,H629,J629,L629,N629,P629,R629,T629,V629,X629,Z629,AB629,AD629)&gt;0,SUM($A$2:A629),0)</f>
        <v>0</v>
      </c>
      <c r="C629">
        <f>samples!B166</f>
        <v>0</v>
      </c>
      <c r="D629">
        <f>IFERROR(SEARCH(search!$B$6,samples!B166,1),0)</f>
        <v>0</v>
      </c>
      <c r="E629" t="str">
        <f>IF(samples!C166=0,"",samples!C166)</f>
        <v/>
      </c>
      <c r="F629">
        <f>IFERROR(SEARCH(search!$B$6,samples!C166,1),0)</f>
        <v>0</v>
      </c>
      <c r="G629" t="str">
        <f>IF(samples!D166=0,"",samples!D166)</f>
        <v/>
      </c>
      <c r="H629">
        <f>IFERROR(SEARCH(search!$B$6,samples!D166,1),0)</f>
        <v>0</v>
      </c>
      <c r="I629" t="str">
        <f>IF(samples!E166=0,"",samples!E166)</f>
        <v/>
      </c>
      <c r="J629">
        <f>IFERROR(SEARCH(search!$B$6,samples!E166,1),0)</f>
        <v>0</v>
      </c>
      <c r="K629" t="str">
        <f>IF(samples!F166=0,"",samples!F166)</f>
        <v/>
      </c>
      <c r="L629">
        <f>IFERROR(SEARCH(search!$B$6,samples!F166,1),0)</f>
        <v>0</v>
      </c>
      <c r="M629" t="str">
        <f>IF(samples!G166=0,"",samples!G166)</f>
        <v/>
      </c>
      <c r="N629">
        <f>IFERROR(SEARCH(search!$B$6,samples!G166,1),0)</f>
        <v>0</v>
      </c>
      <c r="O629" t="str">
        <f>IF(samples!H166=0,"",samples!H166)</f>
        <v/>
      </c>
      <c r="P629">
        <f>IFERROR(SEARCH(search!$B$6,samples!H166,1),0)</f>
        <v>0</v>
      </c>
      <c r="Q629" t="str">
        <f>IF(samples!I166=0,"",samples!I166)</f>
        <v/>
      </c>
      <c r="R629">
        <f>IFERROR(SEARCH(search!$B$6,samples!I166,1),0)</f>
        <v>0</v>
      </c>
      <c r="S629" t="str">
        <f>IF(samples!J166=0,"",samples!J166)</f>
        <v/>
      </c>
      <c r="T629">
        <f>IFERROR(SEARCH(search!$B$6,samples!J166,1),0)</f>
        <v>0</v>
      </c>
      <c r="U629" t="str">
        <f>IF(samples!K166=0,"",samples!K166)</f>
        <v/>
      </c>
      <c r="V629">
        <f>IFERROR(SEARCH(search!$B$6,samples!K166,1),0)</f>
        <v>0</v>
      </c>
      <c r="W629" t="str">
        <f>IF(samples!L166=0,"",samples!L166)</f>
        <v/>
      </c>
      <c r="X629">
        <f>IFERROR(SEARCH(search!$B$6,samples!L166,1),0)</f>
        <v>0</v>
      </c>
      <c r="Y629" t="str">
        <f>IF(samples!M166=0,"",samples!M166)</f>
        <v/>
      </c>
      <c r="Z629">
        <f>IFERROR(SEARCH(search!$B$6,samples!M166,1),0)</f>
        <v>0</v>
      </c>
      <c r="AA629" t="str">
        <f>IF(samples!N166=0,"",samples!N166)</f>
        <v/>
      </c>
      <c r="AB629">
        <f>IFERROR(SEARCH(search!$B$6,samples!N166,1),0)</f>
        <v>0</v>
      </c>
      <c r="AC629" t="str">
        <f>IF(samples!O166=0,"",samples!O166)</f>
        <v/>
      </c>
      <c r="AD629">
        <f>IFERROR(SEARCH(search!$B$6,samples!O166,1),0)</f>
        <v>0</v>
      </c>
    </row>
    <row r="630" spans="1:30">
      <c r="A630">
        <f t="shared" si="9"/>
        <v>0</v>
      </c>
      <c r="B630">
        <f>IF(SUM(D630,F630,H630,J630,L630,N630,P630,R630,T630,V630,X630,Z630,AB630,AD630)&gt;0,SUM($A$2:A630),0)</f>
        <v>0</v>
      </c>
      <c r="C630">
        <f>samples!B167</f>
        <v>0</v>
      </c>
      <c r="D630">
        <f>IFERROR(SEARCH(search!$B$6,samples!B167,1),0)</f>
        <v>0</v>
      </c>
      <c r="E630" t="str">
        <f>IF(samples!C167=0,"",samples!C167)</f>
        <v/>
      </c>
      <c r="F630">
        <f>IFERROR(SEARCH(search!$B$6,samples!C167,1),0)</f>
        <v>0</v>
      </c>
      <c r="G630" t="str">
        <f>IF(samples!D167=0,"",samples!D167)</f>
        <v/>
      </c>
      <c r="H630">
        <f>IFERROR(SEARCH(search!$B$6,samples!D167,1),0)</f>
        <v>0</v>
      </c>
      <c r="I630" t="str">
        <f>IF(samples!E167=0,"",samples!E167)</f>
        <v/>
      </c>
      <c r="J630">
        <f>IFERROR(SEARCH(search!$B$6,samples!E167,1),0)</f>
        <v>0</v>
      </c>
      <c r="K630" t="str">
        <f>IF(samples!F167=0,"",samples!F167)</f>
        <v/>
      </c>
      <c r="L630">
        <f>IFERROR(SEARCH(search!$B$6,samples!F167,1),0)</f>
        <v>0</v>
      </c>
      <c r="M630" t="str">
        <f>IF(samples!G167=0,"",samples!G167)</f>
        <v/>
      </c>
      <c r="N630">
        <f>IFERROR(SEARCH(search!$B$6,samples!G167,1),0)</f>
        <v>0</v>
      </c>
      <c r="O630" t="str">
        <f>IF(samples!H167=0,"",samples!H167)</f>
        <v/>
      </c>
      <c r="P630">
        <f>IFERROR(SEARCH(search!$B$6,samples!H167,1),0)</f>
        <v>0</v>
      </c>
      <c r="Q630" t="str">
        <f>IF(samples!I167=0,"",samples!I167)</f>
        <v/>
      </c>
      <c r="R630">
        <f>IFERROR(SEARCH(search!$B$6,samples!I167,1),0)</f>
        <v>0</v>
      </c>
      <c r="S630" t="str">
        <f>IF(samples!J167=0,"",samples!J167)</f>
        <v/>
      </c>
      <c r="T630">
        <f>IFERROR(SEARCH(search!$B$6,samples!J167,1),0)</f>
        <v>0</v>
      </c>
      <c r="U630" t="str">
        <f>IF(samples!K167=0,"",samples!K167)</f>
        <v/>
      </c>
      <c r="V630">
        <f>IFERROR(SEARCH(search!$B$6,samples!K167,1),0)</f>
        <v>0</v>
      </c>
      <c r="W630" t="str">
        <f>IF(samples!L167=0,"",samples!L167)</f>
        <v/>
      </c>
      <c r="X630">
        <f>IFERROR(SEARCH(search!$B$6,samples!L167,1),0)</f>
        <v>0</v>
      </c>
      <c r="Y630" t="str">
        <f>IF(samples!M167=0,"",samples!M167)</f>
        <v/>
      </c>
      <c r="Z630">
        <f>IFERROR(SEARCH(search!$B$6,samples!M167,1),0)</f>
        <v>0</v>
      </c>
      <c r="AA630" t="str">
        <f>IF(samples!N167=0,"",samples!N167)</f>
        <v/>
      </c>
      <c r="AB630">
        <f>IFERROR(SEARCH(search!$B$6,samples!N167,1),0)</f>
        <v>0</v>
      </c>
      <c r="AC630" t="str">
        <f>IF(samples!O167=0,"",samples!O167)</f>
        <v/>
      </c>
      <c r="AD630">
        <f>IFERROR(SEARCH(search!$B$6,samples!O167,1),0)</f>
        <v>0</v>
      </c>
    </row>
    <row r="631" spans="1:30">
      <c r="A631">
        <f t="shared" si="9"/>
        <v>0</v>
      </c>
      <c r="B631">
        <f>IF(SUM(D631,F631,H631,J631,L631,N631,P631,R631,T631,V631,X631,Z631,AB631,AD631)&gt;0,SUM($A$2:A631),0)</f>
        <v>0</v>
      </c>
      <c r="C631">
        <f>samples!B168</f>
        <v>0</v>
      </c>
      <c r="D631">
        <f>IFERROR(SEARCH(search!$B$6,samples!B168,1),0)</f>
        <v>0</v>
      </c>
      <c r="E631" t="str">
        <f>IF(samples!C168=0,"",samples!C168)</f>
        <v/>
      </c>
      <c r="F631">
        <f>IFERROR(SEARCH(search!$B$6,samples!C168,1),0)</f>
        <v>0</v>
      </c>
      <c r="G631" t="str">
        <f>IF(samples!D168=0,"",samples!D168)</f>
        <v/>
      </c>
      <c r="H631">
        <f>IFERROR(SEARCH(search!$B$6,samples!D168,1),0)</f>
        <v>0</v>
      </c>
      <c r="I631" t="str">
        <f>IF(samples!E168=0,"",samples!E168)</f>
        <v/>
      </c>
      <c r="J631">
        <f>IFERROR(SEARCH(search!$B$6,samples!E168,1),0)</f>
        <v>0</v>
      </c>
      <c r="K631" t="str">
        <f>IF(samples!F168=0,"",samples!F168)</f>
        <v/>
      </c>
      <c r="L631">
        <f>IFERROR(SEARCH(search!$B$6,samples!F168,1),0)</f>
        <v>0</v>
      </c>
      <c r="M631" t="str">
        <f>IF(samples!G168=0,"",samples!G168)</f>
        <v/>
      </c>
      <c r="N631">
        <f>IFERROR(SEARCH(search!$B$6,samples!G168,1),0)</f>
        <v>0</v>
      </c>
      <c r="O631" t="str">
        <f>IF(samples!H168=0,"",samples!H168)</f>
        <v/>
      </c>
      <c r="P631">
        <f>IFERROR(SEARCH(search!$B$6,samples!H168,1),0)</f>
        <v>0</v>
      </c>
      <c r="Q631" t="str">
        <f>IF(samples!I168=0,"",samples!I168)</f>
        <v/>
      </c>
      <c r="R631">
        <f>IFERROR(SEARCH(search!$B$6,samples!I168,1),0)</f>
        <v>0</v>
      </c>
      <c r="S631" t="str">
        <f>IF(samples!J168=0,"",samples!J168)</f>
        <v/>
      </c>
      <c r="T631">
        <f>IFERROR(SEARCH(search!$B$6,samples!J168,1),0)</f>
        <v>0</v>
      </c>
      <c r="U631" t="str">
        <f>IF(samples!K168=0,"",samples!K168)</f>
        <v/>
      </c>
      <c r="V631">
        <f>IFERROR(SEARCH(search!$B$6,samples!K168,1),0)</f>
        <v>0</v>
      </c>
      <c r="W631" t="str">
        <f>IF(samples!L168=0,"",samples!L168)</f>
        <v/>
      </c>
      <c r="X631">
        <f>IFERROR(SEARCH(search!$B$6,samples!L168,1),0)</f>
        <v>0</v>
      </c>
      <c r="Y631" t="str">
        <f>IF(samples!M168=0,"",samples!M168)</f>
        <v/>
      </c>
      <c r="Z631">
        <f>IFERROR(SEARCH(search!$B$6,samples!M168,1),0)</f>
        <v>0</v>
      </c>
      <c r="AA631" t="str">
        <f>IF(samples!N168=0,"",samples!N168)</f>
        <v/>
      </c>
      <c r="AB631">
        <f>IFERROR(SEARCH(search!$B$6,samples!N168,1),0)</f>
        <v>0</v>
      </c>
      <c r="AC631" t="str">
        <f>IF(samples!O168=0,"",samples!O168)</f>
        <v/>
      </c>
      <c r="AD631">
        <f>IFERROR(SEARCH(search!$B$6,samples!O168,1),0)</f>
        <v>0</v>
      </c>
    </row>
    <row r="632" spans="1:30">
      <c r="A632">
        <f t="shared" si="9"/>
        <v>0</v>
      </c>
      <c r="B632">
        <f>IF(SUM(D632,F632,H632,J632,L632,N632,P632,R632,T632,V632,X632,Z632,AB632,AD632)&gt;0,SUM($A$2:A632),0)</f>
        <v>0</v>
      </c>
      <c r="C632">
        <f>samples!B169</f>
        <v>0</v>
      </c>
      <c r="D632">
        <f>IFERROR(SEARCH(search!$B$6,samples!B169,1),0)</f>
        <v>0</v>
      </c>
      <c r="E632" t="str">
        <f>IF(samples!C169=0,"",samples!C169)</f>
        <v/>
      </c>
      <c r="F632">
        <f>IFERROR(SEARCH(search!$B$6,samples!C169,1),0)</f>
        <v>0</v>
      </c>
      <c r="G632" t="str">
        <f>IF(samples!D169=0,"",samples!D169)</f>
        <v/>
      </c>
      <c r="H632">
        <f>IFERROR(SEARCH(search!$B$6,samples!D169,1),0)</f>
        <v>0</v>
      </c>
      <c r="I632" t="str">
        <f>IF(samples!E169=0,"",samples!E169)</f>
        <v/>
      </c>
      <c r="J632">
        <f>IFERROR(SEARCH(search!$B$6,samples!E169,1),0)</f>
        <v>0</v>
      </c>
      <c r="K632" t="str">
        <f>IF(samples!F169=0,"",samples!F169)</f>
        <v/>
      </c>
      <c r="L632">
        <f>IFERROR(SEARCH(search!$B$6,samples!F169,1),0)</f>
        <v>0</v>
      </c>
      <c r="M632" t="str">
        <f>IF(samples!G169=0,"",samples!G169)</f>
        <v/>
      </c>
      <c r="N632">
        <f>IFERROR(SEARCH(search!$B$6,samples!G169,1),0)</f>
        <v>0</v>
      </c>
      <c r="O632" t="str">
        <f>IF(samples!H169=0,"",samples!H169)</f>
        <v/>
      </c>
      <c r="P632">
        <f>IFERROR(SEARCH(search!$B$6,samples!H169,1),0)</f>
        <v>0</v>
      </c>
      <c r="Q632" t="str">
        <f>IF(samples!I169=0,"",samples!I169)</f>
        <v/>
      </c>
      <c r="R632">
        <f>IFERROR(SEARCH(search!$B$6,samples!I169,1),0)</f>
        <v>0</v>
      </c>
      <c r="S632" t="str">
        <f>IF(samples!J169=0,"",samples!J169)</f>
        <v/>
      </c>
      <c r="T632">
        <f>IFERROR(SEARCH(search!$B$6,samples!J169,1),0)</f>
        <v>0</v>
      </c>
      <c r="U632" t="str">
        <f>IF(samples!K169=0,"",samples!K169)</f>
        <v/>
      </c>
      <c r="V632">
        <f>IFERROR(SEARCH(search!$B$6,samples!K169,1),0)</f>
        <v>0</v>
      </c>
      <c r="W632" t="str">
        <f>IF(samples!L169=0,"",samples!L169)</f>
        <v/>
      </c>
      <c r="X632">
        <f>IFERROR(SEARCH(search!$B$6,samples!L169,1),0)</f>
        <v>0</v>
      </c>
      <c r="Y632" t="str">
        <f>IF(samples!M169=0,"",samples!M169)</f>
        <v/>
      </c>
      <c r="Z632">
        <f>IFERROR(SEARCH(search!$B$6,samples!M169,1),0)</f>
        <v>0</v>
      </c>
      <c r="AA632" t="str">
        <f>IF(samples!N169=0,"",samples!N169)</f>
        <v/>
      </c>
      <c r="AB632">
        <f>IFERROR(SEARCH(search!$B$6,samples!N169,1),0)</f>
        <v>0</v>
      </c>
      <c r="AC632" t="str">
        <f>IF(samples!O169=0,"",samples!O169)</f>
        <v/>
      </c>
      <c r="AD632">
        <f>IFERROR(SEARCH(search!$B$6,samples!O169,1),0)</f>
        <v>0</v>
      </c>
    </row>
    <row r="633" spans="1:30">
      <c r="A633">
        <f t="shared" si="9"/>
        <v>0</v>
      </c>
      <c r="B633">
        <f>IF(SUM(D633,F633,H633,J633,L633,N633,P633,R633,T633,V633,X633,Z633,AB633,AD633)&gt;0,SUM($A$2:A633),0)</f>
        <v>0</v>
      </c>
      <c r="C633">
        <f>samples!B170</f>
        <v>0</v>
      </c>
      <c r="D633">
        <f>IFERROR(SEARCH(search!$B$6,samples!B170,1),0)</f>
        <v>0</v>
      </c>
      <c r="E633" t="str">
        <f>IF(samples!C170=0,"",samples!C170)</f>
        <v/>
      </c>
      <c r="F633">
        <f>IFERROR(SEARCH(search!$B$6,samples!C170,1),0)</f>
        <v>0</v>
      </c>
      <c r="G633" t="str">
        <f>IF(samples!D170=0,"",samples!D170)</f>
        <v/>
      </c>
      <c r="H633">
        <f>IFERROR(SEARCH(search!$B$6,samples!D170,1),0)</f>
        <v>0</v>
      </c>
      <c r="I633" t="str">
        <f>IF(samples!E170=0,"",samples!E170)</f>
        <v/>
      </c>
      <c r="J633">
        <f>IFERROR(SEARCH(search!$B$6,samples!E170,1),0)</f>
        <v>0</v>
      </c>
      <c r="K633" t="str">
        <f>IF(samples!F170=0,"",samples!F170)</f>
        <v/>
      </c>
      <c r="L633">
        <f>IFERROR(SEARCH(search!$B$6,samples!F170,1),0)</f>
        <v>0</v>
      </c>
      <c r="M633" t="str">
        <f>IF(samples!G170=0,"",samples!G170)</f>
        <v/>
      </c>
      <c r="N633">
        <f>IFERROR(SEARCH(search!$B$6,samples!G170,1),0)</f>
        <v>0</v>
      </c>
      <c r="O633" t="str">
        <f>IF(samples!H170=0,"",samples!H170)</f>
        <v/>
      </c>
      <c r="P633">
        <f>IFERROR(SEARCH(search!$B$6,samples!H170,1),0)</f>
        <v>0</v>
      </c>
      <c r="Q633" t="str">
        <f>IF(samples!I170=0,"",samples!I170)</f>
        <v/>
      </c>
      <c r="R633">
        <f>IFERROR(SEARCH(search!$B$6,samples!I170,1),0)</f>
        <v>0</v>
      </c>
      <c r="S633" t="str">
        <f>IF(samples!J170=0,"",samples!J170)</f>
        <v/>
      </c>
      <c r="T633">
        <f>IFERROR(SEARCH(search!$B$6,samples!J170,1),0)</f>
        <v>0</v>
      </c>
      <c r="U633" t="str">
        <f>IF(samples!K170=0,"",samples!K170)</f>
        <v/>
      </c>
      <c r="V633">
        <f>IFERROR(SEARCH(search!$B$6,samples!K170,1),0)</f>
        <v>0</v>
      </c>
      <c r="W633" t="str">
        <f>IF(samples!L170=0,"",samples!L170)</f>
        <v/>
      </c>
      <c r="X633">
        <f>IFERROR(SEARCH(search!$B$6,samples!L170,1),0)</f>
        <v>0</v>
      </c>
      <c r="Y633" t="str">
        <f>IF(samples!M170=0,"",samples!M170)</f>
        <v/>
      </c>
      <c r="Z633">
        <f>IFERROR(SEARCH(search!$B$6,samples!M170,1),0)</f>
        <v>0</v>
      </c>
      <c r="AA633" t="str">
        <f>IF(samples!N170=0,"",samples!N170)</f>
        <v/>
      </c>
      <c r="AB633">
        <f>IFERROR(SEARCH(search!$B$6,samples!N170,1),0)</f>
        <v>0</v>
      </c>
      <c r="AC633" t="str">
        <f>IF(samples!O170=0,"",samples!O170)</f>
        <v/>
      </c>
      <c r="AD633">
        <f>IFERROR(SEARCH(search!$B$6,samples!O170,1),0)</f>
        <v>0</v>
      </c>
    </row>
    <row r="634" spans="1:30">
      <c r="A634">
        <f t="shared" si="9"/>
        <v>0</v>
      </c>
      <c r="B634">
        <f>IF(SUM(D634,F634,H634,J634,L634,N634,P634,R634,T634,V634,X634,Z634,AB634,AD634)&gt;0,SUM($A$2:A634),0)</f>
        <v>0</v>
      </c>
      <c r="C634">
        <f>samples!B171</f>
        <v>0</v>
      </c>
      <c r="D634">
        <f>IFERROR(SEARCH(search!$B$6,samples!B171,1),0)</f>
        <v>0</v>
      </c>
      <c r="E634" t="str">
        <f>IF(samples!C171=0,"",samples!C171)</f>
        <v/>
      </c>
      <c r="F634">
        <f>IFERROR(SEARCH(search!$B$6,samples!C171,1),0)</f>
        <v>0</v>
      </c>
      <c r="G634" t="str">
        <f>IF(samples!D171=0,"",samples!D171)</f>
        <v/>
      </c>
      <c r="H634">
        <f>IFERROR(SEARCH(search!$B$6,samples!D171,1),0)</f>
        <v>0</v>
      </c>
      <c r="I634" t="str">
        <f>IF(samples!E171=0,"",samples!E171)</f>
        <v/>
      </c>
      <c r="J634">
        <f>IFERROR(SEARCH(search!$B$6,samples!E171,1),0)</f>
        <v>0</v>
      </c>
      <c r="K634" t="str">
        <f>IF(samples!F171=0,"",samples!F171)</f>
        <v/>
      </c>
      <c r="L634">
        <f>IFERROR(SEARCH(search!$B$6,samples!F171,1),0)</f>
        <v>0</v>
      </c>
      <c r="M634" t="str">
        <f>IF(samples!G171=0,"",samples!G171)</f>
        <v/>
      </c>
      <c r="N634">
        <f>IFERROR(SEARCH(search!$B$6,samples!G171,1),0)</f>
        <v>0</v>
      </c>
      <c r="O634" t="str">
        <f>IF(samples!H171=0,"",samples!H171)</f>
        <v/>
      </c>
      <c r="P634">
        <f>IFERROR(SEARCH(search!$B$6,samples!H171,1),0)</f>
        <v>0</v>
      </c>
      <c r="Q634" t="str">
        <f>IF(samples!I171=0,"",samples!I171)</f>
        <v/>
      </c>
      <c r="R634">
        <f>IFERROR(SEARCH(search!$B$6,samples!I171,1),0)</f>
        <v>0</v>
      </c>
      <c r="S634" t="str">
        <f>IF(samples!J171=0,"",samples!J171)</f>
        <v/>
      </c>
      <c r="T634">
        <f>IFERROR(SEARCH(search!$B$6,samples!J171,1),0)</f>
        <v>0</v>
      </c>
      <c r="U634" t="str">
        <f>IF(samples!K171=0,"",samples!K171)</f>
        <v/>
      </c>
      <c r="V634">
        <f>IFERROR(SEARCH(search!$B$6,samples!K171,1),0)</f>
        <v>0</v>
      </c>
      <c r="W634" t="str">
        <f>IF(samples!L171=0,"",samples!L171)</f>
        <v/>
      </c>
      <c r="X634">
        <f>IFERROR(SEARCH(search!$B$6,samples!L171,1),0)</f>
        <v>0</v>
      </c>
      <c r="Y634" t="str">
        <f>IF(samples!M171=0,"",samples!M171)</f>
        <v/>
      </c>
      <c r="Z634">
        <f>IFERROR(SEARCH(search!$B$6,samples!M171,1),0)</f>
        <v>0</v>
      </c>
      <c r="AA634" t="str">
        <f>IF(samples!N171=0,"",samples!N171)</f>
        <v/>
      </c>
      <c r="AB634">
        <f>IFERROR(SEARCH(search!$B$6,samples!N171,1),0)</f>
        <v>0</v>
      </c>
      <c r="AC634" t="str">
        <f>IF(samples!O171=0,"",samples!O171)</f>
        <v/>
      </c>
      <c r="AD634">
        <f>IFERROR(SEARCH(search!$B$6,samples!O171,1),0)</f>
        <v>0</v>
      </c>
    </row>
    <row r="635" spans="1:30">
      <c r="A635">
        <f t="shared" si="9"/>
        <v>0</v>
      </c>
      <c r="B635">
        <f>IF(SUM(D635,F635,H635,J635,L635,N635,P635,R635,T635,V635,X635,Z635,AB635,AD635)&gt;0,SUM($A$2:A635),0)</f>
        <v>0</v>
      </c>
      <c r="C635">
        <f>samples!B172</f>
        <v>0</v>
      </c>
      <c r="D635">
        <f>IFERROR(SEARCH(search!$B$6,samples!B172,1),0)</f>
        <v>0</v>
      </c>
      <c r="E635" t="str">
        <f>IF(samples!C172=0,"",samples!C172)</f>
        <v/>
      </c>
      <c r="F635">
        <f>IFERROR(SEARCH(search!$B$6,samples!C172,1),0)</f>
        <v>0</v>
      </c>
      <c r="G635" t="str">
        <f>IF(samples!D172=0,"",samples!D172)</f>
        <v/>
      </c>
      <c r="H635">
        <f>IFERROR(SEARCH(search!$B$6,samples!D172,1),0)</f>
        <v>0</v>
      </c>
      <c r="I635" t="str">
        <f>IF(samples!E172=0,"",samples!E172)</f>
        <v/>
      </c>
      <c r="J635">
        <f>IFERROR(SEARCH(search!$B$6,samples!E172,1),0)</f>
        <v>0</v>
      </c>
      <c r="K635" t="str">
        <f>IF(samples!F172=0,"",samples!F172)</f>
        <v/>
      </c>
      <c r="L635">
        <f>IFERROR(SEARCH(search!$B$6,samples!F172,1),0)</f>
        <v>0</v>
      </c>
      <c r="M635" t="str">
        <f>IF(samples!G172=0,"",samples!G172)</f>
        <v/>
      </c>
      <c r="N635">
        <f>IFERROR(SEARCH(search!$B$6,samples!G172,1),0)</f>
        <v>0</v>
      </c>
      <c r="O635" t="str">
        <f>IF(samples!H172=0,"",samples!H172)</f>
        <v/>
      </c>
      <c r="P635">
        <f>IFERROR(SEARCH(search!$B$6,samples!H172,1),0)</f>
        <v>0</v>
      </c>
      <c r="Q635" t="str">
        <f>IF(samples!I172=0,"",samples!I172)</f>
        <v/>
      </c>
      <c r="R635">
        <f>IFERROR(SEARCH(search!$B$6,samples!I172,1),0)</f>
        <v>0</v>
      </c>
      <c r="S635" t="str">
        <f>IF(samples!J172=0,"",samples!J172)</f>
        <v/>
      </c>
      <c r="T635">
        <f>IFERROR(SEARCH(search!$B$6,samples!J172,1),0)</f>
        <v>0</v>
      </c>
      <c r="U635" t="str">
        <f>IF(samples!K172=0,"",samples!K172)</f>
        <v/>
      </c>
      <c r="V635">
        <f>IFERROR(SEARCH(search!$B$6,samples!K172,1),0)</f>
        <v>0</v>
      </c>
      <c r="W635" t="str">
        <f>IF(samples!L172=0,"",samples!L172)</f>
        <v/>
      </c>
      <c r="X635">
        <f>IFERROR(SEARCH(search!$B$6,samples!L172,1),0)</f>
        <v>0</v>
      </c>
      <c r="Y635" t="str">
        <f>IF(samples!M172=0,"",samples!M172)</f>
        <v/>
      </c>
      <c r="Z635">
        <f>IFERROR(SEARCH(search!$B$6,samples!M172,1),0)</f>
        <v>0</v>
      </c>
      <c r="AA635" t="str">
        <f>IF(samples!N172=0,"",samples!N172)</f>
        <v/>
      </c>
      <c r="AB635">
        <f>IFERROR(SEARCH(search!$B$6,samples!N172,1),0)</f>
        <v>0</v>
      </c>
      <c r="AC635" t="str">
        <f>IF(samples!O172=0,"",samples!O172)</f>
        <v/>
      </c>
      <c r="AD635">
        <f>IFERROR(SEARCH(search!$B$6,samples!O172,1),0)</f>
        <v>0</v>
      </c>
    </row>
    <row r="636" spans="1:30">
      <c r="A636">
        <f t="shared" si="9"/>
        <v>0</v>
      </c>
      <c r="B636">
        <f>IF(SUM(D636,F636,H636,J636,L636,N636,P636,R636,T636,V636,X636,Z636,AB636,AD636)&gt;0,SUM($A$2:A636),0)</f>
        <v>0</v>
      </c>
      <c r="C636">
        <f>samples!B173</f>
        <v>0</v>
      </c>
      <c r="D636">
        <f>IFERROR(SEARCH(search!$B$6,samples!B173,1),0)</f>
        <v>0</v>
      </c>
      <c r="E636" t="str">
        <f>IF(samples!C173=0,"",samples!C173)</f>
        <v/>
      </c>
      <c r="F636">
        <f>IFERROR(SEARCH(search!$B$6,samples!C173,1),0)</f>
        <v>0</v>
      </c>
      <c r="G636" t="str">
        <f>IF(samples!D173=0,"",samples!D173)</f>
        <v/>
      </c>
      <c r="H636">
        <f>IFERROR(SEARCH(search!$B$6,samples!D173,1),0)</f>
        <v>0</v>
      </c>
      <c r="I636" t="str">
        <f>IF(samples!E173=0,"",samples!E173)</f>
        <v/>
      </c>
      <c r="J636">
        <f>IFERROR(SEARCH(search!$B$6,samples!E173,1),0)</f>
        <v>0</v>
      </c>
      <c r="K636" t="str">
        <f>IF(samples!F173=0,"",samples!F173)</f>
        <v/>
      </c>
      <c r="L636">
        <f>IFERROR(SEARCH(search!$B$6,samples!F173,1),0)</f>
        <v>0</v>
      </c>
      <c r="M636" t="str">
        <f>IF(samples!G173=0,"",samples!G173)</f>
        <v/>
      </c>
      <c r="N636">
        <f>IFERROR(SEARCH(search!$B$6,samples!G173,1),0)</f>
        <v>0</v>
      </c>
      <c r="O636" t="str">
        <f>IF(samples!H173=0,"",samples!H173)</f>
        <v/>
      </c>
      <c r="P636">
        <f>IFERROR(SEARCH(search!$B$6,samples!H173,1),0)</f>
        <v>0</v>
      </c>
      <c r="Q636" t="str">
        <f>IF(samples!I173=0,"",samples!I173)</f>
        <v/>
      </c>
      <c r="R636">
        <f>IFERROR(SEARCH(search!$B$6,samples!I173,1),0)</f>
        <v>0</v>
      </c>
      <c r="S636" t="str">
        <f>IF(samples!J173=0,"",samples!J173)</f>
        <v/>
      </c>
      <c r="T636">
        <f>IFERROR(SEARCH(search!$B$6,samples!J173,1),0)</f>
        <v>0</v>
      </c>
      <c r="U636" t="str">
        <f>IF(samples!K173=0,"",samples!K173)</f>
        <v/>
      </c>
      <c r="V636">
        <f>IFERROR(SEARCH(search!$B$6,samples!K173,1),0)</f>
        <v>0</v>
      </c>
      <c r="W636" t="str">
        <f>IF(samples!L173=0,"",samples!L173)</f>
        <v/>
      </c>
      <c r="X636">
        <f>IFERROR(SEARCH(search!$B$6,samples!L173,1),0)</f>
        <v>0</v>
      </c>
      <c r="Y636" t="str">
        <f>IF(samples!M173=0,"",samples!M173)</f>
        <v/>
      </c>
      <c r="Z636">
        <f>IFERROR(SEARCH(search!$B$6,samples!M173,1),0)</f>
        <v>0</v>
      </c>
      <c r="AA636" t="str">
        <f>IF(samples!N173=0,"",samples!N173)</f>
        <v/>
      </c>
      <c r="AB636">
        <f>IFERROR(SEARCH(search!$B$6,samples!N173,1),0)</f>
        <v>0</v>
      </c>
      <c r="AC636" t="str">
        <f>IF(samples!O173=0,"",samples!O173)</f>
        <v/>
      </c>
      <c r="AD636">
        <f>IFERROR(SEARCH(search!$B$6,samples!O173,1),0)</f>
        <v>0</v>
      </c>
    </row>
    <row r="637" spans="1:30">
      <c r="A637">
        <f t="shared" si="9"/>
        <v>0</v>
      </c>
      <c r="B637">
        <f>IF(SUM(D637,F637,H637,J637,L637,N637,P637,R637,T637,V637,X637,Z637,AB637,AD637)&gt;0,SUM($A$2:A637),0)</f>
        <v>0</v>
      </c>
      <c r="C637">
        <f>samples!B174</f>
        <v>0</v>
      </c>
      <c r="D637">
        <f>IFERROR(SEARCH(search!$B$6,samples!B174,1),0)</f>
        <v>0</v>
      </c>
      <c r="E637" t="str">
        <f>IF(samples!C174=0,"",samples!C174)</f>
        <v/>
      </c>
      <c r="F637">
        <f>IFERROR(SEARCH(search!$B$6,samples!C174,1),0)</f>
        <v>0</v>
      </c>
      <c r="G637" t="str">
        <f>IF(samples!D174=0,"",samples!D174)</f>
        <v/>
      </c>
      <c r="H637">
        <f>IFERROR(SEARCH(search!$B$6,samples!D174,1),0)</f>
        <v>0</v>
      </c>
      <c r="I637" t="str">
        <f>IF(samples!E174=0,"",samples!E174)</f>
        <v/>
      </c>
      <c r="J637">
        <f>IFERROR(SEARCH(search!$B$6,samples!E174,1),0)</f>
        <v>0</v>
      </c>
      <c r="K637" t="str">
        <f>IF(samples!F174=0,"",samples!F174)</f>
        <v/>
      </c>
      <c r="L637">
        <f>IFERROR(SEARCH(search!$B$6,samples!F174,1),0)</f>
        <v>0</v>
      </c>
      <c r="M637" t="str">
        <f>IF(samples!G174=0,"",samples!G174)</f>
        <v/>
      </c>
      <c r="N637">
        <f>IFERROR(SEARCH(search!$B$6,samples!G174,1),0)</f>
        <v>0</v>
      </c>
      <c r="O637" t="str">
        <f>IF(samples!H174=0,"",samples!H174)</f>
        <v/>
      </c>
      <c r="P637">
        <f>IFERROR(SEARCH(search!$B$6,samples!H174,1),0)</f>
        <v>0</v>
      </c>
      <c r="Q637" t="str">
        <f>IF(samples!I174=0,"",samples!I174)</f>
        <v/>
      </c>
      <c r="R637">
        <f>IFERROR(SEARCH(search!$B$6,samples!I174,1),0)</f>
        <v>0</v>
      </c>
      <c r="S637" t="str">
        <f>IF(samples!J174=0,"",samples!J174)</f>
        <v/>
      </c>
      <c r="T637">
        <f>IFERROR(SEARCH(search!$B$6,samples!J174,1),0)</f>
        <v>0</v>
      </c>
      <c r="U637" t="str">
        <f>IF(samples!K174=0,"",samples!K174)</f>
        <v/>
      </c>
      <c r="V637">
        <f>IFERROR(SEARCH(search!$B$6,samples!K174,1),0)</f>
        <v>0</v>
      </c>
      <c r="W637" t="str">
        <f>IF(samples!L174=0,"",samples!L174)</f>
        <v/>
      </c>
      <c r="X637">
        <f>IFERROR(SEARCH(search!$B$6,samples!L174,1),0)</f>
        <v>0</v>
      </c>
      <c r="Y637" t="str">
        <f>IF(samples!M174=0,"",samples!M174)</f>
        <v/>
      </c>
      <c r="Z637">
        <f>IFERROR(SEARCH(search!$B$6,samples!M174,1),0)</f>
        <v>0</v>
      </c>
      <c r="AA637" t="str">
        <f>IF(samples!N174=0,"",samples!N174)</f>
        <v/>
      </c>
      <c r="AB637">
        <f>IFERROR(SEARCH(search!$B$6,samples!N174,1),0)</f>
        <v>0</v>
      </c>
      <c r="AC637" t="str">
        <f>IF(samples!O174=0,"",samples!O174)</f>
        <v/>
      </c>
      <c r="AD637">
        <f>IFERROR(SEARCH(search!$B$6,samples!O174,1),0)</f>
        <v>0</v>
      </c>
    </row>
    <row r="638" spans="1:30">
      <c r="A638">
        <f t="shared" si="9"/>
        <v>0</v>
      </c>
      <c r="B638">
        <f>IF(SUM(D638,F638,H638,J638,L638,N638,P638,R638,T638,V638,X638,Z638,AB638,AD638)&gt;0,SUM($A$2:A638),0)</f>
        <v>0</v>
      </c>
      <c r="C638">
        <f>samples!B175</f>
        <v>0</v>
      </c>
      <c r="D638">
        <f>IFERROR(SEARCH(search!$B$6,samples!B175,1),0)</f>
        <v>0</v>
      </c>
      <c r="E638" t="str">
        <f>IF(samples!C175=0,"",samples!C175)</f>
        <v/>
      </c>
      <c r="F638">
        <f>IFERROR(SEARCH(search!$B$6,samples!C175,1),0)</f>
        <v>0</v>
      </c>
      <c r="G638" t="str">
        <f>IF(samples!D175=0,"",samples!D175)</f>
        <v/>
      </c>
      <c r="H638">
        <f>IFERROR(SEARCH(search!$B$6,samples!D175,1),0)</f>
        <v>0</v>
      </c>
      <c r="I638" t="str">
        <f>IF(samples!E175=0,"",samples!E175)</f>
        <v/>
      </c>
      <c r="J638">
        <f>IFERROR(SEARCH(search!$B$6,samples!E175,1),0)</f>
        <v>0</v>
      </c>
      <c r="K638" t="str">
        <f>IF(samples!F175=0,"",samples!F175)</f>
        <v/>
      </c>
      <c r="L638">
        <f>IFERROR(SEARCH(search!$B$6,samples!F175,1),0)</f>
        <v>0</v>
      </c>
      <c r="M638" t="str">
        <f>IF(samples!G175=0,"",samples!G175)</f>
        <v/>
      </c>
      <c r="N638">
        <f>IFERROR(SEARCH(search!$B$6,samples!G175,1),0)</f>
        <v>0</v>
      </c>
      <c r="O638" t="str">
        <f>IF(samples!H175=0,"",samples!H175)</f>
        <v/>
      </c>
      <c r="P638">
        <f>IFERROR(SEARCH(search!$B$6,samples!H175,1),0)</f>
        <v>0</v>
      </c>
      <c r="Q638" t="str">
        <f>IF(samples!I175=0,"",samples!I175)</f>
        <v/>
      </c>
      <c r="R638">
        <f>IFERROR(SEARCH(search!$B$6,samples!I175,1),0)</f>
        <v>0</v>
      </c>
      <c r="S638" t="str">
        <f>IF(samples!J175=0,"",samples!J175)</f>
        <v/>
      </c>
      <c r="T638">
        <f>IFERROR(SEARCH(search!$B$6,samples!J175,1),0)</f>
        <v>0</v>
      </c>
      <c r="U638" t="str">
        <f>IF(samples!K175=0,"",samples!K175)</f>
        <v/>
      </c>
      <c r="V638">
        <f>IFERROR(SEARCH(search!$B$6,samples!K175,1),0)</f>
        <v>0</v>
      </c>
      <c r="W638" t="str">
        <f>IF(samples!L175=0,"",samples!L175)</f>
        <v/>
      </c>
      <c r="X638">
        <f>IFERROR(SEARCH(search!$B$6,samples!L175,1),0)</f>
        <v>0</v>
      </c>
      <c r="Y638" t="str">
        <f>IF(samples!M175=0,"",samples!M175)</f>
        <v/>
      </c>
      <c r="Z638">
        <f>IFERROR(SEARCH(search!$B$6,samples!M175,1),0)</f>
        <v>0</v>
      </c>
      <c r="AA638" t="str">
        <f>IF(samples!N175=0,"",samples!N175)</f>
        <v/>
      </c>
      <c r="AB638">
        <f>IFERROR(SEARCH(search!$B$6,samples!N175,1),0)</f>
        <v>0</v>
      </c>
      <c r="AC638" t="str">
        <f>IF(samples!O175=0,"",samples!O175)</f>
        <v/>
      </c>
      <c r="AD638">
        <f>IFERROR(SEARCH(search!$B$6,samples!O175,1),0)</f>
        <v>0</v>
      </c>
    </row>
    <row r="639" spans="1:30">
      <c r="A639">
        <f t="shared" si="9"/>
        <v>0</v>
      </c>
      <c r="B639">
        <f>IF(SUM(D639,F639,H639,J639,L639,N639,P639,R639,T639,V639,X639,Z639,AB639,AD639)&gt;0,SUM($A$2:A639),0)</f>
        <v>0</v>
      </c>
      <c r="C639">
        <f>samples!B176</f>
        <v>0</v>
      </c>
      <c r="D639">
        <f>IFERROR(SEARCH(search!$B$6,samples!B176,1),0)</f>
        <v>0</v>
      </c>
      <c r="E639" t="str">
        <f>IF(samples!C176=0,"",samples!C176)</f>
        <v/>
      </c>
      <c r="F639">
        <f>IFERROR(SEARCH(search!$B$6,samples!C176,1),0)</f>
        <v>0</v>
      </c>
      <c r="G639" t="str">
        <f>IF(samples!D176=0,"",samples!D176)</f>
        <v/>
      </c>
      <c r="H639">
        <f>IFERROR(SEARCH(search!$B$6,samples!D176,1),0)</f>
        <v>0</v>
      </c>
      <c r="I639" t="str">
        <f>IF(samples!E176=0,"",samples!E176)</f>
        <v/>
      </c>
      <c r="J639">
        <f>IFERROR(SEARCH(search!$B$6,samples!E176,1),0)</f>
        <v>0</v>
      </c>
      <c r="K639" t="str">
        <f>IF(samples!F176=0,"",samples!F176)</f>
        <v/>
      </c>
      <c r="L639">
        <f>IFERROR(SEARCH(search!$B$6,samples!F176,1),0)</f>
        <v>0</v>
      </c>
      <c r="M639" t="str">
        <f>IF(samples!G176=0,"",samples!G176)</f>
        <v/>
      </c>
      <c r="N639">
        <f>IFERROR(SEARCH(search!$B$6,samples!G176,1),0)</f>
        <v>0</v>
      </c>
      <c r="O639" t="str">
        <f>IF(samples!H176=0,"",samples!H176)</f>
        <v/>
      </c>
      <c r="P639">
        <f>IFERROR(SEARCH(search!$B$6,samples!H176,1),0)</f>
        <v>0</v>
      </c>
      <c r="Q639" t="str">
        <f>IF(samples!I176=0,"",samples!I176)</f>
        <v/>
      </c>
      <c r="R639">
        <f>IFERROR(SEARCH(search!$B$6,samples!I176,1),0)</f>
        <v>0</v>
      </c>
      <c r="S639" t="str">
        <f>IF(samples!J176=0,"",samples!J176)</f>
        <v/>
      </c>
      <c r="T639">
        <f>IFERROR(SEARCH(search!$B$6,samples!J176,1),0)</f>
        <v>0</v>
      </c>
      <c r="U639" t="str">
        <f>IF(samples!K176=0,"",samples!K176)</f>
        <v/>
      </c>
      <c r="V639">
        <f>IFERROR(SEARCH(search!$B$6,samples!K176,1),0)</f>
        <v>0</v>
      </c>
      <c r="W639" t="str">
        <f>IF(samples!L176=0,"",samples!L176)</f>
        <v/>
      </c>
      <c r="X639">
        <f>IFERROR(SEARCH(search!$B$6,samples!L176,1),0)</f>
        <v>0</v>
      </c>
      <c r="Y639" t="str">
        <f>IF(samples!M176=0,"",samples!M176)</f>
        <v/>
      </c>
      <c r="Z639">
        <f>IFERROR(SEARCH(search!$B$6,samples!M176,1),0)</f>
        <v>0</v>
      </c>
      <c r="AA639" t="str">
        <f>IF(samples!N176=0,"",samples!N176)</f>
        <v/>
      </c>
      <c r="AB639">
        <f>IFERROR(SEARCH(search!$B$6,samples!N176,1),0)</f>
        <v>0</v>
      </c>
      <c r="AC639" t="str">
        <f>IF(samples!O176=0,"",samples!O176)</f>
        <v/>
      </c>
      <c r="AD639">
        <f>IFERROR(SEARCH(search!$B$6,samples!O176,1),0)</f>
        <v>0</v>
      </c>
    </row>
    <row r="640" spans="1:30">
      <c r="A640">
        <f t="shared" si="9"/>
        <v>0</v>
      </c>
      <c r="B640">
        <f>IF(SUM(D640,F640,H640,J640,L640,N640,P640,R640,T640,V640,X640,Z640,AB640,AD640)&gt;0,SUM($A$2:A640),0)</f>
        <v>0</v>
      </c>
      <c r="C640">
        <f>samples!B177</f>
        <v>0</v>
      </c>
      <c r="D640">
        <f>IFERROR(SEARCH(search!$B$6,samples!B177,1),0)</f>
        <v>0</v>
      </c>
      <c r="E640" t="str">
        <f>IF(samples!C177=0,"",samples!C177)</f>
        <v/>
      </c>
      <c r="F640">
        <f>IFERROR(SEARCH(search!$B$6,samples!C177,1),0)</f>
        <v>0</v>
      </c>
      <c r="G640" t="str">
        <f>IF(samples!D177=0,"",samples!D177)</f>
        <v/>
      </c>
      <c r="H640">
        <f>IFERROR(SEARCH(search!$B$6,samples!D177,1),0)</f>
        <v>0</v>
      </c>
      <c r="I640" t="str">
        <f>IF(samples!E177=0,"",samples!E177)</f>
        <v/>
      </c>
      <c r="J640">
        <f>IFERROR(SEARCH(search!$B$6,samples!E177,1),0)</f>
        <v>0</v>
      </c>
      <c r="K640" t="str">
        <f>IF(samples!F177=0,"",samples!F177)</f>
        <v/>
      </c>
      <c r="L640">
        <f>IFERROR(SEARCH(search!$B$6,samples!F177,1),0)</f>
        <v>0</v>
      </c>
      <c r="M640" t="str">
        <f>IF(samples!G177=0,"",samples!G177)</f>
        <v/>
      </c>
      <c r="N640">
        <f>IFERROR(SEARCH(search!$B$6,samples!G177,1),0)</f>
        <v>0</v>
      </c>
      <c r="O640" t="str">
        <f>IF(samples!H177=0,"",samples!H177)</f>
        <v/>
      </c>
      <c r="P640">
        <f>IFERROR(SEARCH(search!$B$6,samples!H177,1),0)</f>
        <v>0</v>
      </c>
      <c r="Q640" t="str">
        <f>IF(samples!I177=0,"",samples!I177)</f>
        <v/>
      </c>
      <c r="R640">
        <f>IFERROR(SEARCH(search!$B$6,samples!I177,1),0)</f>
        <v>0</v>
      </c>
      <c r="S640" t="str">
        <f>IF(samples!J177=0,"",samples!J177)</f>
        <v/>
      </c>
      <c r="T640">
        <f>IFERROR(SEARCH(search!$B$6,samples!J177,1),0)</f>
        <v>0</v>
      </c>
      <c r="U640" t="str">
        <f>IF(samples!K177=0,"",samples!K177)</f>
        <v/>
      </c>
      <c r="V640">
        <f>IFERROR(SEARCH(search!$B$6,samples!K177,1),0)</f>
        <v>0</v>
      </c>
      <c r="W640" t="str">
        <f>IF(samples!L177=0,"",samples!L177)</f>
        <v/>
      </c>
      <c r="X640">
        <f>IFERROR(SEARCH(search!$B$6,samples!L177,1),0)</f>
        <v>0</v>
      </c>
      <c r="Y640" t="str">
        <f>IF(samples!M177=0,"",samples!M177)</f>
        <v/>
      </c>
      <c r="Z640">
        <f>IFERROR(SEARCH(search!$B$6,samples!M177,1),0)</f>
        <v>0</v>
      </c>
      <c r="AA640" t="str">
        <f>IF(samples!N177=0,"",samples!N177)</f>
        <v/>
      </c>
      <c r="AB640">
        <f>IFERROR(SEARCH(search!$B$6,samples!N177,1),0)</f>
        <v>0</v>
      </c>
      <c r="AC640" t="str">
        <f>IF(samples!O177=0,"",samples!O177)</f>
        <v/>
      </c>
      <c r="AD640">
        <f>IFERROR(SEARCH(search!$B$6,samples!O177,1),0)</f>
        <v>0</v>
      </c>
    </row>
    <row r="641" spans="1:30">
      <c r="A641">
        <f t="shared" si="9"/>
        <v>0</v>
      </c>
      <c r="B641">
        <f>IF(SUM(D641,F641,H641,J641,L641,N641,P641,R641,T641,V641,X641,Z641,AB641,AD641)&gt;0,SUM($A$2:A641),0)</f>
        <v>0</v>
      </c>
      <c r="C641">
        <f>samples!B178</f>
        <v>0</v>
      </c>
      <c r="D641">
        <f>IFERROR(SEARCH(search!$B$6,samples!B178,1),0)</f>
        <v>0</v>
      </c>
      <c r="E641" t="str">
        <f>IF(samples!C178=0,"",samples!C178)</f>
        <v/>
      </c>
      <c r="F641">
        <f>IFERROR(SEARCH(search!$B$6,samples!C178,1),0)</f>
        <v>0</v>
      </c>
      <c r="G641" t="str">
        <f>IF(samples!D178=0,"",samples!D178)</f>
        <v/>
      </c>
      <c r="H641">
        <f>IFERROR(SEARCH(search!$B$6,samples!D178,1),0)</f>
        <v>0</v>
      </c>
      <c r="I641" t="str">
        <f>IF(samples!E178=0,"",samples!E178)</f>
        <v/>
      </c>
      <c r="J641">
        <f>IFERROR(SEARCH(search!$B$6,samples!E178,1),0)</f>
        <v>0</v>
      </c>
      <c r="K641" t="str">
        <f>IF(samples!F178=0,"",samples!F178)</f>
        <v/>
      </c>
      <c r="L641">
        <f>IFERROR(SEARCH(search!$B$6,samples!F178,1),0)</f>
        <v>0</v>
      </c>
      <c r="M641" t="str">
        <f>IF(samples!G178=0,"",samples!G178)</f>
        <v/>
      </c>
      <c r="N641">
        <f>IFERROR(SEARCH(search!$B$6,samples!G178,1),0)</f>
        <v>0</v>
      </c>
      <c r="O641" t="str">
        <f>IF(samples!H178=0,"",samples!H178)</f>
        <v/>
      </c>
      <c r="P641">
        <f>IFERROR(SEARCH(search!$B$6,samples!H178,1),0)</f>
        <v>0</v>
      </c>
      <c r="Q641" t="str">
        <f>IF(samples!I178=0,"",samples!I178)</f>
        <v/>
      </c>
      <c r="R641">
        <f>IFERROR(SEARCH(search!$B$6,samples!I178,1),0)</f>
        <v>0</v>
      </c>
      <c r="S641" t="str">
        <f>IF(samples!J178=0,"",samples!J178)</f>
        <v/>
      </c>
      <c r="T641">
        <f>IFERROR(SEARCH(search!$B$6,samples!J178,1),0)</f>
        <v>0</v>
      </c>
      <c r="U641" t="str">
        <f>IF(samples!K178=0,"",samples!K178)</f>
        <v/>
      </c>
      <c r="V641">
        <f>IFERROR(SEARCH(search!$B$6,samples!K178,1),0)</f>
        <v>0</v>
      </c>
      <c r="W641" t="str">
        <f>IF(samples!L178=0,"",samples!L178)</f>
        <v/>
      </c>
      <c r="X641">
        <f>IFERROR(SEARCH(search!$B$6,samples!L178,1),0)</f>
        <v>0</v>
      </c>
      <c r="Y641" t="str">
        <f>IF(samples!M178=0,"",samples!M178)</f>
        <v/>
      </c>
      <c r="Z641">
        <f>IFERROR(SEARCH(search!$B$6,samples!M178,1),0)</f>
        <v>0</v>
      </c>
      <c r="AA641" t="str">
        <f>IF(samples!N178=0,"",samples!N178)</f>
        <v/>
      </c>
      <c r="AB641">
        <f>IFERROR(SEARCH(search!$B$6,samples!N178,1),0)</f>
        <v>0</v>
      </c>
      <c r="AC641" t="str">
        <f>IF(samples!O178=0,"",samples!O178)</f>
        <v/>
      </c>
      <c r="AD641">
        <f>IFERROR(SEARCH(search!$B$6,samples!O178,1),0)</f>
        <v>0</v>
      </c>
    </row>
    <row r="642" spans="1:30">
      <c r="A642">
        <f t="shared" si="9"/>
        <v>0</v>
      </c>
      <c r="B642">
        <f>IF(SUM(D642,F642,H642,J642,L642,N642,P642,R642,T642,V642,X642,Z642,AB642,AD642)&gt;0,SUM($A$2:A642),0)</f>
        <v>0</v>
      </c>
      <c r="C642">
        <f>samples!B179</f>
        <v>0</v>
      </c>
      <c r="D642">
        <f>IFERROR(SEARCH(search!$B$6,samples!B179,1),0)</f>
        <v>0</v>
      </c>
      <c r="E642" t="str">
        <f>IF(samples!C179=0,"",samples!C179)</f>
        <v/>
      </c>
      <c r="F642">
        <f>IFERROR(SEARCH(search!$B$6,samples!C179,1),0)</f>
        <v>0</v>
      </c>
      <c r="G642" t="str">
        <f>IF(samples!D179=0,"",samples!D179)</f>
        <v/>
      </c>
      <c r="H642">
        <f>IFERROR(SEARCH(search!$B$6,samples!D179,1),0)</f>
        <v>0</v>
      </c>
      <c r="I642" t="str">
        <f>IF(samples!E179=0,"",samples!E179)</f>
        <v/>
      </c>
      <c r="J642">
        <f>IFERROR(SEARCH(search!$B$6,samples!E179,1),0)</f>
        <v>0</v>
      </c>
      <c r="K642" t="str">
        <f>IF(samples!F179=0,"",samples!F179)</f>
        <v/>
      </c>
      <c r="L642">
        <f>IFERROR(SEARCH(search!$B$6,samples!F179,1),0)</f>
        <v>0</v>
      </c>
      <c r="M642" t="str">
        <f>IF(samples!G179=0,"",samples!G179)</f>
        <v/>
      </c>
      <c r="N642">
        <f>IFERROR(SEARCH(search!$B$6,samples!G179,1),0)</f>
        <v>0</v>
      </c>
      <c r="O642" t="str">
        <f>IF(samples!H179=0,"",samples!H179)</f>
        <v/>
      </c>
      <c r="P642">
        <f>IFERROR(SEARCH(search!$B$6,samples!H179,1),0)</f>
        <v>0</v>
      </c>
      <c r="Q642" t="str">
        <f>IF(samples!I179=0,"",samples!I179)</f>
        <v/>
      </c>
      <c r="R642">
        <f>IFERROR(SEARCH(search!$B$6,samples!I179,1),0)</f>
        <v>0</v>
      </c>
      <c r="S642" t="str">
        <f>IF(samples!J179=0,"",samples!J179)</f>
        <v/>
      </c>
      <c r="T642">
        <f>IFERROR(SEARCH(search!$B$6,samples!J179,1),0)</f>
        <v>0</v>
      </c>
      <c r="U642" t="str">
        <f>IF(samples!K179=0,"",samples!K179)</f>
        <v/>
      </c>
      <c r="V642">
        <f>IFERROR(SEARCH(search!$B$6,samples!K179,1),0)</f>
        <v>0</v>
      </c>
      <c r="W642" t="str">
        <f>IF(samples!L179=0,"",samples!L179)</f>
        <v/>
      </c>
      <c r="X642">
        <f>IFERROR(SEARCH(search!$B$6,samples!L179,1),0)</f>
        <v>0</v>
      </c>
      <c r="Y642" t="str">
        <f>IF(samples!M179=0,"",samples!M179)</f>
        <v/>
      </c>
      <c r="Z642">
        <f>IFERROR(SEARCH(search!$B$6,samples!M179,1),0)</f>
        <v>0</v>
      </c>
      <c r="AA642" t="str">
        <f>IF(samples!N179=0,"",samples!N179)</f>
        <v/>
      </c>
      <c r="AB642">
        <f>IFERROR(SEARCH(search!$B$6,samples!N179,1),0)</f>
        <v>0</v>
      </c>
      <c r="AC642" t="str">
        <f>IF(samples!O179=0,"",samples!O179)</f>
        <v/>
      </c>
      <c r="AD642">
        <f>IFERROR(SEARCH(search!$B$6,samples!O179,1),0)</f>
        <v>0</v>
      </c>
    </row>
    <row r="643" spans="1:30">
      <c r="A643">
        <f t="shared" ref="A643:A706" si="10">IF(SUM(D643,F643,H643,J643,L643,N643,P643,R643,T643,V643,X643,Z643,AB643,AD643)&gt;0,1,0)</f>
        <v>0</v>
      </c>
      <c r="B643">
        <f>IF(SUM(D643,F643,H643,J643,L643,N643,P643,R643,T643,V643,X643,Z643,AB643,AD643)&gt;0,SUM($A$2:A643),0)</f>
        <v>0</v>
      </c>
      <c r="C643">
        <f>samples!B180</f>
        <v>0</v>
      </c>
      <c r="D643">
        <f>IFERROR(SEARCH(search!$B$6,samples!B180,1),0)</f>
        <v>0</v>
      </c>
      <c r="E643" t="str">
        <f>IF(samples!C180=0,"",samples!C180)</f>
        <v/>
      </c>
      <c r="F643">
        <f>IFERROR(SEARCH(search!$B$6,samples!C180,1),0)</f>
        <v>0</v>
      </c>
      <c r="G643" t="str">
        <f>IF(samples!D180=0,"",samples!D180)</f>
        <v/>
      </c>
      <c r="H643">
        <f>IFERROR(SEARCH(search!$B$6,samples!D180,1),0)</f>
        <v>0</v>
      </c>
      <c r="I643" t="str">
        <f>IF(samples!E180=0,"",samples!E180)</f>
        <v/>
      </c>
      <c r="J643">
        <f>IFERROR(SEARCH(search!$B$6,samples!E180,1),0)</f>
        <v>0</v>
      </c>
      <c r="K643" t="str">
        <f>IF(samples!F180=0,"",samples!F180)</f>
        <v/>
      </c>
      <c r="L643">
        <f>IFERROR(SEARCH(search!$B$6,samples!F180,1),0)</f>
        <v>0</v>
      </c>
      <c r="M643" t="str">
        <f>IF(samples!G180=0,"",samples!G180)</f>
        <v/>
      </c>
      <c r="N643">
        <f>IFERROR(SEARCH(search!$B$6,samples!G180,1),0)</f>
        <v>0</v>
      </c>
      <c r="O643" t="str">
        <f>IF(samples!H180=0,"",samples!H180)</f>
        <v/>
      </c>
      <c r="P643">
        <f>IFERROR(SEARCH(search!$B$6,samples!H180,1),0)</f>
        <v>0</v>
      </c>
      <c r="Q643" t="str">
        <f>IF(samples!I180=0,"",samples!I180)</f>
        <v/>
      </c>
      <c r="R643">
        <f>IFERROR(SEARCH(search!$B$6,samples!I180,1),0)</f>
        <v>0</v>
      </c>
      <c r="S643" t="str">
        <f>IF(samples!J180=0,"",samples!J180)</f>
        <v/>
      </c>
      <c r="T643">
        <f>IFERROR(SEARCH(search!$B$6,samples!J180,1),0)</f>
        <v>0</v>
      </c>
      <c r="U643" t="str">
        <f>IF(samples!K180=0,"",samples!K180)</f>
        <v/>
      </c>
      <c r="V643">
        <f>IFERROR(SEARCH(search!$B$6,samples!K180,1),0)</f>
        <v>0</v>
      </c>
      <c r="W643" t="str">
        <f>IF(samples!L180=0,"",samples!L180)</f>
        <v/>
      </c>
      <c r="X643">
        <f>IFERROR(SEARCH(search!$B$6,samples!L180,1),0)</f>
        <v>0</v>
      </c>
      <c r="Y643" t="str">
        <f>IF(samples!M180=0,"",samples!M180)</f>
        <v/>
      </c>
      <c r="Z643">
        <f>IFERROR(SEARCH(search!$B$6,samples!M180,1),0)</f>
        <v>0</v>
      </c>
      <c r="AA643" t="str">
        <f>IF(samples!N180=0,"",samples!N180)</f>
        <v/>
      </c>
      <c r="AB643">
        <f>IFERROR(SEARCH(search!$B$6,samples!N180,1),0)</f>
        <v>0</v>
      </c>
      <c r="AC643" t="str">
        <f>IF(samples!O180=0,"",samples!O180)</f>
        <v/>
      </c>
      <c r="AD643">
        <f>IFERROR(SEARCH(search!$B$6,samples!O180,1),0)</f>
        <v>0</v>
      </c>
    </row>
    <row r="644" spans="1:30">
      <c r="A644">
        <f t="shared" si="10"/>
        <v>0</v>
      </c>
      <c r="B644">
        <f>IF(SUM(D644,F644,H644,J644,L644,N644,P644,R644,T644,V644,X644,Z644,AB644,AD644)&gt;0,SUM($A$2:A644),0)</f>
        <v>0</v>
      </c>
      <c r="C644">
        <f>samples!B181</f>
        <v>0</v>
      </c>
      <c r="D644">
        <f>IFERROR(SEARCH(search!$B$6,samples!B181,1),0)</f>
        <v>0</v>
      </c>
      <c r="E644" t="str">
        <f>IF(samples!C181=0,"",samples!C181)</f>
        <v/>
      </c>
      <c r="F644">
        <f>IFERROR(SEARCH(search!$B$6,samples!C181,1),0)</f>
        <v>0</v>
      </c>
      <c r="G644" t="str">
        <f>IF(samples!D181=0,"",samples!D181)</f>
        <v/>
      </c>
      <c r="H644">
        <f>IFERROR(SEARCH(search!$B$6,samples!D181,1),0)</f>
        <v>0</v>
      </c>
      <c r="I644" t="str">
        <f>IF(samples!E181=0,"",samples!E181)</f>
        <v/>
      </c>
      <c r="J644">
        <f>IFERROR(SEARCH(search!$B$6,samples!E181,1),0)</f>
        <v>0</v>
      </c>
      <c r="K644" t="str">
        <f>IF(samples!F181=0,"",samples!F181)</f>
        <v/>
      </c>
      <c r="L644">
        <f>IFERROR(SEARCH(search!$B$6,samples!F181,1),0)</f>
        <v>0</v>
      </c>
      <c r="M644" t="str">
        <f>IF(samples!G181=0,"",samples!G181)</f>
        <v/>
      </c>
      <c r="N644">
        <f>IFERROR(SEARCH(search!$B$6,samples!G181,1),0)</f>
        <v>0</v>
      </c>
      <c r="O644" t="str">
        <f>IF(samples!H181=0,"",samples!H181)</f>
        <v/>
      </c>
      <c r="P644">
        <f>IFERROR(SEARCH(search!$B$6,samples!H181,1),0)</f>
        <v>0</v>
      </c>
      <c r="Q644" t="str">
        <f>IF(samples!I181=0,"",samples!I181)</f>
        <v/>
      </c>
      <c r="R644">
        <f>IFERROR(SEARCH(search!$B$6,samples!I181,1),0)</f>
        <v>0</v>
      </c>
      <c r="S644" t="str">
        <f>IF(samples!J181=0,"",samples!J181)</f>
        <v/>
      </c>
      <c r="T644">
        <f>IFERROR(SEARCH(search!$B$6,samples!J181,1),0)</f>
        <v>0</v>
      </c>
      <c r="U644" t="str">
        <f>IF(samples!K181=0,"",samples!K181)</f>
        <v/>
      </c>
      <c r="V644">
        <f>IFERROR(SEARCH(search!$B$6,samples!K181,1),0)</f>
        <v>0</v>
      </c>
      <c r="W644" t="str">
        <f>IF(samples!L181=0,"",samples!L181)</f>
        <v/>
      </c>
      <c r="X644">
        <f>IFERROR(SEARCH(search!$B$6,samples!L181,1),0)</f>
        <v>0</v>
      </c>
      <c r="Y644" t="str">
        <f>IF(samples!M181=0,"",samples!M181)</f>
        <v/>
      </c>
      <c r="Z644">
        <f>IFERROR(SEARCH(search!$B$6,samples!M181,1),0)</f>
        <v>0</v>
      </c>
      <c r="AA644" t="str">
        <f>IF(samples!N181=0,"",samples!N181)</f>
        <v/>
      </c>
      <c r="AB644">
        <f>IFERROR(SEARCH(search!$B$6,samples!N181,1),0)</f>
        <v>0</v>
      </c>
      <c r="AC644" t="str">
        <f>IF(samples!O181=0,"",samples!O181)</f>
        <v/>
      </c>
      <c r="AD644">
        <f>IFERROR(SEARCH(search!$B$6,samples!O181,1),0)</f>
        <v>0</v>
      </c>
    </row>
    <row r="645" spans="1:30">
      <c r="A645">
        <f t="shared" si="10"/>
        <v>0</v>
      </c>
      <c r="B645">
        <f>IF(SUM(D645,F645,H645,J645,L645,N645,P645,R645,T645,V645,X645,Z645,AB645,AD645)&gt;0,SUM($A$2:A645),0)</f>
        <v>0</v>
      </c>
      <c r="C645">
        <f>samples!B182</f>
        <v>0</v>
      </c>
      <c r="D645">
        <f>IFERROR(SEARCH(search!$B$6,samples!B182,1),0)</f>
        <v>0</v>
      </c>
      <c r="E645" t="str">
        <f>IF(samples!C182=0,"",samples!C182)</f>
        <v/>
      </c>
      <c r="F645">
        <f>IFERROR(SEARCH(search!$B$6,samples!C182,1),0)</f>
        <v>0</v>
      </c>
      <c r="G645" t="str">
        <f>IF(samples!D182=0,"",samples!D182)</f>
        <v/>
      </c>
      <c r="H645">
        <f>IFERROR(SEARCH(search!$B$6,samples!D182,1),0)</f>
        <v>0</v>
      </c>
      <c r="I645" t="str">
        <f>IF(samples!E182=0,"",samples!E182)</f>
        <v/>
      </c>
      <c r="J645">
        <f>IFERROR(SEARCH(search!$B$6,samples!E182,1),0)</f>
        <v>0</v>
      </c>
      <c r="K645" t="str">
        <f>IF(samples!F182=0,"",samples!F182)</f>
        <v/>
      </c>
      <c r="L645">
        <f>IFERROR(SEARCH(search!$B$6,samples!F182,1),0)</f>
        <v>0</v>
      </c>
      <c r="M645" t="str">
        <f>IF(samples!G182=0,"",samples!G182)</f>
        <v/>
      </c>
      <c r="N645">
        <f>IFERROR(SEARCH(search!$B$6,samples!G182,1),0)</f>
        <v>0</v>
      </c>
      <c r="O645" t="str">
        <f>IF(samples!H182=0,"",samples!H182)</f>
        <v/>
      </c>
      <c r="P645">
        <f>IFERROR(SEARCH(search!$B$6,samples!H182,1),0)</f>
        <v>0</v>
      </c>
      <c r="Q645" t="str">
        <f>IF(samples!I182=0,"",samples!I182)</f>
        <v/>
      </c>
      <c r="R645">
        <f>IFERROR(SEARCH(search!$B$6,samples!I182,1),0)</f>
        <v>0</v>
      </c>
      <c r="S645" t="str">
        <f>IF(samples!J182=0,"",samples!J182)</f>
        <v/>
      </c>
      <c r="T645">
        <f>IFERROR(SEARCH(search!$B$6,samples!J182,1),0)</f>
        <v>0</v>
      </c>
      <c r="U645" t="str">
        <f>IF(samples!K182=0,"",samples!K182)</f>
        <v/>
      </c>
      <c r="V645">
        <f>IFERROR(SEARCH(search!$B$6,samples!K182,1),0)</f>
        <v>0</v>
      </c>
      <c r="W645" t="str">
        <f>IF(samples!L182=0,"",samples!L182)</f>
        <v/>
      </c>
      <c r="X645">
        <f>IFERROR(SEARCH(search!$B$6,samples!L182,1),0)</f>
        <v>0</v>
      </c>
      <c r="Y645" t="str">
        <f>IF(samples!M182=0,"",samples!M182)</f>
        <v/>
      </c>
      <c r="Z645">
        <f>IFERROR(SEARCH(search!$B$6,samples!M182,1),0)</f>
        <v>0</v>
      </c>
      <c r="AA645" t="str">
        <f>IF(samples!N182=0,"",samples!N182)</f>
        <v/>
      </c>
      <c r="AB645">
        <f>IFERROR(SEARCH(search!$B$6,samples!N182,1),0)</f>
        <v>0</v>
      </c>
      <c r="AC645" t="str">
        <f>IF(samples!O182=0,"",samples!O182)</f>
        <v/>
      </c>
      <c r="AD645">
        <f>IFERROR(SEARCH(search!$B$6,samples!O182,1),0)</f>
        <v>0</v>
      </c>
    </row>
    <row r="646" spans="1:30">
      <c r="A646">
        <f t="shared" si="10"/>
        <v>0</v>
      </c>
      <c r="B646">
        <f>IF(SUM(D646,F646,H646,J646,L646,N646,P646,R646,T646,V646,X646,Z646,AB646,AD646)&gt;0,SUM($A$2:A646),0)</f>
        <v>0</v>
      </c>
      <c r="C646">
        <f>samples!B183</f>
        <v>0</v>
      </c>
      <c r="D646">
        <f>IFERROR(SEARCH(search!$B$6,samples!B183,1),0)</f>
        <v>0</v>
      </c>
      <c r="E646" t="str">
        <f>IF(samples!C183=0,"",samples!C183)</f>
        <v/>
      </c>
      <c r="F646">
        <f>IFERROR(SEARCH(search!$B$6,samples!C183,1),0)</f>
        <v>0</v>
      </c>
      <c r="G646" t="str">
        <f>IF(samples!D183=0,"",samples!D183)</f>
        <v/>
      </c>
      <c r="H646">
        <f>IFERROR(SEARCH(search!$B$6,samples!D183,1),0)</f>
        <v>0</v>
      </c>
      <c r="I646" t="str">
        <f>IF(samples!E183=0,"",samples!E183)</f>
        <v/>
      </c>
      <c r="J646">
        <f>IFERROR(SEARCH(search!$B$6,samples!E183,1),0)</f>
        <v>0</v>
      </c>
      <c r="K646" t="str">
        <f>IF(samples!F183=0,"",samples!F183)</f>
        <v/>
      </c>
      <c r="L646">
        <f>IFERROR(SEARCH(search!$B$6,samples!F183,1),0)</f>
        <v>0</v>
      </c>
      <c r="M646" t="str">
        <f>IF(samples!G183=0,"",samples!G183)</f>
        <v/>
      </c>
      <c r="N646">
        <f>IFERROR(SEARCH(search!$B$6,samples!G183,1),0)</f>
        <v>0</v>
      </c>
      <c r="O646" t="str">
        <f>IF(samples!H183=0,"",samples!H183)</f>
        <v/>
      </c>
      <c r="P646">
        <f>IFERROR(SEARCH(search!$B$6,samples!H183,1),0)</f>
        <v>0</v>
      </c>
      <c r="Q646" t="str">
        <f>IF(samples!I183=0,"",samples!I183)</f>
        <v/>
      </c>
      <c r="R646">
        <f>IFERROR(SEARCH(search!$B$6,samples!I183,1),0)</f>
        <v>0</v>
      </c>
      <c r="S646" t="str">
        <f>IF(samples!J183=0,"",samples!J183)</f>
        <v/>
      </c>
      <c r="T646">
        <f>IFERROR(SEARCH(search!$B$6,samples!J183,1),0)</f>
        <v>0</v>
      </c>
      <c r="U646" t="str">
        <f>IF(samples!K183=0,"",samples!K183)</f>
        <v/>
      </c>
      <c r="V646">
        <f>IFERROR(SEARCH(search!$B$6,samples!K183,1),0)</f>
        <v>0</v>
      </c>
      <c r="W646" t="str">
        <f>IF(samples!L183=0,"",samples!L183)</f>
        <v/>
      </c>
      <c r="X646">
        <f>IFERROR(SEARCH(search!$B$6,samples!L183,1),0)</f>
        <v>0</v>
      </c>
      <c r="Y646" t="str">
        <f>IF(samples!M183=0,"",samples!M183)</f>
        <v/>
      </c>
      <c r="Z646">
        <f>IFERROR(SEARCH(search!$B$6,samples!M183,1),0)</f>
        <v>0</v>
      </c>
      <c r="AA646" t="str">
        <f>IF(samples!N183=0,"",samples!N183)</f>
        <v/>
      </c>
      <c r="AB646">
        <f>IFERROR(SEARCH(search!$B$6,samples!N183,1),0)</f>
        <v>0</v>
      </c>
      <c r="AC646" t="str">
        <f>IF(samples!O183=0,"",samples!O183)</f>
        <v/>
      </c>
      <c r="AD646">
        <f>IFERROR(SEARCH(search!$B$6,samples!O183,1),0)</f>
        <v>0</v>
      </c>
    </row>
    <row r="647" spans="1:30">
      <c r="A647">
        <f t="shared" si="10"/>
        <v>0</v>
      </c>
      <c r="B647">
        <f>IF(SUM(D647,F647,H647,J647,L647,N647,P647,R647,T647,V647,X647,Z647,AB647,AD647)&gt;0,SUM($A$2:A647),0)</f>
        <v>0</v>
      </c>
      <c r="C647">
        <f>samples!B184</f>
        <v>0</v>
      </c>
      <c r="D647">
        <f>IFERROR(SEARCH(search!$B$6,samples!B184,1),0)</f>
        <v>0</v>
      </c>
      <c r="E647" t="str">
        <f>IF(samples!C184=0,"",samples!C184)</f>
        <v/>
      </c>
      <c r="F647">
        <f>IFERROR(SEARCH(search!$B$6,samples!C184,1),0)</f>
        <v>0</v>
      </c>
      <c r="G647" t="str">
        <f>IF(samples!D184=0,"",samples!D184)</f>
        <v/>
      </c>
      <c r="H647">
        <f>IFERROR(SEARCH(search!$B$6,samples!D184,1),0)</f>
        <v>0</v>
      </c>
      <c r="I647" t="str">
        <f>IF(samples!E184=0,"",samples!E184)</f>
        <v/>
      </c>
      <c r="J647">
        <f>IFERROR(SEARCH(search!$B$6,samples!E184,1),0)</f>
        <v>0</v>
      </c>
      <c r="K647" t="str">
        <f>IF(samples!F184=0,"",samples!F184)</f>
        <v/>
      </c>
      <c r="L647">
        <f>IFERROR(SEARCH(search!$B$6,samples!F184,1),0)</f>
        <v>0</v>
      </c>
      <c r="M647" t="str">
        <f>IF(samples!G184=0,"",samples!G184)</f>
        <v/>
      </c>
      <c r="N647">
        <f>IFERROR(SEARCH(search!$B$6,samples!G184,1),0)</f>
        <v>0</v>
      </c>
      <c r="O647" t="str">
        <f>IF(samples!H184=0,"",samples!H184)</f>
        <v/>
      </c>
      <c r="P647">
        <f>IFERROR(SEARCH(search!$B$6,samples!H184,1),0)</f>
        <v>0</v>
      </c>
      <c r="Q647" t="str">
        <f>IF(samples!I184=0,"",samples!I184)</f>
        <v/>
      </c>
      <c r="R647">
        <f>IFERROR(SEARCH(search!$B$6,samples!I184,1),0)</f>
        <v>0</v>
      </c>
      <c r="S647" t="str">
        <f>IF(samples!J184=0,"",samples!J184)</f>
        <v/>
      </c>
      <c r="T647">
        <f>IFERROR(SEARCH(search!$B$6,samples!J184,1),0)</f>
        <v>0</v>
      </c>
      <c r="U647" t="str">
        <f>IF(samples!K184=0,"",samples!K184)</f>
        <v/>
      </c>
      <c r="V647">
        <f>IFERROR(SEARCH(search!$B$6,samples!K184,1),0)</f>
        <v>0</v>
      </c>
      <c r="W647" t="str">
        <f>IF(samples!L184=0,"",samples!L184)</f>
        <v/>
      </c>
      <c r="X647">
        <f>IFERROR(SEARCH(search!$B$6,samples!L184,1),0)</f>
        <v>0</v>
      </c>
      <c r="Y647" t="str">
        <f>IF(samples!M184=0,"",samples!M184)</f>
        <v/>
      </c>
      <c r="Z647">
        <f>IFERROR(SEARCH(search!$B$6,samples!M184,1),0)</f>
        <v>0</v>
      </c>
      <c r="AA647" t="str">
        <f>IF(samples!N184=0,"",samples!N184)</f>
        <v/>
      </c>
      <c r="AB647">
        <f>IFERROR(SEARCH(search!$B$6,samples!N184,1),0)</f>
        <v>0</v>
      </c>
      <c r="AC647" t="str">
        <f>IF(samples!O184=0,"",samples!O184)</f>
        <v/>
      </c>
      <c r="AD647">
        <f>IFERROR(SEARCH(search!$B$6,samples!O184,1),0)</f>
        <v>0</v>
      </c>
    </row>
    <row r="648" spans="1:30">
      <c r="A648">
        <f t="shared" si="10"/>
        <v>0</v>
      </c>
      <c r="B648">
        <f>IF(SUM(D648,F648,H648,J648,L648,N648,P648,R648,T648,V648,X648,Z648,AB648,AD648)&gt;0,SUM($A$2:A648),0)</f>
        <v>0</v>
      </c>
      <c r="C648">
        <f>samples!B185</f>
        <v>0</v>
      </c>
      <c r="D648">
        <f>IFERROR(SEARCH(search!$B$6,samples!B185,1),0)</f>
        <v>0</v>
      </c>
      <c r="E648" t="str">
        <f>IF(samples!C185=0,"",samples!C185)</f>
        <v/>
      </c>
      <c r="F648">
        <f>IFERROR(SEARCH(search!$B$6,samples!C185,1),0)</f>
        <v>0</v>
      </c>
      <c r="G648" t="str">
        <f>IF(samples!D185=0,"",samples!D185)</f>
        <v/>
      </c>
      <c r="H648">
        <f>IFERROR(SEARCH(search!$B$6,samples!D185,1),0)</f>
        <v>0</v>
      </c>
      <c r="I648" t="str">
        <f>IF(samples!E185=0,"",samples!E185)</f>
        <v/>
      </c>
      <c r="J648">
        <f>IFERROR(SEARCH(search!$B$6,samples!E185,1),0)</f>
        <v>0</v>
      </c>
      <c r="K648" t="str">
        <f>IF(samples!F185=0,"",samples!F185)</f>
        <v/>
      </c>
      <c r="L648">
        <f>IFERROR(SEARCH(search!$B$6,samples!F185,1),0)</f>
        <v>0</v>
      </c>
      <c r="M648" t="str">
        <f>IF(samples!G185=0,"",samples!G185)</f>
        <v/>
      </c>
      <c r="N648">
        <f>IFERROR(SEARCH(search!$B$6,samples!G185,1),0)</f>
        <v>0</v>
      </c>
      <c r="O648" t="str">
        <f>IF(samples!H185=0,"",samples!H185)</f>
        <v/>
      </c>
      <c r="P648">
        <f>IFERROR(SEARCH(search!$B$6,samples!H185,1),0)</f>
        <v>0</v>
      </c>
      <c r="Q648" t="str">
        <f>IF(samples!I185=0,"",samples!I185)</f>
        <v/>
      </c>
      <c r="R648">
        <f>IFERROR(SEARCH(search!$B$6,samples!I185,1),0)</f>
        <v>0</v>
      </c>
      <c r="S648" t="str">
        <f>IF(samples!J185=0,"",samples!J185)</f>
        <v/>
      </c>
      <c r="T648">
        <f>IFERROR(SEARCH(search!$B$6,samples!J185,1),0)</f>
        <v>0</v>
      </c>
      <c r="U648" t="str">
        <f>IF(samples!K185=0,"",samples!K185)</f>
        <v/>
      </c>
      <c r="V648">
        <f>IFERROR(SEARCH(search!$B$6,samples!K185,1),0)</f>
        <v>0</v>
      </c>
      <c r="W648" t="str">
        <f>IF(samples!L185=0,"",samples!L185)</f>
        <v/>
      </c>
      <c r="X648">
        <f>IFERROR(SEARCH(search!$B$6,samples!L185,1),0)</f>
        <v>0</v>
      </c>
      <c r="Y648" t="str">
        <f>IF(samples!M185=0,"",samples!M185)</f>
        <v/>
      </c>
      <c r="Z648">
        <f>IFERROR(SEARCH(search!$B$6,samples!M185,1),0)</f>
        <v>0</v>
      </c>
      <c r="AA648" t="str">
        <f>IF(samples!N185=0,"",samples!N185)</f>
        <v/>
      </c>
      <c r="AB648">
        <f>IFERROR(SEARCH(search!$B$6,samples!N185,1),0)</f>
        <v>0</v>
      </c>
      <c r="AC648" t="str">
        <f>IF(samples!O185=0,"",samples!O185)</f>
        <v/>
      </c>
      <c r="AD648">
        <f>IFERROR(SEARCH(search!$B$6,samples!O185,1),0)</f>
        <v>0</v>
      </c>
    </row>
    <row r="649" spans="1:30">
      <c r="A649">
        <f t="shared" si="10"/>
        <v>0</v>
      </c>
      <c r="B649">
        <f>IF(SUM(D649,F649,H649,J649,L649,N649,P649,R649,T649,V649,X649,Z649,AB649,AD649)&gt;0,SUM($A$2:A649),0)</f>
        <v>0</v>
      </c>
      <c r="C649">
        <f>samples!B186</f>
        <v>0</v>
      </c>
      <c r="D649">
        <f>IFERROR(SEARCH(search!$B$6,samples!B186,1),0)</f>
        <v>0</v>
      </c>
      <c r="E649" t="str">
        <f>IF(samples!C186=0,"",samples!C186)</f>
        <v/>
      </c>
      <c r="F649">
        <f>IFERROR(SEARCH(search!$B$6,samples!C186,1),0)</f>
        <v>0</v>
      </c>
      <c r="G649" t="str">
        <f>IF(samples!D186=0,"",samples!D186)</f>
        <v/>
      </c>
      <c r="H649">
        <f>IFERROR(SEARCH(search!$B$6,samples!D186,1),0)</f>
        <v>0</v>
      </c>
      <c r="I649" t="str">
        <f>IF(samples!E186=0,"",samples!E186)</f>
        <v/>
      </c>
      <c r="J649">
        <f>IFERROR(SEARCH(search!$B$6,samples!E186,1),0)</f>
        <v>0</v>
      </c>
      <c r="K649" t="str">
        <f>IF(samples!F186=0,"",samples!F186)</f>
        <v/>
      </c>
      <c r="L649">
        <f>IFERROR(SEARCH(search!$B$6,samples!F186,1),0)</f>
        <v>0</v>
      </c>
      <c r="M649" t="str">
        <f>IF(samples!G186=0,"",samples!G186)</f>
        <v/>
      </c>
      <c r="N649">
        <f>IFERROR(SEARCH(search!$B$6,samples!G186,1),0)</f>
        <v>0</v>
      </c>
      <c r="O649" t="str">
        <f>IF(samples!H186=0,"",samples!H186)</f>
        <v/>
      </c>
      <c r="P649">
        <f>IFERROR(SEARCH(search!$B$6,samples!H186,1),0)</f>
        <v>0</v>
      </c>
      <c r="Q649" t="str">
        <f>IF(samples!I186=0,"",samples!I186)</f>
        <v/>
      </c>
      <c r="R649">
        <f>IFERROR(SEARCH(search!$B$6,samples!I186,1),0)</f>
        <v>0</v>
      </c>
      <c r="S649" t="str">
        <f>IF(samples!J186=0,"",samples!J186)</f>
        <v/>
      </c>
      <c r="T649">
        <f>IFERROR(SEARCH(search!$B$6,samples!J186,1),0)</f>
        <v>0</v>
      </c>
      <c r="U649" t="str">
        <f>IF(samples!K186=0,"",samples!K186)</f>
        <v/>
      </c>
      <c r="V649">
        <f>IFERROR(SEARCH(search!$B$6,samples!K186,1),0)</f>
        <v>0</v>
      </c>
      <c r="W649" t="str">
        <f>IF(samples!L186=0,"",samples!L186)</f>
        <v/>
      </c>
      <c r="X649">
        <f>IFERROR(SEARCH(search!$B$6,samples!L186,1),0)</f>
        <v>0</v>
      </c>
      <c r="Y649" t="str">
        <f>IF(samples!M186=0,"",samples!M186)</f>
        <v/>
      </c>
      <c r="Z649">
        <f>IFERROR(SEARCH(search!$B$6,samples!M186,1),0)</f>
        <v>0</v>
      </c>
      <c r="AA649" t="str">
        <f>IF(samples!N186=0,"",samples!N186)</f>
        <v/>
      </c>
      <c r="AB649">
        <f>IFERROR(SEARCH(search!$B$6,samples!N186,1),0)</f>
        <v>0</v>
      </c>
      <c r="AC649" t="str">
        <f>IF(samples!O186=0,"",samples!O186)</f>
        <v/>
      </c>
      <c r="AD649">
        <f>IFERROR(SEARCH(search!$B$6,samples!O186,1),0)</f>
        <v>0</v>
      </c>
    </row>
    <row r="650" spans="1:30">
      <c r="A650">
        <f t="shared" si="10"/>
        <v>0</v>
      </c>
      <c r="B650">
        <f>IF(SUM(D650,F650,H650,J650,L650,N650,P650,R650,T650,V650,X650,Z650,AB650,AD650)&gt;0,SUM($A$2:A650),0)</f>
        <v>0</v>
      </c>
      <c r="C650">
        <f>samples!B187</f>
        <v>0</v>
      </c>
      <c r="D650">
        <f>IFERROR(SEARCH(search!$B$6,samples!B187,1),0)</f>
        <v>0</v>
      </c>
      <c r="E650" t="str">
        <f>IF(samples!C187=0,"",samples!C187)</f>
        <v/>
      </c>
      <c r="F650">
        <f>IFERROR(SEARCH(search!$B$6,samples!C187,1),0)</f>
        <v>0</v>
      </c>
      <c r="G650" t="str">
        <f>IF(samples!D187=0,"",samples!D187)</f>
        <v/>
      </c>
      <c r="H650">
        <f>IFERROR(SEARCH(search!$B$6,samples!D187,1),0)</f>
        <v>0</v>
      </c>
      <c r="I650" t="str">
        <f>IF(samples!E187=0,"",samples!E187)</f>
        <v/>
      </c>
      <c r="J650">
        <f>IFERROR(SEARCH(search!$B$6,samples!E187,1),0)</f>
        <v>0</v>
      </c>
      <c r="K650" t="str">
        <f>IF(samples!F187=0,"",samples!F187)</f>
        <v/>
      </c>
      <c r="L650">
        <f>IFERROR(SEARCH(search!$B$6,samples!F187,1),0)</f>
        <v>0</v>
      </c>
      <c r="M650" t="str">
        <f>IF(samples!G187=0,"",samples!G187)</f>
        <v/>
      </c>
      <c r="N650">
        <f>IFERROR(SEARCH(search!$B$6,samples!G187,1),0)</f>
        <v>0</v>
      </c>
      <c r="O650" t="str">
        <f>IF(samples!H187=0,"",samples!H187)</f>
        <v/>
      </c>
      <c r="P650">
        <f>IFERROR(SEARCH(search!$B$6,samples!H187,1),0)</f>
        <v>0</v>
      </c>
      <c r="Q650" t="str">
        <f>IF(samples!I187=0,"",samples!I187)</f>
        <v/>
      </c>
      <c r="R650">
        <f>IFERROR(SEARCH(search!$B$6,samples!I187,1),0)</f>
        <v>0</v>
      </c>
      <c r="S650" t="str">
        <f>IF(samples!J187=0,"",samples!J187)</f>
        <v/>
      </c>
      <c r="T650">
        <f>IFERROR(SEARCH(search!$B$6,samples!J187,1),0)</f>
        <v>0</v>
      </c>
      <c r="U650" t="str">
        <f>IF(samples!K187=0,"",samples!K187)</f>
        <v/>
      </c>
      <c r="V650">
        <f>IFERROR(SEARCH(search!$B$6,samples!K187,1),0)</f>
        <v>0</v>
      </c>
      <c r="W650" t="str">
        <f>IF(samples!L187=0,"",samples!L187)</f>
        <v/>
      </c>
      <c r="X650">
        <f>IFERROR(SEARCH(search!$B$6,samples!L187,1),0)</f>
        <v>0</v>
      </c>
      <c r="Y650" t="str">
        <f>IF(samples!M187=0,"",samples!M187)</f>
        <v/>
      </c>
      <c r="Z650">
        <f>IFERROR(SEARCH(search!$B$6,samples!M187,1),0)</f>
        <v>0</v>
      </c>
      <c r="AA650" t="str">
        <f>IF(samples!N187=0,"",samples!N187)</f>
        <v/>
      </c>
      <c r="AB650">
        <f>IFERROR(SEARCH(search!$B$6,samples!N187,1),0)</f>
        <v>0</v>
      </c>
      <c r="AC650" t="str">
        <f>IF(samples!O187=0,"",samples!O187)</f>
        <v/>
      </c>
      <c r="AD650">
        <f>IFERROR(SEARCH(search!$B$6,samples!O187,1),0)</f>
        <v>0</v>
      </c>
    </row>
    <row r="651" spans="1:30">
      <c r="A651">
        <f t="shared" si="10"/>
        <v>0</v>
      </c>
      <c r="B651">
        <f>IF(SUM(D651,F651,H651,J651,L651,N651,P651,R651,T651,V651,X651,Z651,AB651,AD651)&gt;0,SUM($A$2:A651),0)</f>
        <v>0</v>
      </c>
      <c r="C651">
        <f>samples!B188</f>
        <v>0</v>
      </c>
      <c r="D651">
        <f>IFERROR(SEARCH(search!$B$6,samples!B188,1),0)</f>
        <v>0</v>
      </c>
      <c r="E651" t="str">
        <f>IF(samples!C188=0,"",samples!C188)</f>
        <v/>
      </c>
      <c r="F651">
        <f>IFERROR(SEARCH(search!$B$6,samples!C188,1),0)</f>
        <v>0</v>
      </c>
      <c r="G651" t="str">
        <f>IF(samples!D188=0,"",samples!D188)</f>
        <v/>
      </c>
      <c r="H651">
        <f>IFERROR(SEARCH(search!$B$6,samples!D188,1),0)</f>
        <v>0</v>
      </c>
      <c r="I651" t="str">
        <f>IF(samples!E188=0,"",samples!E188)</f>
        <v/>
      </c>
      <c r="J651">
        <f>IFERROR(SEARCH(search!$B$6,samples!E188,1),0)</f>
        <v>0</v>
      </c>
      <c r="K651" t="str">
        <f>IF(samples!F188=0,"",samples!F188)</f>
        <v/>
      </c>
      <c r="L651">
        <f>IFERROR(SEARCH(search!$B$6,samples!F188,1),0)</f>
        <v>0</v>
      </c>
      <c r="M651" t="str">
        <f>IF(samples!G188=0,"",samples!G188)</f>
        <v/>
      </c>
      <c r="N651">
        <f>IFERROR(SEARCH(search!$B$6,samples!G188,1),0)</f>
        <v>0</v>
      </c>
      <c r="O651" t="str">
        <f>IF(samples!H188=0,"",samples!H188)</f>
        <v/>
      </c>
      <c r="P651">
        <f>IFERROR(SEARCH(search!$B$6,samples!H188,1),0)</f>
        <v>0</v>
      </c>
      <c r="Q651" t="str">
        <f>IF(samples!I188=0,"",samples!I188)</f>
        <v/>
      </c>
      <c r="R651">
        <f>IFERROR(SEARCH(search!$B$6,samples!I188,1),0)</f>
        <v>0</v>
      </c>
      <c r="S651" t="str">
        <f>IF(samples!J188=0,"",samples!J188)</f>
        <v/>
      </c>
      <c r="T651">
        <f>IFERROR(SEARCH(search!$B$6,samples!J188,1),0)</f>
        <v>0</v>
      </c>
      <c r="U651" t="str">
        <f>IF(samples!K188=0,"",samples!K188)</f>
        <v/>
      </c>
      <c r="V651">
        <f>IFERROR(SEARCH(search!$B$6,samples!K188,1),0)</f>
        <v>0</v>
      </c>
      <c r="W651" t="str">
        <f>IF(samples!L188=0,"",samples!L188)</f>
        <v/>
      </c>
      <c r="X651">
        <f>IFERROR(SEARCH(search!$B$6,samples!L188,1),0)</f>
        <v>0</v>
      </c>
      <c r="Y651" t="str">
        <f>IF(samples!M188=0,"",samples!M188)</f>
        <v/>
      </c>
      <c r="Z651">
        <f>IFERROR(SEARCH(search!$B$6,samples!M188,1),0)</f>
        <v>0</v>
      </c>
      <c r="AA651" t="str">
        <f>IF(samples!N188=0,"",samples!N188)</f>
        <v/>
      </c>
      <c r="AB651">
        <f>IFERROR(SEARCH(search!$B$6,samples!N188,1),0)</f>
        <v>0</v>
      </c>
      <c r="AC651" t="str">
        <f>IF(samples!O188=0,"",samples!O188)</f>
        <v/>
      </c>
      <c r="AD651">
        <f>IFERROR(SEARCH(search!$B$6,samples!O188,1),0)</f>
        <v>0</v>
      </c>
    </row>
    <row r="652" spans="1:30">
      <c r="A652">
        <f t="shared" si="10"/>
        <v>0</v>
      </c>
      <c r="B652">
        <f>IF(SUM(D652,F652,H652,J652,L652,N652,P652,R652,T652,V652,X652,Z652,AB652,AD652)&gt;0,SUM($A$2:A652),0)</f>
        <v>0</v>
      </c>
      <c r="C652">
        <f>samples!B189</f>
        <v>0</v>
      </c>
      <c r="D652">
        <f>IFERROR(SEARCH(search!$B$6,samples!B189,1),0)</f>
        <v>0</v>
      </c>
      <c r="E652" t="str">
        <f>IF(samples!C189=0,"",samples!C189)</f>
        <v/>
      </c>
      <c r="F652">
        <f>IFERROR(SEARCH(search!$B$6,samples!C189,1),0)</f>
        <v>0</v>
      </c>
      <c r="G652" t="str">
        <f>IF(samples!D189=0,"",samples!D189)</f>
        <v/>
      </c>
      <c r="H652">
        <f>IFERROR(SEARCH(search!$B$6,samples!D189,1),0)</f>
        <v>0</v>
      </c>
      <c r="I652" t="str">
        <f>IF(samples!E189=0,"",samples!E189)</f>
        <v/>
      </c>
      <c r="J652">
        <f>IFERROR(SEARCH(search!$B$6,samples!E189,1),0)</f>
        <v>0</v>
      </c>
      <c r="K652" t="str">
        <f>IF(samples!F189=0,"",samples!F189)</f>
        <v/>
      </c>
      <c r="L652">
        <f>IFERROR(SEARCH(search!$B$6,samples!F189,1),0)</f>
        <v>0</v>
      </c>
      <c r="M652" t="str">
        <f>IF(samples!G189=0,"",samples!G189)</f>
        <v/>
      </c>
      <c r="N652">
        <f>IFERROR(SEARCH(search!$B$6,samples!G189,1),0)</f>
        <v>0</v>
      </c>
      <c r="O652" t="str">
        <f>IF(samples!H189=0,"",samples!H189)</f>
        <v/>
      </c>
      <c r="P652">
        <f>IFERROR(SEARCH(search!$B$6,samples!H189,1),0)</f>
        <v>0</v>
      </c>
      <c r="Q652" t="str">
        <f>IF(samples!I189=0,"",samples!I189)</f>
        <v/>
      </c>
      <c r="R652">
        <f>IFERROR(SEARCH(search!$B$6,samples!I189,1),0)</f>
        <v>0</v>
      </c>
      <c r="S652" t="str">
        <f>IF(samples!J189=0,"",samples!J189)</f>
        <v/>
      </c>
      <c r="T652">
        <f>IFERROR(SEARCH(search!$B$6,samples!J189,1),0)</f>
        <v>0</v>
      </c>
      <c r="U652" t="str">
        <f>IF(samples!K189=0,"",samples!K189)</f>
        <v/>
      </c>
      <c r="V652">
        <f>IFERROR(SEARCH(search!$B$6,samples!K189,1),0)</f>
        <v>0</v>
      </c>
      <c r="W652" t="str">
        <f>IF(samples!L189=0,"",samples!L189)</f>
        <v/>
      </c>
      <c r="X652">
        <f>IFERROR(SEARCH(search!$B$6,samples!L189,1),0)</f>
        <v>0</v>
      </c>
      <c r="Y652" t="str">
        <f>IF(samples!M189=0,"",samples!M189)</f>
        <v/>
      </c>
      <c r="Z652">
        <f>IFERROR(SEARCH(search!$B$6,samples!M189,1),0)</f>
        <v>0</v>
      </c>
      <c r="AA652" t="str">
        <f>IF(samples!N189=0,"",samples!N189)</f>
        <v/>
      </c>
      <c r="AB652">
        <f>IFERROR(SEARCH(search!$B$6,samples!N189,1),0)</f>
        <v>0</v>
      </c>
      <c r="AC652" t="str">
        <f>IF(samples!O189=0,"",samples!O189)</f>
        <v/>
      </c>
      <c r="AD652">
        <f>IFERROR(SEARCH(search!$B$6,samples!O189,1),0)</f>
        <v>0</v>
      </c>
    </row>
    <row r="653" spans="1:30">
      <c r="A653">
        <f t="shared" si="10"/>
        <v>0</v>
      </c>
      <c r="B653">
        <f>IF(SUM(D653,F653,H653,J653,L653,N653,P653,R653,T653,V653,X653,Z653,AB653,AD653)&gt;0,SUM($A$2:A653),0)</f>
        <v>0</v>
      </c>
      <c r="C653">
        <f>samples!B190</f>
        <v>0</v>
      </c>
      <c r="D653">
        <f>IFERROR(SEARCH(search!$B$6,samples!B190,1),0)</f>
        <v>0</v>
      </c>
      <c r="E653" t="str">
        <f>IF(samples!C190=0,"",samples!C190)</f>
        <v/>
      </c>
      <c r="F653">
        <f>IFERROR(SEARCH(search!$B$6,samples!C190,1),0)</f>
        <v>0</v>
      </c>
      <c r="G653" t="str">
        <f>IF(samples!D190=0,"",samples!D190)</f>
        <v/>
      </c>
      <c r="H653">
        <f>IFERROR(SEARCH(search!$B$6,samples!D190,1),0)</f>
        <v>0</v>
      </c>
      <c r="I653" t="str">
        <f>IF(samples!E190=0,"",samples!E190)</f>
        <v/>
      </c>
      <c r="J653">
        <f>IFERROR(SEARCH(search!$B$6,samples!E190,1),0)</f>
        <v>0</v>
      </c>
      <c r="K653" t="str">
        <f>IF(samples!F190=0,"",samples!F190)</f>
        <v/>
      </c>
      <c r="L653">
        <f>IFERROR(SEARCH(search!$B$6,samples!F190,1),0)</f>
        <v>0</v>
      </c>
      <c r="M653" t="str">
        <f>IF(samples!G190=0,"",samples!G190)</f>
        <v/>
      </c>
      <c r="N653">
        <f>IFERROR(SEARCH(search!$B$6,samples!G190,1),0)</f>
        <v>0</v>
      </c>
      <c r="O653" t="str">
        <f>IF(samples!H190=0,"",samples!H190)</f>
        <v/>
      </c>
      <c r="P653">
        <f>IFERROR(SEARCH(search!$B$6,samples!H190,1),0)</f>
        <v>0</v>
      </c>
      <c r="Q653" t="str">
        <f>IF(samples!I190=0,"",samples!I190)</f>
        <v/>
      </c>
      <c r="R653">
        <f>IFERROR(SEARCH(search!$B$6,samples!I190,1),0)</f>
        <v>0</v>
      </c>
      <c r="S653" t="str">
        <f>IF(samples!J190=0,"",samples!J190)</f>
        <v/>
      </c>
      <c r="T653">
        <f>IFERROR(SEARCH(search!$B$6,samples!J190,1),0)</f>
        <v>0</v>
      </c>
      <c r="U653" t="str">
        <f>IF(samples!K190=0,"",samples!K190)</f>
        <v/>
      </c>
      <c r="V653">
        <f>IFERROR(SEARCH(search!$B$6,samples!K190,1),0)</f>
        <v>0</v>
      </c>
      <c r="W653" t="str">
        <f>IF(samples!L190=0,"",samples!L190)</f>
        <v/>
      </c>
      <c r="X653">
        <f>IFERROR(SEARCH(search!$B$6,samples!L190,1),0)</f>
        <v>0</v>
      </c>
      <c r="Y653" t="str">
        <f>IF(samples!M190=0,"",samples!M190)</f>
        <v/>
      </c>
      <c r="Z653">
        <f>IFERROR(SEARCH(search!$B$6,samples!M190,1),0)</f>
        <v>0</v>
      </c>
      <c r="AA653" t="str">
        <f>IF(samples!N190=0,"",samples!N190)</f>
        <v/>
      </c>
      <c r="AB653">
        <f>IFERROR(SEARCH(search!$B$6,samples!N190,1),0)</f>
        <v>0</v>
      </c>
      <c r="AC653" t="str">
        <f>IF(samples!O190=0,"",samples!O190)</f>
        <v/>
      </c>
      <c r="AD653">
        <f>IFERROR(SEARCH(search!$B$6,samples!O190,1),0)</f>
        <v>0</v>
      </c>
    </row>
    <row r="654" spans="1:30">
      <c r="A654">
        <f t="shared" si="10"/>
        <v>0</v>
      </c>
      <c r="B654">
        <f>IF(SUM(D654,F654,H654,J654,L654,N654,P654,R654,T654,V654,X654,Z654,AB654,AD654)&gt;0,SUM($A$2:A654),0)</f>
        <v>0</v>
      </c>
      <c r="C654">
        <f>samples!B191</f>
        <v>0</v>
      </c>
      <c r="D654">
        <f>IFERROR(SEARCH(search!$B$6,samples!B191,1),0)</f>
        <v>0</v>
      </c>
      <c r="E654" t="str">
        <f>IF(samples!C191=0,"",samples!C191)</f>
        <v/>
      </c>
      <c r="F654">
        <f>IFERROR(SEARCH(search!$B$6,samples!C191,1),0)</f>
        <v>0</v>
      </c>
      <c r="G654" t="str">
        <f>IF(samples!D191=0,"",samples!D191)</f>
        <v/>
      </c>
      <c r="H654">
        <f>IFERROR(SEARCH(search!$B$6,samples!D191,1),0)</f>
        <v>0</v>
      </c>
      <c r="I654" t="str">
        <f>IF(samples!E191=0,"",samples!E191)</f>
        <v/>
      </c>
      <c r="J654">
        <f>IFERROR(SEARCH(search!$B$6,samples!E191,1),0)</f>
        <v>0</v>
      </c>
      <c r="K654" t="str">
        <f>IF(samples!F191=0,"",samples!F191)</f>
        <v/>
      </c>
      <c r="L654">
        <f>IFERROR(SEARCH(search!$B$6,samples!F191,1),0)</f>
        <v>0</v>
      </c>
      <c r="M654" t="str">
        <f>IF(samples!G191=0,"",samples!G191)</f>
        <v/>
      </c>
      <c r="N654">
        <f>IFERROR(SEARCH(search!$B$6,samples!G191,1),0)</f>
        <v>0</v>
      </c>
      <c r="O654" t="str">
        <f>IF(samples!H191=0,"",samples!H191)</f>
        <v/>
      </c>
      <c r="P654">
        <f>IFERROR(SEARCH(search!$B$6,samples!H191,1),0)</f>
        <v>0</v>
      </c>
      <c r="Q654" t="str">
        <f>IF(samples!I191=0,"",samples!I191)</f>
        <v/>
      </c>
      <c r="R654">
        <f>IFERROR(SEARCH(search!$B$6,samples!I191,1),0)</f>
        <v>0</v>
      </c>
      <c r="S654" t="str">
        <f>IF(samples!J191=0,"",samples!J191)</f>
        <v/>
      </c>
      <c r="T654">
        <f>IFERROR(SEARCH(search!$B$6,samples!J191,1),0)</f>
        <v>0</v>
      </c>
      <c r="U654" t="str">
        <f>IF(samples!K191=0,"",samples!K191)</f>
        <v/>
      </c>
      <c r="V654">
        <f>IFERROR(SEARCH(search!$B$6,samples!K191,1),0)</f>
        <v>0</v>
      </c>
      <c r="W654" t="str">
        <f>IF(samples!L191=0,"",samples!L191)</f>
        <v/>
      </c>
      <c r="X654">
        <f>IFERROR(SEARCH(search!$B$6,samples!L191,1),0)</f>
        <v>0</v>
      </c>
      <c r="Y654" t="str">
        <f>IF(samples!M191=0,"",samples!M191)</f>
        <v/>
      </c>
      <c r="Z654">
        <f>IFERROR(SEARCH(search!$B$6,samples!M191,1),0)</f>
        <v>0</v>
      </c>
      <c r="AA654" t="str">
        <f>IF(samples!N191=0,"",samples!N191)</f>
        <v/>
      </c>
      <c r="AB654">
        <f>IFERROR(SEARCH(search!$B$6,samples!N191,1),0)</f>
        <v>0</v>
      </c>
      <c r="AC654" t="str">
        <f>IF(samples!O191=0,"",samples!O191)</f>
        <v/>
      </c>
      <c r="AD654">
        <f>IFERROR(SEARCH(search!$B$6,samples!O191,1),0)</f>
        <v>0</v>
      </c>
    </row>
    <row r="655" spans="1:30">
      <c r="A655">
        <f t="shared" si="10"/>
        <v>0</v>
      </c>
      <c r="B655">
        <f>IF(SUM(D655,F655,H655,J655,L655,N655,P655,R655,T655,V655,X655,Z655,AB655,AD655)&gt;0,SUM($A$2:A655),0)</f>
        <v>0</v>
      </c>
      <c r="C655">
        <f>samples!B192</f>
        <v>0</v>
      </c>
      <c r="D655">
        <f>IFERROR(SEARCH(search!$B$6,samples!B192,1),0)</f>
        <v>0</v>
      </c>
      <c r="E655" t="str">
        <f>IF(samples!C192=0,"",samples!C192)</f>
        <v/>
      </c>
      <c r="F655">
        <f>IFERROR(SEARCH(search!$B$6,samples!C192,1),0)</f>
        <v>0</v>
      </c>
      <c r="G655" t="str">
        <f>IF(samples!D192=0,"",samples!D192)</f>
        <v/>
      </c>
      <c r="H655">
        <f>IFERROR(SEARCH(search!$B$6,samples!D192,1),0)</f>
        <v>0</v>
      </c>
      <c r="I655" t="str">
        <f>IF(samples!E192=0,"",samples!E192)</f>
        <v/>
      </c>
      <c r="J655">
        <f>IFERROR(SEARCH(search!$B$6,samples!E192,1),0)</f>
        <v>0</v>
      </c>
      <c r="K655" t="str">
        <f>IF(samples!F192=0,"",samples!F192)</f>
        <v/>
      </c>
      <c r="L655">
        <f>IFERROR(SEARCH(search!$B$6,samples!F192,1),0)</f>
        <v>0</v>
      </c>
      <c r="M655" t="str">
        <f>IF(samples!G192=0,"",samples!G192)</f>
        <v/>
      </c>
      <c r="N655">
        <f>IFERROR(SEARCH(search!$B$6,samples!G192,1),0)</f>
        <v>0</v>
      </c>
      <c r="O655" t="str">
        <f>IF(samples!H192=0,"",samples!H192)</f>
        <v/>
      </c>
      <c r="P655">
        <f>IFERROR(SEARCH(search!$B$6,samples!H192,1),0)</f>
        <v>0</v>
      </c>
      <c r="Q655" t="str">
        <f>IF(samples!I192=0,"",samples!I192)</f>
        <v/>
      </c>
      <c r="R655">
        <f>IFERROR(SEARCH(search!$B$6,samples!I192,1),0)</f>
        <v>0</v>
      </c>
      <c r="S655" t="str">
        <f>IF(samples!J192=0,"",samples!J192)</f>
        <v/>
      </c>
      <c r="T655">
        <f>IFERROR(SEARCH(search!$B$6,samples!J192,1),0)</f>
        <v>0</v>
      </c>
      <c r="U655" t="str">
        <f>IF(samples!K192=0,"",samples!K192)</f>
        <v/>
      </c>
      <c r="V655">
        <f>IFERROR(SEARCH(search!$B$6,samples!K192,1),0)</f>
        <v>0</v>
      </c>
      <c r="W655" t="str">
        <f>IF(samples!L192=0,"",samples!L192)</f>
        <v/>
      </c>
      <c r="X655">
        <f>IFERROR(SEARCH(search!$B$6,samples!L192,1),0)</f>
        <v>0</v>
      </c>
      <c r="Y655" t="str">
        <f>IF(samples!M192=0,"",samples!M192)</f>
        <v/>
      </c>
      <c r="Z655">
        <f>IFERROR(SEARCH(search!$B$6,samples!M192,1),0)</f>
        <v>0</v>
      </c>
      <c r="AA655" t="str">
        <f>IF(samples!N192=0,"",samples!N192)</f>
        <v/>
      </c>
      <c r="AB655">
        <f>IFERROR(SEARCH(search!$B$6,samples!N192,1),0)</f>
        <v>0</v>
      </c>
      <c r="AC655" t="str">
        <f>IF(samples!O192=0,"",samples!O192)</f>
        <v/>
      </c>
      <c r="AD655">
        <f>IFERROR(SEARCH(search!$B$6,samples!O192,1),0)</f>
        <v>0</v>
      </c>
    </row>
    <row r="656" spans="1:30">
      <c r="A656">
        <f t="shared" si="10"/>
        <v>0</v>
      </c>
      <c r="B656">
        <f>IF(SUM(D656,F656,H656,J656,L656,N656,P656,R656,T656,V656,X656,Z656,AB656,AD656)&gt;0,SUM($A$2:A656),0)</f>
        <v>0</v>
      </c>
      <c r="C656">
        <f>samples!B193</f>
        <v>0</v>
      </c>
      <c r="D656">
        <f>IFERROR(SEARCH(search!$B$6,samples!B193,1),0)</f>
        <v>0</v>
      </c>
      <c r="E656" t="str">
        <f>IF(samples!C193=0,"",samples!C193)</f>
        <v/>
      </c>
      <c r="F656">
        <f>IFERROR(SEARCH(search!$B$6,samples!C193,1),0)</f>
        <v>0</v>
      </c>
      <c r="G656" t="str">
        <f>IF(samples!D193=0,"",samples!D193)</f>
        <v/>
      </c>
      <c r="H656">
        <f>IFERROR(SEARCH(search!$B$6,samples!D193,1),0)</f>
        <v>0</v>
      </c>
      <c r="I656" t="str">
        <f>IF(samples!E193=0,"",samples!E193)</f>
        <v/>
      </c>
      <c r="J656">
        <f>IFERROR(SEARCH(search!$B$6,samples!E193,1),0)</f>
        <v>0</v>
      </c>
      <c r="K656" t="str">
        <f>IF(samples!F193=0,"",samples!F193)</f>
        <v/>
      </c>
      <c r="L656">
        <f>IFERROR(SEARCH(search!$B$6,samples!F193,1),0)</f>
        <v>0</v>
      </c>
      <c r="M656" t="str">
        <f>IF(samples!G193=0,"",samples!G193)</f>
        <v/>
      </c>
      <c r="N656">
        <f>IFERROR(SEARCH(search!$B$6,samples!G193,1),0)</f>
        <v>0</v>
      </c>
      <c r="O656" t="str">
        <f>IF(samples!H193=0,"",samples!H193)</f>
        <v/>
      </c>
      <c r="P656">
        <f>IFERROR(SEARCH(search!$B$6,samples!H193,1),0)</f>
        <v>0</v>
      </c>
      <c r="Q656" t="str">
        <f>IF(samples!I193=0,"",samples!I193)</f>
        <v/>
      </c>
      <c r="R656">
        <f>IFERROR(SEARCH(search!$B$6,samples!I193,1),0)</f>
        <v>0</v>
      </c>
      <c r="S656" t="str">
        <f>IF(samples!J193=0,"",samples!J193)</f>
        <v/>
      </c>
      <c r="T656">
        <f>IFERROR(SEARCH(search!$B$6,samples!J193,1),0)</f>
        <v>0</v>
      </c>
      <c r="U656" t="str">
        <f>IF(samples!K193=0,"",samples!K193)</f>
        <v/>
      </c>
      <c r="V656">
        <f>IFERROR(SEARCH(search!$B$6,samples!K193,1),0)</f>
        <v>0</v>
      </c>
      <c r="W656" t="str">
        <f>IF(samples!L193=0,"",samples!L193)</f>
        <v/>
      </c>
      <c r="X656">
        <f>IFERROR(SEARCH(search!$B$6,samples!L193,1),0)</f>
        <v>0</v>
      </c>
      <c r="Y656" t="str">
        <f>IF(samples!M193=0,"",samples!M193)</f>
        <v/>
      </c>
      <c r="Z656">
        <f>IFERROR(SEARCH(search!$B$6,samples!M193,1),0)</f>
        <v>0</v>
      </c>
      <c r="AA656" t="str">
        <f>IF(samples!N193=0,"",samples!N193)</f>
        <v/>
      </c>
      <c r="AB656">
        <f>IFERROR(SEARCH(search!$B$6,samples!N193,1),0)</f>
        <v>0</v>
      </c>
      <c r="AC656" t="str">
        <f>IF(samples!O193=0,"",samples!O193)</f>
        <v/>
      </c>
      <c r="AD656">
        <f>IFERROR(SEARCH(search!$B$6,samples!O193,1),0)</f>
        <v>0</v>
      </c>
    </row>
    <row r="657" spans="1:30">
      <c r="A657">
        <f t="shared" si="10"/>
        <v>0</v>
      </c>
      <c r="B657">
        <f>IF(SUM(D657,F657,H657,J657,L657,N657,P657,R657,T657,V657,X657,Z657,AB657,AD657)&gt;0,SUM($A$2:A657),0)</f>
        <v>0</v>
      </c>
      <c r="C657">
        <f>samples!B194</f>
        <v>0</v>
      </c>
      <c r="D657">
        <f>IFERROR(SEARCH(search!$B$6,samples!B194,1),0)</f>
        <v>0</v>
      </c>
      <c r="E657" t="str">
        <f>IF(samples!C194=0,"",samples!C194)</f>
        <v/>
      </c>
      <c r="F657">
        <f>IFERROR(SEARCH(search!$B$6,samples!C194,1),0)</f>
        <v>0</v>
      </c>
      <c r="G657" t="str">
        <f>IF(samples!D194=0,"",samples!D194)</f>
        <v/>
      </c>
      <c r="H657">
        <f>IFERROR(SEARCH(search!$B$6,samples!D194,1),0)</f>
        <v>0</v>
      </c>
      <c r="I657" t="str">
        <f>IF(samples!E194=0,"",samples!E194)</f>
        <v/>
      </c>
      <c r="J657">
        <f>IFERROR(SEARCH(search!$B$6,samples!E194,1),0)</f>
        <v>0</v>
      </c>
      <c r="K657" t="str">
        <f>IF(samples!F194=0,"",samples!F194)</f>
        <v/>
      </c>
      <c r="L657">
        <f>IFERROR(SEARCH(search!$B$6,samples!F194,1),0)</f>
        <v>0</v>
      </c>
      <c r="M657" t="str">
        <f>IF(samples!G194=0,"",samples!G194)</f>
        <v/>
      </c>
      <c r="N657">
        <f>IFERROR(SEARCH(search!$B$6,samples!G194,1),0)</f>
        <v>0</v>
      </c>
      <c r="O657" t="str">
        <f>IF(samples!H194=0,"",samples!H194)</f>
        <v/>
      </c>
      <c r="P657">
        <f>IFERROR(SEARCH(search!$B$6,samples!H194,1),0)</f>
        <v>0</v>
      </c>
      <c r="Q657" t="str">
        <f>IF(samples!I194=0,"",samples!I194)</f>
        <v/>
      </c>
      <c r="R657">
        <f>IFERROR(SEARCH(search!$B$6,samples!I194,1),0)</f>
        <v>0</v>
      </c>
      <c r="S657" t="str">
        <f>IF(samples!J194=0,"",samples!J194)</f>
        <v/>
      </c>
      <c r="T657">
        <f>IFERROR(SEARCH(search!$B$6,samples!J194,1),0)</f>
        <v>0</v>
      </c>
      <c r="U657" t="str">
        <f>IF(samples!K194=0,"",samples!K194)</f>
        <v/>
      </c>
      <c r="V657">
        <f>IFERROR(SEARCH(search!$B$6,samples!K194,1),0)</f>
        <v>0</v>
      </c>
      <c r="W657" t="str">
        <f>IF(samples!L194=0,"",samples!L194)</f>
        <v/>
      </c>
      <c r="X657">
        <f>IFERROR(SEARCH(search!$B$6,samples!L194,1),0)</f>
        <v>0</v>
      </c>
      <c r="Y657" t="str">
        <f>IF(samples!M194=0,"",samples!M194)</f>
        <v/>
      </c>
      <c r="Z657">
        <f>IFERROR(SEARCH(search!$B$6,samples!M194,1),0)</f>
        <v>0</v>
      </c>
      <c r="AA657" t="str">
        <f>IF(samples!N194=0,"",samples!N194)</f>
        <v/>
      </c>
      <c r="AB657">
        <f>IFERROR(SEARCH(search!$B$6,samples!N194,1),0)</f>
        <v>0</v>
      </c>
      <c r="AC657" t="str">
        <f>IF(samples!O194=0,"",samples!O194)</f>
        <v/>
      </c>
      <c r="AD657">
        <f>IFERROR(SEARCH(search!$B$6,samples!O194,1),0)</f>
        <v>0</v>
      </c>
    </row>
    <row r="658" spans="1:30">
      <c r="A658">
        <f t="shared" si="10"/>
        <v>0</v>
      </c>
      <c r="B658">
        <f>IF(SUM(D658,F658,H658,J658,L658,N658,P658,R658,T658,V658,X658,Z658,AB658,AD658)&gt;0,SUM($A$2:A658),0)</f>
        <v>0</v>
      </c>
      <c r="C658">
        <f>samples!B195</f>
        <v>0</v>
      </c>
      <c r="D658">
        <f>IFERROR(SEARCH(search!$B$6,samples!B195,1),0)</f>
        <v>0</v>
      </c>
      <c r="E658" t="str">
        <f>IF(samples!C195=0,"",samples!C195)</f>
        <v/>
      </c>
      <c r="F658">
        <f>IFERROR(SEARCH(search!$B$6,samples!C195,1),0)</f>
        <v>0</v>
      </c>
      <c r="G658" t="str">
        <f>IF(samples!D195=0,"",samples!D195)</f>
        <v/>
      </c>
      <c r="H658">
        <f>IFERROR(SEARCH(search!$B$6,samples!D195,1),0)</f>
        <v>0</v>
      </c>
      <c r="I658" t="str">
        <f>IF(samples!E195=0,"",samples!E195)</f>
        <v/>
      </c>
      <c r="J658">
        <f>IFERROR(SEARCH(search!$B$6,samples!E195,1),0)</f>
        <v>0</v>
      </c>
      <c r="K658" t="str">
        <f>IF(samples!F195=0,"",samples!F195)</f>
        <v/>
      </c>
      <c r="L658">
        <f>IFERROR(SEARCH(search!$B$6,samples!F195,1),0)</f>
        <v>0</v>
      </c>
      <c r="M658" t="str">
        <f>IF(samples!G195=0,"",samples!G195)</f>
        <v/>
      </c>
      <c r="N658">
        <f>IFERROR(SEARCH(search!$B$6,samples!G195,1),0)</f>
        <v>0</v>
      </c>
      <c r="O658" t="str">
        <f>IF(samples!H195=0,"",samples!H195)</f>
        <v/>
      </c>
      <c r="P658">
        <f>IFERROR(SEARCH(search!$B$6,samples!H195,1),0)</f>
        <v>0</v>
      </c>
      <c r="Q658" t="str">
        <f>IF(samples!I195=0,"",samples!I195)</f>
        <v/>
      </c>
      <c r="R658">
        <f>IFERROR(SEARCH(search!$B$6,samples!I195,1),0)</f>
        <v>0</v>
      </c>
      <c r="S658" t="str">
        <f>IF(samples!J195=0,"",samples!J195)</f>
        <v/>
      </c>
      <c r="T658">
        <f>IFERROR(SEARCH(search!$B$6,samples!J195,1),0)</f>
        <v>0</v>
      </c>
      <c r="U658" t="str">
        <f>IF(samples!K195=0,"",samples!K195)</f>
        <v/>
      </c>
      <c r="V658">
        <f>IFERROR(SEARCH(search!$B$6,samples!K195,1),0)</f>
        <v>0</v>
      </c>
      <c r="W658" t="str">
        <f>IF(samples!L195=0,"",samples!L195)</f>
        <v/>
      </c>
      <c r="X658">
        <f>IFERROR(SEARCH(search!$B$6,samples!L195,1),0)</f>
        <v>0</v>
      </c>
      <c r="Y658" t="str">
        <f>IF(samples!M195=0,"",samples!M195)</f>
        <v/>
      </c>
      <c r="Z658">
        <f>IFERROR(SEARCH(search!$B$6,samples!M195,1),0)</f>
        <v>0</v>
      </c>
      <c r="AA658" t="str">
        <f>IF(samples!N195=0,"",samples!N195)</f>
        <v/>
      </c>
      <c r="AB658">
        <f>IFERROR(SEARCH(search!$B$6,samples!N195,1),0)</f>
        <v>0</v>
      </c>
      <c r="AC658" t="str">
        <f>IF(samples!O195=0,"",samples!O195)</f>
        <v/>
      </c>
      <c r="AD658">
        <f>IFERROR(SEARCH(search!$B$6,samples!O195,1),0)</f>
        <v>0</v>
      </c>
    </row>
    <row r="659" spans="1:30">
      <c r="A659">
        <f t="shared" si="10"/>
        <v>0</v>
      </c>
      <c r="B659">
        <f>IF(SUM(D659,F659,H659,J659,L659,N659,P659,R659,T659,V659,X659,Z659,AB659,AD659)&gt;0,SUM($A$2:A659),0)</f>
        <v>0</v>
      </c>
      <c r="C659">
        <f>samples!B196</f>
        <v>0</v>
      </c>
      <c r="D659">
        <f>IFERROR(SEARCH(search!$B$6,samples!B196,1),0)</f>
        <v>0</v>
      </c>
      <c r="E659" t="str">
        <f>IF(samples!C196=0,"",samples!C196)</f>
        <v/>
      </c>
      <c r="F659">
        <f>IFERROR(SEARCH(search!$B$6,samples!C196,1),0)</f>
        <v>0</v>
      </c>
      <c r="G659" t="str">
        <f>IF(samples!D196=0,"",samples!D196)</f>
        <v/>
      </c>
      <c r="H659">
        <f>IFERROR(SEARCH(search!$B$6,samples!D196,1),0)</f>
        <v>0</v>
      </c>
      <c r="I659" t="str">
        <f>IF(samples!E196=0,"",samples!E196)</f>
        <v/>
      </c>
      <c r="J659">
        <f>IFERROR(SEARCH(search!$B$6,samples!E196,1),0)</f>
        <v>0</v>
      </c>
      <c r="K659" t="str">
        <f>IF(samples!F196=0,"",samples!F196)</f>
        <v/>
      </c>
      <c r="L659">
        <f>IFERROR(SEARCH(search!$B$6,samples!F196,1),0)</f>
        <v>0</v>
      </c>
      <c r="M659" t="str">
        <f>IF(samples!G196=0,"",samples!G196)</f>
        <v/>
      </c>
      <c r="N659">
        <f>IFERROR(SEARCH(search!$B$6,samples!G196,1),0)</f>
        <v>0</v>
      </c>
      <c r="O659" t="str">
        <f>IF(samples!H196=0,"",samples!H196)</f>
        <v/>
      </c>
      <c r="P659">
        <f>IFERROR(SEARCH(search!$B$6,samples!H196,1),0)</f>
        <v>0</v>
      </c>
      <c r="Q659" t="str">
        <f>IF(samples!I196=0,"",samples!I196)</f>
        <v/>
      </c>
      <c r="R659">
        <f>IFERROR(SEARCH(search!$B$6,samples!I196,1),0)</f>
        <v>0</v>
      </c>
      <c r="S659" t="str">
        <f>IF(samples!J196=0,"",samples!J196)</f>
        <v/>
      </c>
      <c r="T659">
        <f>IFERROR(SEARCH(search!$B$6,samples!J196,1),0)</f>
        <v>0</v>
      </c>
      <c r="U659" t="str">
        <f>IF(samples!K196=0,"",samples!K196)</f>
        <v/>
      </c>
      <c r="V659">
        <f>IFERROR(SEARCH(search!$B$6,samples!K196,1),0)</f>
        <v>0</v>
      </c>
      <c r="W659" t="str">
        <f>IF(samples!L196=0,"",samples!L196)</f>
        <v/>
      </c>
      <c r="X659">
        <f>IFERROR(SEARCH(search!$B$6,samples!L196,1),0)</f>
        <v>0</v>
      </c>
      <c r="Y659" t="str">
        <f>IF(samples!M196=0,"",samples!M196)</f>
        <v/>
      </c>
      <c r="Z659">
        <f>IFERROR(SEARCH(search!$B$6,samples!M196,1),0)</f>
        <v>0</v>
      </c>
      <c r="AA659" t="str">
        <f>IF(samples!N196=0,"",samples!N196)</f>
        <v/>
      </c>
      <c r="AB659">
        <f>IFERROR(SEARCH(search!$B$6,samples!N196,1),0)</f>
        <v>0</v>
      </c>
      <c r="AC659" t="str">
        <f>IF(samples!O196=0,"",samples!O196)</f>
        <v/>
      </c>
      <c r="AD659">
        <f>IFERROR(SEARCH(search!$B$6,samples!O196,1),0)</f>
        <v>0</v>
      </c>
    </row>
    <row r="660" spans="1:30">
      <c r="A660">
        <f t="shared" si="10"/>
        <v>0</v>
      </c>
      <c r="B660">
        <f>IF(SUM(D660,F660,H660,J660,L660,N660,P660,R660,T660,V660,X660,Z660,AB660,AD660)&gt;0,SUM($A$2:A660),0)</f>
        <v>0</v>
      </c>
      <c r="C660">
        <f>samples!B197</f>
        <v>0</v>
      </c>
      <c r="D660">
        <f>IFERROR(SEARCH(search!$B$6,samples!B197,1),0)</f>
        <v>0</v>
      </c>
      <c r="E660" t="str">
        <f>IF(samples!C197=0,"",samples!C197)</f>
        <v/>
      </c>
      <c r="F660">
        <f>IFERROR(SEARCH(search!$B$6,samples!C197,1),0)</f>
        <v>0</v>
      </c>
      <c r="G660" t="str">
        <f>IF(samples!D197=0,"",samples!D197)</f>
        <v/>
      </c>
      <c r="H660">
        <f>IFERROR(SEARCH(search!$B$6,samples!D197,1),0)</f>
        <v>0</v>
      </c>
      <c r="I660" t="str">
        <f>IF(samples!E197=0,"",samples!E197)</f>
        <v/>
      </c>
      <c r="J660">
        <f>IFERROR(SEARCH(search!$B$6,samples!E197,1),0)</f>
        <v>0</v>
      </c>
      <c r="K660" t="str">
        <f>IF(samples!F197=0,"",samples!F197)</f>
        <v/>
      </c>
      <c r="L660">
        <f>IFERROR(SEARCH(search!$B$6,samples!F197,1),0)</f>
        <v>0</v>
      </c>
      <c r="M660" t="str">
        <f>IF(samples!G197=0,"",samples!G197)</f>
        <v/>
      </c>
      <c r="N660">
        <f>IFERROR(SEARCH(search!$B$6,samples!G197,1),0)</f>
        <v>0</v>
      </c>
      <c r="O660" t="str">
        <f>IF(samples!H197=0,"",samples!H197)</f>
        <v/>
      </c>
      <c r="P660">
        <f>IFERROR(SEARCH(search!$B$6,samples!H197,1),0)</f>
        <v>0</v>
      </c>
      <c r="Q660" t="str">
        <f>IF(samples!I197=0,"",samples!I197)</f>
        <v/>
      </c>
      <c r="R660">
        <f>IFERROR(SEARCH(search!$B$6,samples!I197,1),0)</f>
        <v>0</v>
      </c>
      <c r="S660" t="str">
        <f>IF(samples!J197=0,"",samples!J197)</f>
        <v/>
      </c>
      <c r="T660">
        <f>IFERROR(SEARCH(search!$B$6,samples!J197,1),0)</f>
        <v>0</v>
      </c>
      <c r="U660" t="str">
        <f>IF(samples!K197=0,"",samples!K197)</f>
        <v/>
      </c>
      <c r="V660">
        <f>IFERROR(SEARCH(search!$B$6,samples!K197,1),0)</f>
        <v>0</v>
      </c>
      <c r="W660" t="str">
        <f>IF(samples!L197=0,"",samples!L197)</f>
        <v/>
      </c>
      <c r="X660">
        <f>IFERROR(SEARCH(search!$B$6,samples!L197,1),0)</f>
        <v>0</v>
      </c>
      <c r="Y660" t="str">
        <f>IF(samples!M197=0,"",samples!M197)</f>
        <v/>
      </c>
      <c r="Z660">
        <f>IFERROR(SEARCH(search!$B$6,samples!M197,1),0)</f>
        <v>0</v>
      </c>
      <c r="AA660" t="str">
        <f>IF(samples!N197=0,"",samples!N197)</f>
        <v/>
      </c>
      <c r="AB660">
        <f>IFERROR(SEARCH(search!$B$6,samples!N197,1),0)</f>
        <v>0</v>
      </c>
      <c r="AC660" t="str">
        <f>IF(samples!O197=0,"",samples!O197)</f>
        <v/>
      </c>
      <c r="AD660">
        <f>IFERROR(SEARCH(search!$B$6,samples!O197,1),0)</f>
        <v>0</v>
      </c>
    </row>
    <row r="661" spans="1:30">
      <c r="A661">
        <f t="shared" si="10"/>
        <v>0</v>
      </c>
      <c r="B661">
        <f>IF(SUM(D661,F661,H661,J661,L661,N661,P661,R661,T661,V661,X661,Z661,AB661,AD661)&gt;0,SUM($A$2:A661),0)</f>
        <v>0</v>
      </c>
      <c r="C661">
        <f>samples!B198</f>
        <v>0</v>
      </c>
      <c r="D661">
        <f>IFERROR(SEARCH(search!$B$6,samples!B198,1),0)</f>
        <v>0</v>
      </c>
      <c r="E661" t="str">
        <f>IF(samples!C198=0,"",samples!C198)</f>
        <v/>
      </c>
      <c r="F661">
        <f>IFERROR(SEARCH(search!$B$6,samples!C198,1),0)</f>
        <v>0</v>
      </c>
      <c r="G661" t="str">
        <f>IF(samples!D198=0,"",samples!D198)</f>
        <v/>
      </c>
      <c r="H661">
        <f>IFERROR(SEARCH(search!$B$6,samples!D198,1),0)</f>
        <v>0</v>
      </c>
      <c r="I661" t="str">
        <f>IF(samples!E198=0,"",samples!E198)</f>
        <v/>
      </c>
      <c r="J661">
        <f>IFERROR(SEARCH(search!$B$6,samples!E198,1),0)</f>
        <v>0</v>
      </c>
      <c r="K661" t="str">
        <f>IF(samples!F198=0,"",samples!F198)</f>
        <v/>
      </c>
      <c r="L661">
        <f>IFERROR(SEARCH(search!$B$6,samples!F198,1),0)</f>
        <v>0</v>
      </c>
      <c r="M661" t="str">
        <f>IF(samples!G198=0,"",samples!G198)</f>
        <v/>
      </c>
      <c r="N661">
        <f>IFERROR(SEARCH(search!$B$6,samples!G198,1),0)</f>
        <v>0</v>
      </c>
      <c r="O661" t="str">
        <f>IF(samples!H198=0,"",samples!H198)</f>
        <v/>
      </c>
      <c r="P661">
        <f>IFERROR(SEARCH(search!$B$6,samples!H198,1),0)</f>
        <v>0</v>
      </c>
      <c r="Q661" t="str">
        <f>IF(samples!I198=0,"",samples!I198)</f>
        <v/>
      </c>
      <c r="R661">
        <f>IFERROR(SEARCH(search!$B$6,samples!I198,1),0)</f>
        <v>0</v>
      </c>
      <c r="S661" t="str">
        <f>IF(samples!J198=0,"",samples!J198)</f>
        <v/>
      </c>
      <c r="T661">
        <f>IFERROR(SEARCH(search!$B$6,samples!J198,1),0)</f>
        <v>0</v>
      </c>
      <c r="U661" t="str">
        <f>IF(samples!K198=0,"",samples!K198)</f>
        <v/>
      </c>
      <c r="V661">
        <f>IFERROR(SEARCH(search!$B$6,samples!K198,1),0)</f>
        <v>0</v>
      </c>
      <c r="W661" t="str">
        <f>IF(samples!L198=0,"",samples!L198)</f>
        <v/>
      </c>
      <c r="X661">
        <f>IFERROR(SEARCH(search!$B$6,samples!L198,1),0)</f>
        <v>0</v>
      </c>
      <c r="Y661" t="str">
        <f>IF(samples!M198=0,"",samples!M198)</f>
        <v/>
      </c>
      <c r="Z661">
        <f>IFERROR(SEARCH(search!$B$6,samples!M198,1),0)</f>
        <v>0</v>
      </c>
      <c r="AA661" t="str">
        <f>IF(samples!N198=0,"",samples!N198)</f>
        <v/>
      </c>
      <c r="AB661">
        <f>IFERROR(SEARCH(search!$B$6,samples!N198,1),0)</f>
        <v>0</v>
      </c>
      <c r="AC661" t="str">
        <f>IF(samples!O198=0,"",samples!O198)</f>
        <v/>
      </c>
      <c r="AD661">
        <f>IFERROR(SEARCH(search!$B$6,samples!O198,1),0)</f>
        <v>0</v>
      </c>
    </row>
    <row r="662" spans="1:30">
      <c r="A662">
        <f t="shared" si="10"/>
        <v>0</v>
      </c>
      <c r="B662">
        <f>IF(SUM(D662,F662,H662,J662,L662,N662,P662,R662,T662,V662,X662,Z662,AB662,AD662)&gt;0,SUM($A$2:A662),0)</f>
        <v>0</v>
      </c>
      <c r="C662">
        <f>samples!B199</f>
        <v>0</v>
      </c>
      <c r="D662">
        <f>IFERROR(SEARCH(search!$B$6,samples!B199,1),0)</f>
        <v>0</v>
      </c>
      <c r="E662" t="str">
        <f>IF(samples!C199=0,"",samples!C199)</f>
        <v/>
      </c>
      <c r="F662">
        <f>IFERROR(SEARCH(search!$B$6,samples!C199,1),0)</f>
        <v>0</v>
      </c>
      <c r="G662" t="str">
        <f>IF(samples!D199=0,"",samples!D199)</f>
        <v/>
      </c>
      <c r="H662">
        <f>IFERROR(SEARCH(search!$B$6,samples!D199,1),0)</f>
        <v>0</v>
      </c>
      <c r="I662" t="str">
        <f>IF(samples!E199=0,"",samples!E199)</f>
        <v/>
      </c>
      <c r="J662">
        <f>IFERROR(SEARCH(search!$B$6,samples!E199,1),0)</f>
        <v>0</v>
      </c>
      <c r="K662" t="str">
        <f>IF(samples!F199=0,"",samples!F199)</f>
        <v/>
      </c>
      <c r="L662">
        <f>IFERROR(SEARCH(search!$B$6,samples!F199,1),0)</f>
        <v>0</v>
      </c>
      <c r="M662" t="str">
        <f>IF(samples!G199=0,"",samples!G199)</f>
        <v/>
      </c>
      <c r="N662">
        <f>IFERROR(SEARCH(search!$B$6,samples!G199,1),0)</f>
        <v>0</v>
      </c>
      <c r="O662" t="str">
        <f>IF(samples!H199=0,"",samples!H199)</f>
        <v/>
      </c>
      <c r="P662">
        <f>IFERROR(SEARCH(search!$B$6,samples!H199,1),0)</f>
        <v>0</v>
      </c>
      <c r="Q662" t="str">
        <f>IF(samples!I199=0,"",samples!I199)</f>
        <v/>
      </c>
      <c r="R662">
        <f>IFERROR(SEARCH(search!$B$6,samples!I199,1),0)</f>
        <v>0</v>
      </c>
      <c r="S662" t="str">
        <f>IF(samples!J199=0,"",samples!J199)</f>
        <v/>
      </c>
      <c r="T662">
        <f>IFERROR(SEARCH(search!$B$6,samples!J199,1),0)</f>
        <v>0</v>
      </c>
      <c r="U662" t="str">
        <f>IF(samples!K199=0,"",samples!K199)</f>
        <v/>
      </c>
      <c r="V662">
        <f>IFERROR(SEARCH(search!$B$6,samples!K199,1),0)</f>
        <v>0</v>
      </c>
      <c r="W662" t="str">
        <f>IF(samples!L199=0,"",samples!L199)</f>
        <v/>
      </c>
      <c r="X662">
        <f>IFERROR(SEARCH(search!$B$6,samples!L199,1),0)</f>
        <v>0</v>
      </c>
      <c r="Y662" t="str">
        <f>IF(samples!M199=0,"",samples!M199)</f>
        <v/>
      </c>
      <c r="Z662">
        <f>IFERROR(SEARCH(search!$B$6,samples!M199,1),0)</f>
        <v>0</v>
      </c>
      <c r="AA662" t="str">
        <f>IF(samples!N199=0,"",samples!N199)</f>
        <v/>
      </c>
      <c r="AB662">
        <f>IFERROR(SEARCH(search!$B$6,samples!N199,1),0)</f>
        <v>0</v>
      </c>
      <c r="AC662" t="str">
        <f>IF(samples!O199=0,"",samples!O199)</f>
        <v/>
      </c>
      <c r="AD662">
        <f>IFERROR(SEARCH(search!$B$6,samples!O199,1),0)</f>
        <v>0</v>
      </c>
    </row>
    <row r="663" spans="1:30">
      <c r="A663">
        <f t="shared" si="10"/>
        <v>0</v>
      </c>
      <c r="B663">
        <f>IF(SUM(D663,F663,H663,J663,L663,N663,P663,R663,T663,V663,X663,Z663,AB663,AD663)&gt;0,SUM($A$2:A663),0)</f>
        <v>0</v>
      </c>
      <c r="C663">
        <f>samples!B200</f>
        <v>0</v>
      </c>
      <c r="D663">
        <f>IFERROR(SEARCH(search!$B$6,samples!B200,1),0)</f>
        <v>0</v>
      </c>
      <c r="E663" t="str">
        <f>IF(samples!C200=0,"",samples!C200)</f>
        <v/>
      </c>
      <c r="F663">
        <f>IFERROR(SEARCH(search!$B$6,samples!C200,1),0)</f>
        <v>0</v>
      </c>
      <c r="G663" t="str">
        <f>IF(samples!D200=0,"",samples!D200)</f>
        <v/>
      </c>
      <c r="H663">
        <f>IFERROR(SEARCH(search!$B$6,samples!D200,1),0)</f>
        <v>0</v>
      </c>
      <c r="I663" t="str">
        <f>IF(samples!E200=0,"",samples!E200)</f>
        <v/>
      </c>
      <c r="J663">
        <f>IFERROR(SEARCH(search!$B$6,samples!E200,1),0)</f>
        <v>0</v>
      </c>
      <c r="K663" t="str">
        <f>IF(samples!F200=0,"",samples!F200)</f>
        <v/>
      </c>
      <c r="L663">
        <f>IFERROR(SEARCH(search!$B$6,samples!F200,1),0)</f>
        <v>0</v>
      </c>
      <c r="M663" t="str">
        <f>IF(samples!G200=0,"",samples!G200)</f>
        <v/>
      </c>
      <c r="N663">
        <f>IFERROR(SEARCH(search!$B$6,samples!G200,1),0)</f>
        <v>0</v>
      </c>
      <c r="O663" t="str">
        <f>IF(samples!H200=0,"",samples!H200)</f>
        <v/>
      </c>
      <c r="P663">
        <f>IFERROR(SEARCH(search!$B$6,samples!H200,1),0)</f>
        <v>0</v>
      </c>
      <c r="Q663" t="str">
        <f>IF(samples!I200=0,"",samples!I200)</f>
        <v/>
      </c>
      <c r="R663">
        <f>IFERROR(SEARCH(search!$B$6,samples!I200,1),0)</f>
        <v>0</v>
      </c>
      <c r="S663" t="str">
        <f>IF(samples!J200=0,"",samples!J200)</f>
        <v/>
      </c>
      <c r="T663">
        <f>IFERROR(SEARCH(search!$B$6,samples!J200,1),0)</f>
        <v>0</v>
      </c>
      <c r="U663" t="str">
        <f>IF(samples!K200=0,"",samples!K200)</f>
        <v/>
      </c>
      <c r="V663">
        <f>IFERROR(SEARCH(search!$B$6,samples!K200,1),0)</f>
        <v>0</v>
      </c>
      <c r="W663" t="str">
        <f>IF(samples!L200=0,"",samples!L200)</f>
        <v/>
      </c>
      <c r="X663">
        <f>IFERROR(SEARCH(search!$B$6,samples!L200,1),0)</f>
        <v>0</v>
      </c>
      <c r="Y663" t="str">
        <f>IF(samples!M200=0,"",samples!M200)</f>
        <v/>
      </c>
      <c r="Z663">
        <f>IFERROR(SEARCH(search!$B$6,samples!M200,1),0)</f>
        <v>0</v>
      </c>
      <c r="AA663" t="str">
        <f>IF(samples!N200=0,"",samples!N200)</f>
        <v/>
      </c>
      <c r="AB663">
        <f>IFERROR(SEARCH(search!$B$6,samples!N200,1),0)</f>
        <v>0</v>
      </c>
      <c r="AC663" t="str">
        <f>IF(samples!O200=0,"",samples!O200)</f>
        <v/>
      </c>
      <c r="AD663">
        <f>IFERROR(SEARCH(search!$B$6,samples!O200,1),0)</f>
        <v>0</v>
      </c>
    </row>
    <row r="664" spans="1:30">
      <c r="A664">
        <f t="shared" si="10"/>
        <v>0</v>
      </c>
      <c r="B664">
        <f>IF(SUM(D664,F664,H664,J664,L664,N664,P664,R664,T664,V664,X664,Z664,AB664,AD664)&gt;0,SUM($A$2:A664),0)</f>
        <v>0</v>
      </c>
      <c r="C664">
        <f>samples!B201</f>
        <v>0</v>
      </c>
      <c r="D664">
        <f>IFERROR(SEARCH(search!$B$6,samples!B201,1),0)</f>
        <v>0</v>
      </c>
      <c r="E664" t="str">
        <f>IF(samples!C201=0,"",samples!C201)</f>
        <v/>
      </c>
      <c r="F664">
        <f>IFERROR(SEARCH(search!$B$6,samples!C201,1),0)</f>
        <v>0</v>
      </c>
      <c r="G664" t="str">
        <f>IF(samples!D201=0,"",samples!D201)</f>
        <v/>
      </c>
      <c r="H664">
        <f>IFERROR(SEARCH(search!$B$6,samples!D201,1),0)</f>
        <v>0</v>
      </c>
      <c r="I664" t="str">
        <f>IF(samples!E201=0,"",samples!E201)</f>
        <v/>
      </c>
      <c r="J664">
        <f>IFERROR(SEARCH(search!$B$6,samples!E201,1),0)</f>
        <v>0</v>
      </c>
      <c r="K664" t="str">
        <f>IF(samples!F201=0,"",samples!F201)</f>
        <v/>
      </c>
      <c r="L664">
        <f>IFERROR(SEARCH(search!$B$6,samples!F201,1),0)</f>
        <v>0</v>
      </c>
      <c r="M664" t="str">
        <f>IF(samples!G201=0,"",samples!G201)</f>
        <v/>
      </c>
      <c r="N664">
        <f>IFERROR(SEARCH(search!$B$6,samples!G201,1),0)</f>
        <v>0</v>
      </c>
      <c r="O664" t="str">
        <f>IF(samples!H201=0,"",samples!H201)</f>
        <v/>
      </c>
      <c r="P664">
        <f>IFERROR(SEARCH(search!$B$6,samples!H201,1),0)</f>
        <v>0</v>
      </c>
      <c r="Q664" t="str">
        <f>IF(samples!I201=0,"",samples!I201)</f>
        <v/>
      </c>
      <c r="R664">
        <f>IFERROR(SEARCH(search!$B$6,samples!I201,1),0)</f>
        <v>0</v>
      </c>
      <c r="S664" t="str">
        <f>IF(samples!J201=0,"",samples!J201)</f>
        <v/>
      </c>
      <c r="T664">
        <f>IFERROR(SEARCH(search!$B$6,samples!J201,1),0)</f>
        <v>0</v>
      </c>
      <c r="U664" t="str">
        <f>IF(samples!K201=0,"",samples!K201)</f>
        <v/>
      </c>
      <c r="V664">
        <f>IFERROR(SEARCH(search!$B$6,samples!K201,1),0)</f>
        <v>0</v>
      </c>
      <c r="W664" t="str">
        <f>IF(samples!L201=0,"",samples!L201)</f>
        <v/>
      </c>
      <c r="X664">
        <f>IFERROR(SEARCH(search!$B$6,samples!L201,1),0)</f>
        <v>0</v>
      </c>
      <c r="Y664" t="str">
        <f>IF(samples!M201=0,"",samples!M201)</f>
        <v/>
      </c>
      <c r="Z664">
        <f>IFERROR(SEARCH(search!$B$6,samples!M201,1),0)</f>
        <v>0</v>
      </c>
      <c r="AA664" t="str">
        <f>IF(samples!N201=0,"",samples!N201)</f>
        <v/>
      </c>
      <c r="AB664">
        <f>IFERROR(SEARCH(search!$B$6,samples!N201,1),0)</f>
        <v>0</v>
      </c>
      <c r="AC664" t="str">
        <f>IF(samples!O201=0,"",samples!O201)</f>
        <v/>
      </c>
      <c r="AD664">
        <f>IFERROR(SEARCH(search!$B$6,samples!O201,1),0)</f>
        <v>0</v>
      </c>
    </row>
    <row r="665" spans="1:30">
      <c r="A665">
        <f t="shared" si="10"/>
        <v>0</v>
      </c>
      <c r="B665">
        <f>IF(SUM(D665,F665,H665,J665,L665,N665,P665,R665,T665,V665,X665,Z665,AB665,AD665)&gt;0,SUM($A$2:A665),0)</f>
        <v>0</v>
      </c>
      <c r="C665">
        <f>samples!B202</f>
        <v>0</v>
      </c>
      <c r="D665">
        <f>IFERROR(SEARCH(search!$B$6,samples!B202,1),0)</f>
        <v>0</v>
      </c>
      <c r="E665" t="str">
        <f>IF(samples!C202=0,"",samples!C202)</f>
        <v/>
      </c>
      <c r="F665">
        <f>IFERROR(SEARCH(search!$B$6,samples!C202,1),0)</f>
        <v>0</v>
      </c>
      <c r="G665" t="str">
        <f>IF(samples!D202=0,"",samples!D202)</f>
        <v/>
      </c>
      <c r="H665">
        <f>IFERROR(SEARCH(search!$B$6,samples!D202,1),0)</f>
        <v>0</v>
      </c>
      <c r="I665" t="str">
        <f>IF(samples!E202=0,"",samples!E202)</f>
        <v/>
      </c>
      <c r="J665">
        <f>IFERROR(SEARCH(search!$B$6,samples!E202,1),0)</f>
        <v>0</v>
      </c>
      <c r="K665" t="str">
        <f>IF(samples!F202=0,"",samples!F202)</f>
        <v/>
      </c>
      <c r="L665">
        <f>IFERROR(SEARCH(search!$B$6,samples!F202,1),0)</f>
        <v>0</v>
      </c>
      <c r="M665" t="str">
        <f>IF(samples!G202=0,"",samples!G202)</f>
        <v/>
      </c>
      <c r="N665">
        <f>IFERROR(SEARCH(search!$B$6,samples!G202,1),0)</f>
        <v>0</v>
      </c>
      <c r="O665" t="str">
        <f>IF(samples!H202=0,"",samples!H202)</f>
        <v/>
      </c>
      <c r="P665">
        <f>IFERROR(SEARCH(search!$B$6,samples!H202,1),0)</f>
        <v>0</v>
      </c>
      <c r="Q665" t="str">
        <f>IF(samples!I202=0,"",samples!I202)</f>
        <v/>
      </c>
      <c r="R665">
        <f>IFERROR(SEARCH(search!$B$6,samples!I202,1),0)</f>
        <v>0</v>
      </c>
      <c r="S665" t="str">
        <f>IF(samples!J202=0,"",samples!J202)</f>
        <v/>
      </c>
      <c r="T665">
        <f>IFERROR(SEARCH(search!$B$6,samples!J202,1),0)</f>
        <v>0</v>
      </c>
      <c r="U665" t="str">
        <f>IF(samples!K202=0,"",samples!K202)</f>
        <v/>
      </c>
      <c r="V665">
        <f>IFERROR(SEARCH(search!$B$6,samples!K202,1),0)</f>
        <v>0</v>
      </c>
      <c r="W665" t="str">
        <f>IF(samples!L202=0,"",samples!L202)</f>
        <v/>
      </c>
      <c r="X665">
        <f>IFERROR(SEARCH(search!$B$6,samples!L202,1),0)</f>
        <v>0</v>
      </c>
      <c r="Y665" t="str">
        <f>IF(samples!M202=0,"",samples!M202)</f>
        <v/>
      </c>
      <c r="Z665">
        <f>IFERROR(SEARCH(search!$B$6,samples!M202,1),0)</f>
        <v>0</v>
      </c>
      <c r="AA665" t="str">
        <f>IF(samples!N202=0,"",samples!N202)</f>
        <v/>
      </c>
      <c r="AB665">
        <f>IFERROR(SEARCH(search!$B$6,samples!N202,1),0)</f>
        <v>0</v>
      </c>
      <c r="AC665" t="str">
        <f>IF(samples!O202=0,"",samples!O202)</f>
        <v/>
      </c>
      <c r="AD665">
        <f>IFERROR(SEARCH(search!$B$6,samples!O202,1),0)</f>
        <v>0</v>
      </c>
    </row>
    <row r="666" spans="1:30">
      <c r="A666">
        <f t="shared" si="10"/>
        <v>0</v>
      </c>
      <c r="B666">
        <f>IF(SUM(D666,F666,H666,J666,L666,N666,P666,R666,T666,V666,X666,Z666,AB666,AD666)&gt;0,SUM($A$2:A666),0)</f>
        <v>0</v>
      </c>
      <c r="C666">
        <f>samples!B203</f>
        <v>0</v>
      </c>
      <c r="D666">
        <f>IFERROR(SEARCH(search!$B$6,samples!B203,1),0)</f>
        <v>0</v>
      </c>
      <c r="E666" t="str">
        <f>IF(samples!C203=0,"",samples!C203)</f>
        <v/>
      </c>
      <c r="F666">
        <f>IFERROR(SEARCH(search!$B$6,samples!C203,1),0)</f>
        <v>0</v>
      </c>
      <c r="G666" t="str">
        <f>IF(samples!D203=0,"",samples!D203)</f>
        <v/>
      </c>
      <c r="H666">
        <f>IFERROR(SEARCH(search!$B$6,samples!D203,1),0)</f>
        <v>0</v>
      </c>
      <c r="I666" t="str">
        <f>IF(samples!E203=0,"",samples!E203)</f>
        <v/>
      </c>
      <c r="J666">
        <f>IFERROR(SEARCH(search!$B$6,samples!E203,1),0)</f>
        <v>0</v>
      </c>
      <c r="K666" t="str">
        <f>IF(samples!F203=0,"",samples!F203)</f>
        <v/>
      </c>
      <c r="L666">
        <f>IFERROR(SEARCH(search!$B$6,samples!F203,1),0)</f>
        <v>0</v>
      </c>
      <c r="M666" t="str">
        <f>IF(samples!G203=0,"",samples!G203)</f>
        <v/>
      </c>
      <c r="N666">
        <f>IFERROR(SEARCH(search!$B$6,samples!G203,1),0)</f>
        <v>0</v>
      </c>
      <c r="O666" t="str">
        <f>IF(samples!H203=0,"",samples!H203)</f>
        <v/>
      </c>
      <c r="P666">
        <f>IFERROR(SEARCH(search!$B$6,samples!H203,1),0)</f>
        <v>0</v>
      </c>
      <c r="Q666" t="str">
        <f>IF(samples!I203=0,"",samples!I203)</f>
        <v/>
      </c>
      <c r="R666">
        <f>IFERROR(SEARCH(search!$B$6,samples!I203,1),0)</f>
        <v>0</v>
      </c>
      <c r="S666" t="str">
        <f>IF(samples!J203=0,"",samples!J203)</f>
        <v/>
      </c>
      <c r="T666">
        <f>IFERROR(SEARCH(search!$B$6,samples!J203,1),0)</f>
        <v>0</v>
      </c>
      <c r="U666" t="str">
        <f>IF(samples!K203=0,"",samples!K203)</f>
        <v/>
      </c>
      <c r="V666">
        <f>IFERROR(SEARCH(search!$B$6,samples!K203,1),0)</f>
        <v>0</v>
      </c>
      <c r="W666" t="str">
        <f>IF(samples!L203=0,"",samples!L203)</f>
        <v/>
      </c>
      <c r="X666">
        <f>IFERROR(SEARCH(search!$B$6,samples!L203,1),0)</f>
        <v>0</v>
      </c>
      <c r="Y666" t="str">
        <f>IF(samples!M203=0,"",samples!M203)</f>
        <v/>
      </c>
      <c r="Z666">
        <f>IFERROR(SEARCH(search!$B$6,samples!M203,1),0)</f>
        <v>0</v>
      </c>
      <c r="AA666" t="str">
        <f>IF(samples!N203=0,"",samples!N203)</f>
        <v/>
      </c>
      <c r="AB666">
        <f>IFERROR(SEARCH(search!$B$6,samples!N203,1),0)</f>
        <v>0</v>
      </c>
      <c r="AC666" t="str">
        <f>IF(samples!O203=0,"",samples!O203)</f>
        <v/>
      </c>
      <c r="AD666">
        <f>IFERROR(SEARCH(search!$B$6,samples!O203,1),0)</f>
        <v>0</v>
      </c>
    </row>
    <row r="667" spans="1:30">
      <c r="A667">
        <f t="shared" si="10"/>
        <v>0</v>
      </c>
      <c r="B667">
        <f>IF(SUM(D667,F667,H667,J667,L667,N667,P667,R667,T667,V667,X667,Z667,AB667,AD667)&gt;0,SUM($A$2:A667),0)</f>
        <v>0</v>
      </c>
      <c r="C667">
        <f>samples!B204</f>
        <v>0</v>
      </c>
      <c r="D667">
        <f>IFERROR(SEARCH(search!$B$6,samples!B204,1),0)</f>
        <v>0</v>
      </c>
      <c r="E667" t="str">
        <f>IF(samples!C204=0,"",samples!C204)</f>
        <v/>
      </c>
      <c r="F667">
        <f>IFERROR(SEARCH(search!$B$6,samples!C204,1),0)</f>
        <v>0</v>
      </c>
      <c r="G667" t="str">
        <f>IF(samples!D204=0,"",samples!D204)</f>
        <v/>
      </c>
      <c r="H667">
        <f>IFERROR(SEARCH(search!$B$6,samples!D204,1),0)</f>
        <v>0</v>
      </c>
      <c r="I667" t="str">
        <f>IF(samples!E204=0,"",samples!E204)</f>
        <v/>
      </c>
      <c r="J667">
        <f>IFERROR(SEARCH(search!$B$6,samples!E204,1),0)</f>
        <v>0</v>
      </c>
      <c r="K667" t="str">
        <f>IF(samples!F204=0,"",samples!F204)</f>
        <v/>
      </c>
      <c r="L667">
        <f>IFERROR(SEARCH(search!$B$6,samples!F204,1),0)</f>
        <v>0</v>
      </c>
      <c r="M667" t="str">
        <f>IF(samples!G204=0,"",samples!G204)</f>
        <v/>
      </c>
      <c r="N667">
        <f>IFERROR(SEARCH(search!$B$6,samples!G204,1),0)</f>
        <v>0</v>
      </c>
      <c r="O667" t="str">
        <f>IF(samples!H204=0,"",samples!H204)</f>
        <v/>
      </c>
      <c r="P667">
        <f>IFERROR(SEARCH(search!$B$6,samples!H204,1),0)</f>
        <v>0</v>
      </c>
      <c r="Q667" t="str">
        <f>IF(samples!I204=0,"",samples!I204)</f>
        <v/>
      </c>
      <c r="R667">
        <f>IFERROR(SEARCH(search!$B$6,samples!I204,1),0)</f>
        <v>0</v>
      </c>
      <c r="S667" t="str">
        <f>IF(samples!J204=0,"",samples!J204)</f>
        <v/>
      </c>
      <c r="T667">
        <f>IFERROR(SEARCH(search!$B$6,samples!J204,1),0)</f>
        <v>0</v>
      </c>
      <c r="U667" t="str">
        <f>IF(samples!K204=0,"",samples!K204)</f>
        <v/>
      </c>
      <c r="V667">
        <f>IFERROR(SEARCH(search!$B$6,samples!K204,1),0)</f>
        <v>0</v>
      </c>
      <c r="W667" t="str">
        <f>IF(samples!L204=0,"",samples!L204)</f>
        <v/>
      </c>
      <c r="X667">
        <f>IFERROR(SEARCH(search!$B$6,samples!L204,1),0)</f>
        <v>0</v>
      </c>
      <c r="Y667" t="str">
        <f>IF(samples!M204=0,"",samples!M204)</f>
        <v/>
      </c>
      <c r="Z667">
        <f>IFERROR(SEARCH(search!$B$6,samples!M204,1),0)</f>
        <v>0</v>
      </c>
      <c r="AA667" t="str">
        <f>IF(samples!N204=0,"",samples!N204)</f>
        <v/>
      </c>
      <c r="AB667">
        <f>IFERROR(SEARCH(search!$B$6,samples!N204,1),0)</f>
        <v>0</v>
      </c>
      <c r="AC667" t="str">
        <f>IF(samples!O204=0,"",samples!O204)</f>
        <v/>
      </c>
      <c r="AD667">
        <f>IFERROR(SEARCH(search!$B$6,samples!O204,1),0)</f>
        <v>0</v>
      </c>
    </row>
    <row r="668" spans="1:30">
      <c r="A668">
        <f t="shared" si="10"/>
        <v>0</v>
      </c>
      <c r="B668">
        <f>IF(SUM(D668,F668,H668,J668,L668,N668,P668,R668,T668,V668,X668,Z668,AB668,AD668)&gt;0,SUM($A$2:A668),0)</f>
        <v>0</v>
      </c>
      <c r="C668">
        <f>samples!B205</f>
        <v>0</v>
      </c>
      <c r="D668">
        <f>IFERROR(SEARCH(search!$B$6,samples!B205,1),0)</f>
        <v>0</v>
      </c>
      <c r="E668" t="str">
        <f>IF(samples!C205=0,"",samples!C205)</f>
        <v/>
      </c>
      <c r="F668">
        <f>IFERROR(SEARCH(search!$B$6,samples!C205,1),0)</f>
        <v>0</v>
      </c>
      <c r="G668" t="str">
        <f>IF(samples!D205=0,"",samples!D205)</f>
        <v/>
      </c>
      <c r="H668">
        <f>IFERROR(SEARCH(search!$B$6,samples!D205,1),0)</f>
        <v>0</v>
      </c>
      <c r="I668" t="str">
        <f>IF(samples!E205=0,"",samples!E205)</f>
        <v/>
      </c>
      <c r="J668">
        <f>IFERROR(SEARCH(search!$B$6,samples!E205,1),0)</f>
        <v>0</v>
      </c>
      <c r="K668" t="str">
        <f>IF(samples!F205=0,"",samples!F205)</f>
        <v/>
      </c>
      <c r="L668">
        <f>IFERROR(SEARCH(search!$B$6,samples!F205,1),0)</f>
        <v>0</v>
      </c>
      <c r="M668" t="str">
        <f>IF(samples!G205=0,"",samples!G205)</f>
        <v/>
      </c>
      <c r="N668">
        <f>IFERROR(SEARCH(search!$B$6,samples!G205,1),0)</f>
        <v>0</v>
      </c>
      <c r="O668" t="str">
        <f>IF(samples!H205=0,"",samples!H205)</f>
        <v/>
      </c>
      <c r="P668">
        <f>IFERROR(SEARCH(search!$B$6,samples!H205,1),0)</f>
        <v>0</v>
      </c>
      <c r="Q668" t="str">
        <f>IF(samples!I205=0,"",samples!I205)</f>
        <v/>
      </c>
      <c r="R668">
        <f>IFERROR(SEARCH(search!$B$6,samples!I205,1),0)</f>
        <v>0</v>
      </c>
      <c r="S668" t="str">
        <f>IF(samples!J205=0,"",samples!J205)</f>
        <v/>
      </c>
      <c r="T668">
        <f>IFERROR(SEARCH(search!$B$6,samples!J205,1),0)</f>
        <v>0</v>
      </c>
      <c r="U668" t="str">
        <f>IF(samples!K205=0,"",samples!K205)</f>
        <v/>
      </c>
      <c r="V668">
        <f>IFERROR(SEARCH(search!$B$6,samples!K205,1),0)</f>
        <v>0</v>
      </c>
      <c r="W668" t="str">
        <f>IF(samples!L205=0,"",samples!L205)</f>
        <v/>
      </c>
      <c r="X668">
        <f>IFERROR(SEARCH(search!$B$6,samples!L205,1),0)</f>
        <v>0</v>
      </c>
      <c r="Y668" t="str">
        <f>IF(samples!M205=0,"",samples!M205)</f>
        <v/>
      </c>
      <c r="Z668">
        <f>IFERROR(SEARCH(search!$B$6,samples!M205,1),0)</f>
        <v>0</v>
      </c>
      <c r="AA668" t="str">
        <f>IF(samples!N205=0,"",samples!N205)</f>
        <v/>
      </c>
      <c r="AB668">
        <f>IFERROR(SEARCH(search!$B$6,samples!N205,1),0)</f>
        <v>0</v>
      </c>
      <c r="AC668" t="str">
        <f>IF(samples!O205=0,"",samples!O205)</f>
        <v/>
      </c>
      <c r="AD668">
        <f>IFERROR(SEARCH(search!$B$6,samples!O205,1),0)</f>
        <v>0</v>
      </c>
    </row>
    <row r="669" spans="1:30">
      <c r="A669">
        <f t="shared" si="10"/>
        <v>0</v>
      </c>
      <c r="B669">
        <f>IF(SUM(D669,F669,H669,J669,L669,N669,P669,R669,T669,V669,X669,Z669,AB669,AD669)&gt;0,SUM($A$2:A669),0)</f>
        <v>0</v>
      </c>
      <c r="C669">
        <f>samples!B206</f>
        <v>0</v>
      </c>
      <c r="D669">
        <f>IFERROR(SEARCH(search!$B$6,samples!B206,1),0)</f>
        <v>0</v>
      </c>
      <c r="E669" t="str">
        <f>IF(samples!C206=0,"",samples!C206)</f>
        <v/>
      </c>
      <c r="F669">
        <f>IFERROR(SEARCH(search!$B$6,samples!C206,1),0)</f>
        <v>0</v>
      </c>
      <c r="G669" t="str">
        <f>IF(samples!D206=0,"",samples!D206)</f>
        <v/>
      </c>
      <c r="H669">
        <f>IFERROR(SEARCH(search!$B$6,samples!D206,1),0)</f>
        <v>0</v>
      </c>
      <c r="I669" t="str">
        <f>IF(samples!E206=0,"",samples!E206)</f>
        <v/>
      </c>
      <c r="J669">
        <f>IFERROR(SEARCH(search!$B$6,samples!E206,1),0)</f>
        <v>0</v>
      </c>
      <c r="K669" t="str">
        <f>IF(samples!F206=0,"",samples!F206)</f>
        <v/>
      </c>
      <c r="L669">
        <f>IFERROR(SEARCH(search!$B$6,samples!F206,1),0)</f>
        <v>0</v>
      </c>
      <c r="M669" t="str">
        <f>IF(samples!G206=0,"",samples!G206)</f>
        <v/>
      </c>
      <c r="N669">
        <f>IFERROR(SEARCH(search!$B$6,samples!G206,1),0)</f>
        <v>0</v>
      </c>
      <c r="O669" t="str">
        <f>IF(samples!H206=0,"",samples!H206)</f>
        <v/>
      </c>
      <c r="P669">
        <f>IFERROR(SEARCH(search!$B$6,samples!H206,1),0)</f>
        <v>0</v>
      </c>
      <c r="Q669" t="str">
        <f>IF(samples!I206=0,"",samples!I206)</f>
        <v/>
      </c>
      <c r="R669">
        <f>IFERROR(SEARCH(search!$B$6,samples!I206,1),0)</f>
        <v>0</v>
      </c>
      <c r="S669" t="str">
        <f>IF(samples!J206=0,"",samples!J206)</f>
        <v/>
      </c>
      <c r="T669">
        <f>IFERROR(SEARCH(search!$B$6,samples!J206,1),0)</f>
        <v>0</v>
      </c>
      <c r="U669" t="str">
        <f>IF(samples!K206=0,"",samples!K206)</f>
        <v/>
      </c>
      <c r="V669">
        <f>IFERROR(SEARCH(search!$B$6,samples!K206,1),0)</f>
        <v>0</v>
      </c>
      <c r="W669" t="str">
        <f>IF(samples!L206=0,"",samples!L206)</f>
        <v/>
      </c>
      <c r="X669">
        <f>IFERROR(SEARCH(search!$B$6,samples!L206,1),0)</f>
        <v>0</v>
      </c>
      <c r="Y669" t="str">
        <f>IF(samples!M206=0,"",samples!M206)</f>
        <v/>
      </c>
      <c r="Z669">
        <f>IFERROR(SEARCH(search!$B$6,samples!M206,1),0)</f>
        <v>0</v>
      </c>
      <c r="AA669" t="str">
        <f>IF(samples!N206=0,"",samples!N206)</f>
        <v/>
      </c>
      <c r="AB669">
        <f>IFERROR(SEARCH(search!$B$6,samples!N206,1),0)</f>
        <v>0</v>
      </c>
      <c r="AC669" t="str">
        <f>IF(samples!O206=0,"",samples!O206)</f>
        <v/>
      </c>
      <c r="AD669">
        <f>IFERROR(SEARCH(search!$B$6,samples!O206,1),0)</f>
        <v>0</v>
      </c>
    </row>
    <row r="670" spans="1:30">
      <c r="A670">
        <f t="shared" si="10"/>
        <v>0</v>
      </c>
      <c r="B670">
        <f>IF(SUM(D670,F670,H670,J670,L670,N670,P670,R670,T670,V670,X670,Z670,AB670,AD670)&gt;0,SUM($A$2:A670),0)</f>
        <v>0</v>
      </c>
      <c r="C670">
        <f>samples!B207</f>
        <v>0</v>
      </c>
      <c r="D670">
        <f>IFERROR(SEARCH(search!$B$6,samples!B207,1),0)</f>
        <v>0</v>
      </c>
      <c r="E670" t="str">
        <f>IF(samples!C207=0,"",samples!C207)</f>
        <v/>
      </c>
      <c r="F670">
        <f>IFERROR(SEARCH(search!$B$6,samples!C207,1),0)</f>
        <v>0</v>
      </c>
      <c r="G670" t="str">
        <f>IF(samples!D207=0,"",samples!D207)</f>
        <v/>
      </c>
      <c r="H670">
        <f>IFERROR(SEARCH(search!$B$6,samples!D207,1),0)</f>
        <v>0</v>
      </c>
      <c r="I670" t="str">
        <f>IF(samples!E207=0,"",samples!E207)</f>
        <v/>
      </c>
      <c r="J670">
        <f>IFERROR(SEARCH(search!$B$6,samples!E207,1),0)</f>
        <v>0</v>
      </c>
      <c r="K670" t="str">
        <f>IF(samples!F207=0,"",samples!F207)</f>
        <v/>
      </c>
      <c r="L670">
        <f>IFERROR(SEARCH(search!$B$6,samples!F207,1),0)</f>
        <v>0</v>
      </c>
      <c r="M670" t="str">
        <f>IF(samples!G207=0,"",samples!G207)</f>
        <v/>
      </c>
      <c r="N670">
        <f>IFERROR(SEARCH(search!$B$6,samples!G207,1),0)</f>
        <v>0</v>
      </c>
      <c r="O670" t="str">
        <f>IF(samples!H207=0,"",samples!H207)</f>
        <v/>
      </c>
      <c r="P670">
        <f>IFERROR(SEARCH(search!$B$6,samples!H207,1),0)</f>
        <v>0</v>
      </c>
      <c r="Q670" t="str">
        <f>IF(samples!I207=0,"",samples!I207)</f>
        <v/>
      </c>
      <c r="R670">
        <f>IFERROR(SEARCH(search!$B$6,samples!I207,1),0)</f>
        <v>0</v>
      </c>
      <c r="S670" t="str">
        <f>IF(samples!J207=0,"",samples!J207)</f>
        <v/>
      </c>
      <c r="T670">
        <f>IFERROR(SEARCH(search!$B$6,samples!J207,1),0)</f>
        <v>0</v>
      </c>
      <c r="U670" t="str">
        <f>IF(samples!K207=0,"",samples!K207)</f>
        <v/>
      </c>
      <c r="V670">
        <f>IFERROR(SEARCH(search!$B$6,samples!K207,1),0)</f>
        <v>0</v>
      </c>
      <c r="W670" t="str">
        <f>IF(samples!L207=0,"",samples!L207)</f>
        <v/>
      </c>
      <c r="X670">
        <f>IFERROR(SEARCH(search!$B$6,samples!L207,1),0)</f>
        <v>0</v>
      </c>
      <c r="Y670" t="str">
        <f>IF(samples!M207=0,"",samples!M207)</f>
        <v/>
      </c>
      <c r="Z670">
        <f>IFERROR(SEARCH(search!$B$6,samples!M207,1),0)</f>
        <v>0</v>
      </c>
      <c r="AA670" t="str">
        <f>IF(samples!N207=0,"",samples!N207)</f>
        <v/>
      </c>
      <c r="AB670">
        <f>IFERROR(SEARCH(search!$B$6,samples!N207,1),0)</f>
        <v>0</v>
      </c>
      <c r="AC670" t="str">
        <f>IF(samples!O207=0,"",samples!O207)</f>
        <v/>
      </c>
      <c r="AD670">
        <f>IFERROR(SEARCH(search!$B$6,samples!O207,1),0)</f>
        <v>0</v>
      </c>
    </row>
    <row r="671" spans="1:30">
      <c r="A671">
        <f t="shared" si="10"/>
        <v>0</v>
      </c>
      <c r="B671">
        <f>IF(SUM(D671,F671,H671,J671,L671,N671,P671,R671,T671,V671,X671,Z671,AB671,AD671)&gt;0,SUM($A$2:A671),0)</f>
        <v>0</v>
      </c>
      <c r="C671">
        <f>samples!B208</f>
        <v>0</v>
      </c>
      <c r="D671">
        <f>IFERROR(SEARCH(search!$B$6,samples!B208,1),0)</f>
        <v>0</v>
      </c>
      <c r="E671" t="str">
        <f>IF(samples!C208=0,"",samples!C208)</f>
        <v/>
      </c>
      <c r="F671">
        <f>IFERROR(SEARCH(search!$B$6,samples!C208,1),0)</f>
        <v>0</v>
      </c>
      <c r="G671" t="str">
        <f>IF(samples!D208=0,"",samples!D208)</f>
        <v/>
      </c>
      <c r="H671">
        <f>IFERROR(SEARCH(search!$B$6,samples!D208,1),0)</f>
        <v>0</v>
      </c>
      <c r="I671" t="str">
        <f>IF(samples!E208=0,"",samples!E208)</f>
        <v/>
      </c>
      <c r="J671">
        <f>IFERROR(SEARCH(search!$B$6,samples!E208,1),0)</f>
        <v>0</v>
      </c>
      <c r="K671" t="str">
        <f>IF(samples!F208=0,"",samples!F208)</f>
        <v/>
      </c>
      <c r="L671">
        <f>IFERROR(SEARCH(search!$B$6,samples!F208,1),0)</f>
        <v>0</v>
      </c>
      <c r="M671" t="str">
        <f>IF(samples!G208=0,"",samples!G208)</f>
        <v/>
      </c>
      <c r="N671">
        <f>IFERROR(SEARCH(search!$B$6,samples!G208,1),0)</f>
        <v>0</v>
      </c>
      <c r="O671" t="str">
        <f>IF(samples!H208=0,"",samples!H208)</f>
        <v/>
      </c>
      <c r="P671">
        <f>IFERROR(SEARCH(search!$B$6,samples!H208,1),0)</f>
        <v>0</v>
      </c>
      <c r="Q671" t="str">
        <f>IF(samples!I208=0,"",samples!I208)</f>
        <v/>
      </c>
      <c r="R671">
        <f>IFERROR(SEARCH(search!$B$6,samples!I208,1),0)</f>
        <v>0</v>
      </c>
      <c r="S671" t="str">
        <f>IF(samples!J208=0,"",samples!J208)</f>
        <v/>
      </c>
      <c r="T671">
        <f>IFERROR(SEARCH(search!$B$6,samples!J208,1),0)</f>
        <v>0</v>
      </c>
      <c r="U671" t="str">
        <f>IF(samples!K208=0,"",samples!K208)</f>
        <v/>
      </c>
      <c r="V671">
        <f>IFERROR(SEARCH(search!$B$6,samples!K208,1),0)</f>
        <v>0</v>
      </c>
      <c r="W671" t="str">
        <f>IF(samples!L208=0,"",samples!L208)</f>
        <v/>
      </c>
      <c r="X671">
        <f>IFERROR(SEARCH(search!$B$6,samples!L208,1),0)</f>
        <v>0</v>
      </c>
      <c r="Y671" t="str">
        <f>IF(samples!M208=0,"",samples!M208)</f>
        <v/>
      </c>
      <c r="Z671">
        <f>IFERROR(SEARCH(search!$B$6,samples!M208,1),0)</f>
        <v>0</v>
      </c>
      <c r="AA671" t="str">
        <f>IF(samples!N208=0,"",samples!N208)</f>
        <v/>
      </c>
      <c r="AB671">
        <f>IFERROR(SEARCH(search!$B$6,samples!N208,1),0)</f>
        <v>0</v>
      </c>
      <c r="AC671" t="str">
        <f>IF(samples!O208=0,"",samples!O208)</f>
        <v/>
      </c>
      <c r="AD671">
        <f>IFERROR(SEARCH(search!$B$6,samples!O208,1),0)</f>
        <v>0</v>
      </c>
    </row>
    <row r="672" spans="1:30">
      <c r="A672">
        <f t="shared" si="10"/>
        <v>0</v>
      </c>
      <c r="B672">
        <f>IF(SUM(D672,F672,H672,J672,L672,N672,P672,R672,T672,V672,X672,Z672,AB672,AD672)&gt;0,SUM($A$2:A672),0)</f>
        <v>0</v>
      </c>
      <c r="C672">
        <f>samples!B209</f>
        <v>0</v>
      </c>
      <c r="D672">
        <f>IFERROR(SEARCH(search!$B$6,samples!B209,1),0)</f>
        <v>0</v>
      </c>
      <c r="E672" t="str">
        <f>IF(samples!C209=0,"",samples!C209)</f>
        <v/>
      </c>
      <c r="F672">
        <f>IFERROR(SEARCH(search!$B$6,samples!C209,1),0)</f>
        <v>0</v>
      </c>
      <c r="G672" t="str">
        <f>IF(samples!D209=0,"",samples!D209)</f>
        <v/>
      </c>
      <c r="H672">
        <f>IFERROR(SEARCH(search!$B$6,samples!D209,1),0)</f>
        <v>0</v>
      </c>
      <c r="I672" t="str">
        <f>IF(samples!E209=0,"",samples!E209)</f>
        <v/>
      </c>
      <c r="J672">
        <f>IFERROR(SEARCH(search!$B$6,samples!E209,1),0)</f>
        <v>0</v>
      </c>
      <c r="K672" t="str">
        <f>IF(samples!F209=0,"",samples!F209)</f>
        <v/>
      </c>
      <c r="L672">
        <f>IFERROR(SEARCH(search!$B$6,samples!F209,1),0)</f>
        <v>0</v>
      </c>
      <c r="M672" t="str">
        <f>IF(samples!G209=0,"",samples!G209)</f>
        <v/>
      </c>
      <c r="N672">
        <f>IFERROR(SEARCH(search!$B$6,samples!G209,1),0)</f>
        <v>0</v>
      </c>
      <c r="O672" t="str">
        <f>IF(samples!H209=0,"",samples!H209)</f>
        <v/>
      </c>
      <c r="P672">
        <f>IFERROR(SEARCH(search!$B$6,samples!H209,1),0)</f>
        <v>0</v>
      </c>
      <c r="Q672" t="str">
        <f>IF(samples!I209=0,"",samples!I209)</f>
        <v/>
      </c>
      <c r="R672">
        <f>IFERROR(SEARCH(search!$B$6,samples!I209,1),0)</f>
        <v>0</v>
      </c>
      <c r="S672" t="str">
        <f>IF(samples!J209=0,"",samples!J209)</f>
        <v/>
      </c>
      <c r="T672">
        <f>IFERROR(SEARCH(search!$B$6,samples!J209,1),0)</f>
        <v>0</v>
      </c>
      <c r="U672" t="str">
        <f>IF(samples!K209=0,"",samples!K209)</f>
        <v/>
      </c>
      <c r="V672">
        <f>IFERROR(SEARCH(search!$B$6,samples!K209,1),0)</f>
        <v>0</v>
      </c>
      <c r="W672" t="str">
        <f>IF(samples!L209=0,"",samples!L209)</f>
        <v/>
      </c>
      <c r="X672">
        <f>IFERROR(SEARCH(search!$B$6,samples!L209,1),0)</f>
        <v>0</v>
      </c>
      <c r="Y672" t="str">
        <f>IF(samples!M209=0,"",samples!M209)</f>
        <v/>
      </c>
      <c r="Z672">
        <f>IFERROR(SEARCH(search!$B$6,samples!M209,1),0)</f>
        <v>0</v>
      </c>
      <c r="AA672" t="str">
        <f>IF(samples!N209=0,"",samples!N209)</f>
        <v/>
      </c>
      <c r="AB672">
        <f>IFERROR(SEARCH(search!$B$6,samples!N209,1),0)</f>
        <v>0</v>
      </c>
      <c r="AC672" t="str">
        <f>IF(samples!O209=0,"",samples!O209)</f>
        <v/>
      </c>
      <c r="AD672">
        <f>IFERROR(SEARCH(search!$B$6,samples!O209,1),0)</f>
        <v>0</v>
      </c>
    </row>
    <row r="673" spans="1:30">
      <c r="A673">
        <f t="shared" si="10"/>
        <v>0</v>
      </c>
      <c r="B673">
        <f>IF(SUM(D673,F673,H673,J673,L673,N673,P673,R673,T673,V673,X673,Z673,AB673,AD673)&gt;0,SUM($A$2:A673),0)</f>
        <v>0</v>
      </c>
      <c r="C673">
        <f>samples!B210</f>
        <v>0</v>
      </c>
      <c r="D673">
        <f>IFERROR(SEARCH(search!$B$6,samples!B210,1),0)</f>
        <v>0</v>
      </c>
      <c r="E673" t="str">
        <f>IF(samples!C210=0,"",samples!C210)</f>
        <v/>
      </c>
      <c r="F673">
        <f>IFERROR(SEARCH(search!$B$6,samples!C210,1),0)</f>
        <v>0</v>
      </c>
      <c r="G673" t="str">
        <f>IF(samples!D210=0,"",samples!D210)</f>
        <v/>
      </c>
      <c r="H673">
        <f>IFERROR(SEARCH(search!$B$6,samples!D210,1),0)</f>
        <v>0</v>
      </c>
      <c r="I673" t="str">
        <f>IF(samples!E210=0,"",samples!E210)</f>
        <v/>
      </c>
      <c r="J673">
        <f>IFERROR(SEARCH(search!$B$6,samples!E210,1),0)</f>
        <v>0</v>
      </c>
      <c r="K673" t="str">
        <f>IF(samples!F210=0,"",samples!F210)</f>
        <v/>
      </c>
      <c r="L673">
        <f>IFERROR(SEARCH(search!$B$6,samples!F210,1),0)</f>
        <v>0</v>
      </c>
      <c r="M673" t="str">
        <f>IF(samples!G210=0,"",samples!G210)</f>
        <v/>
      </c>
      <c r="N673">
        <f>IFERROR(SEARCH(search!$B$6,samples!G210,1),0)</f>
        <v>0</v>
      </c>
      <c r="O673" t="str">
        <f>IF(samples!H210=0,"",samples!H210)</f>
        <v/>
      </c>
      <c r="P673">
        <f>IFERROR(SEARCH(search!$B$6,samples!H210,1),0)</f>
        <v>0</v>
      </c>
      <c r="Q673" t="str">
        <f>IF(samples!I210=0,"",samples!I210)</f>
        <v/>
      </c>
      <c r="R673">
        <f>IFERROR(SEARCH(search!$B$6,samples!I210,1),0)</f>
        <v>0</v>
      </c>
      <c r="S673" t="str">
        <f>IF(samples!J210=0,"",samples!J210)</f>
        <v/>
      </c>
      <c r="T673">
        <f>IFERROR(SEARCH(search!$B$6,samples!J210,1),0)</f>
        <v>0</v>
      </c>
      <c r="U673" t="str">
        <f>IF(samples!K210=0,"",samples!K210)</f>
        <v/>
      </c>
      <c r="V673">
        <f>IFERROR(SEARCH(search!$B$6,samples!K210,1),0)</f>
        <v>0</v>
      </c>
      <c r="W673" t="str">
        <f>IF(samples!L210=0,"",samples!L210)</f>
        <v/>
      </c>
      <c r="X673">
        <f>IFERROR(SEARCH(search!$B$6,samples!L210,1),0)</f>
        <v>0</v>
      </c>
      <c r="Y673" t="str">
        <f>IF(samples!M210=0,"",samples!M210)</f>
        <v/>
      </c>
      <c r="Z673">
        <f>IFERROR(SEARCH(search!$B$6,samples!M210,1),0)</f>
        <v>0</v>
      </c>
      <c r="AA673" t="str">
        <f>IF(samples!N210=0,"",samples!N210)</f>
        <v/>
      </c>
      <c r="AB673">
        <f>IFERROR(SEARCH(search!$B$6,samples!N210,1),0)</f>
        <v>0</v>
      </c>
      <c r="AC673" t="str">
        <f>IF(samples!O210=0,"",samples!O210)</f>
        <v/>
      </c>
      <c r="AD673">
        <f>IFERROR(SEARCH(search!$B$6,samples!O210,1),0)</f>
        <v>0</v>
      </c>
    </row>
    <row r="674" spans="1:30">
      <c r="A674">
        <f t="shared" si="10"/>
        <v>0</v>
      </c>
      <c r="B674">
        <f>IF(SUM(D674,F674,H674,J674,L674,N674,P674,R674,T674,V674,X674,Z674,AB674,AD674)&gt;0,SUM($A$2:A674),0)</f>
        <v>0</v>
      </c>
      <c r="C674">
        <f>samples!B211</f>
        <v>0</v>
      </c>
      <c r="D674">
        <f>IFERROR(SEARCH(search!$B$6,samples!B211,1),0)</f>
        <v>0</v>
      </c>
      <c r="E674" t="str">
        <f>IF(samples!C211=0,"",samples!C211)</f>
        <v/>
      </c>
      <c r="F674">
        <f>IFERROR(SEARCH(search!$B$6,samples!C211,1),0)</f>
        <v>0</v>
      </c>
      <c r="G674" t="str">
        <f>IF(samples!D211=0,"",samples!D211)</f>
        <v/>
      </c>
      <c r="H674">
        <f>IFERROR(SEARCH(search!$B$6,samples!D211,1),0)</f>
        <v>0</v>
      </c>
      <c r="I674" t="str">
        <f>IF(samples!E211=0,"",samples!E211)</f>
        <v/>
      </c>
      <c r="J674">
        <f>IFERROR(SEARCH(search!$B$6,samples!E211,1),0)</f>
        <v>0</v>
      </c>
      <c r="K674" t="str">
        <f>IF(samples!F211=0,"",samples!F211)</f>
        <v/>
      </c>
      <c r="L674">
        <f>IFERROR(SEARCH(search!$B$6,samples!F211,1),0)</f>
        <v>0</v>
      </c>
      <c r="M674" t="str">
        <f>IF(samples!G211=0,"",samples!G211)</f>
        <v/>
      </c>
      <c r="N674">
        <f>IFERROR(SEARCH(search!$B$6,samples!G211,1),0)</f>
        <v>0</v>
      </c>
      <c r="O674" t="str">
        <f>IF(samples!H211=0,"",samples!H211)</f>
        <v/>
      </c>
      <c r="P674">
        <f>IFERROR(SEARCH(search!$B$6,samples!H211,1),0)</f>
        <v>0</v>
      </c>
      <c r="Q674" t="str">
        <f>IF(samples!I211=0,"",samples!I211)</f>
        <v/>
      </c>
      <c r="R674">
        <f>IFERROR(SEARCH(search!$B$6,samples!I211,1),0)</f>
        <v>0</v>
      </c>
      <c r="S674" t="str">
        <f>IF(samples!J211=0,"",samples!J211)</f>
        <v/>
      </c>
      <c r="T674">
        <f>IFERROR(SEARCH(search!$B$6,samples!J211,1),0)</f>
        <v>0</v>
      </c>
      <c r="U674" t="str">
        <f>IF(samples!K211=0,"",samples!K211)</f>
        <v/>
      </c>
      <c r="V674">
        <f>IFERROR(SEARCH(search!$B$6,samples!K211,1),0)</f>
        <v>0</v>
      </c>
      <c r="W674" t="str">
        <f>IF(samples!L211=0,"",samples!L211)</f>
        <v/>
      </c>
      <c r="X674">
        <f>IFERROR(SEARCH(search!$B$6,samples!L211,1),0)</f>
        <v>0</v>
      </c>
      <c r="Y674" t="str">
        <f>IF(samples!M211=0,"",samples!M211)</f>
        <v/>
      </c>
      <c r="Z674">
        <f>IFERROR(SEARCH(search!$B$6,samples!M211,1),0)</f>
        <v>0</v>
      </c>
      <c r="AA674" t="str">
        <f>IF(samples!N211=0,"",samples!N211)</f>
        <v/>
      </c>
      <c r="AB674">
        <f>IFERROR(SEARCH(search!$B$6,samples!N211,1),0)</f>
        <v>0</v>
      </c>
      <c r="AC674" t="str">
        <f>IF(samples!O211=0,"",samples!O211)</f>
        <v/>
      </c>
      <c r="AD674">
        <f>IFERROR(SEARCH(search!$B$6,samples!O211,1),0)</f>
        <v>0</v>
      </c>
    </row>
    <row r="675" spans="1:30">
      <c r="A675">
        <f t="shared" si="10"/>
        <v>0</v>
      </c>
      <c r="B675">
        <f>IF(SUM(D675,F675,H675,J675,L675,N675,P675,R675,T675,V675,X675,Z675,AB675,AD675)&gt;0,SUM($A$2:A675),0)</f>
        <v>0</v>
      </c>
      <c r="C675">
        <f>samples!B212</f>
        <v>0</v>
      </c>
      <c r="D675">
        <f>IFERROR(SEARCH(search!$B$6,samples!B212,1),0)</f>
        <v>0</v>
      </c>
      <c r="E675" t="str">
        <f>IF(samples!C212=0,"",samples!C212)</f>
        <v/>
      </c>
      <c r="F675">
        <f>IFERROR(SEARCH(search!$B$6,samples!C212,1),0)</f>
        <v>0</v>
      </c>
      <c r="G675" t="str">
        <f>IF(samples!D212=0,"",samples!D212)</f>
        <v/>
      </c>
      <c r="H675">
        <f>IFERROR(SEARCH(search!$B$6,samples!D212,1),0)</f>
        <v>0</v>
      </c>
      <c r="I675" t="str">
        <f>IF(samples!E212=0,"",samples!E212)</f>
        <v/>
      </c>
      <c r="J675">
        <f>IFERROR(SEARCH(search!$B$6,samples!E212,1),0)</f>
        <v>0</v>
      </c>
      <c r="K675" t="str">
        <f>IF(samples!F212=0,"",samples!F212)</f>
        <v/>
      </c>
      <c r="L675">
        <f>IFERROR(SEARCH(search!$B$6,samples!F212,1),0)</f>
        <v>0</v>
      </c>
      <c r="M675" t="str">
        <f>IF(samples!G212=0,"",samples!G212)</f>
        <v/>
      </c>
      <c r="N675">
        <f>IFERROR(SEARCH(search!$B$6,samples!G212,1),0)</f>
        <v>0</v>
      </c>
      <c r="O675" t="str">
        <f>IF(samples!H212=0,"",samples!H212)</f>
        <v/>
      </c>
      <c r="P675">
        <f>IFERROR(SEARCH(search!$B$6,samples!H212,1),0)</f>
        <v>0</v>
      </c>
      <c r="Q675" t="str">
        <f>IF(samples!I212=0,"",samples!I212)</f>
        <v/>
      </c>
      <c r="R675">
        <f>IFERROR(SEARCH(search!$B$6,samples!I212,1),0)</f>
        <v>0</v>
      </c>
      <c r="S675" t="str">
        <f>IF(samples!J212=0,"",samples!J212)</f>
        <v/>
      </c>
      <c r="T675">
        <f>IFERROR(SEARCH(search!$B$6,samples!J212,1),0)</f>
        <v>0</v>
      </c>
      <c r="U675" t="str">
        <f>IF(samples!K212=0,"",samples!K212)</f>
        <v/>
      </c>
      <c r="V675">
        <f>IFERROR(SEARCH(search!$B$6,samples!K212,1),0)</f>
        <v>0</v>
      </c>
      <c r="W675" t="str">
        <f>IF(samples!L212=0,"",samples!L212)</f>
        <v/>
      </c>
      <c r="X675">
        <f>IFERROR(SEARCH(search!$B$6,samples!L212,1),0)</f>
        <v>0</v>
      </c>
      <c r="Y675" t="str">
        <f>IF(samples!M212=0,"",samples!M212)</f>
        <v/>
      </c>
      <c r="Z675">
        <f>IFERROR(SEARCH(search!$B$6,samples!M212,1),0)</f>
        <v>0</v>
      </c>
      <c r="AA675" t="str">
        <f>IF(samples!N212=0,"",samples!N212)</f>
        <v/>
      </c>
      <c r="AB675">
        <f>IFERROR(SEARCH(search!$B$6,samples!N212,1),0)</f>
        <v>0</v>
      </c>
      <c r="AC675" t="str">
        <f>IF(samples!O212=0,"",samples!O212)</f>
        <v/>
      </c>
      <c r="AD675">
        <f>IFERROR(SEARCH(search!$B$6,samples!O212,1),0)</f>
        <v>0</v>
      </c>
    </row>
    <row r="676" spans="1:30">
      <c r="A676">
        <f t="shared" si="10"/>
        <v>0</v>
      </c>
      <c r="B676">
        <f>IF(SUM(D676,F676,H676,J676,L676,N676,P676,R676,T676,V676,X676,Z676,AB676,AD676)&gt;0,SUM($A$2:A676),0)</f>
        <v>0</v>
      </c>
      <c r="C676">
        <f>samples!B213</f>
        <v>0</v>
      </c>
      <c r="D676">
        <f>IFERROR(SEARCH(search!$B$6,samples!B213,1),0)</f>
        <v>0</v>
      </c>
      <c r="E676" t="str">
        <f>IF(samples!C213=0,"",samples!C213)</f>
        <v/>
      </c>
      <c r="F676">
        <f>IFERROR(SEARCH(search!$B$6,samples!C213,1),0)</f>
        <v>0</v>
      </c>
      <c r="G676" t="str">
        <f>IF(samples!D213=0,"",samples!D213)</f>
        <v/>
      </c>
      <c r="H676">
        <f>IFERROR(SEARCH(search!$B$6,samples!D213,1),0)</f>
        <v>0</v>
      </c>
      <c r="I676" t="str">
        <f>IF(samples!E213=0,"",samples!E213)</f>
        <v/>
      </c>
      <c r="J676">
        <f>IFERROR(SEARCH(search!$B$6,samples!E213,1),0)</f>
        <v>0</v>
      </c>
      <c r="K676" t="str">
        <f>IF(samples!F213=0,"",samples!F213)</f>
        <v/>
      </c>
      <c r="L676">
        <f>IFERROR(SEARCH(search!$B$6,samples!F213,1),0)</f>
        <v>0</v>
      </c>
      <c r="M676" t="str">
        <f>IF(samples!G213=0,"",samples!G213)</f>
        <v/>
      </c>
      <c r="N676">
        <f>IFERROR(SEARCH(search!$B$6,samples!G213,1),0)</f>
        <v>0</v>
      </c>
      <c r="O676" t="str">
        <f>IF(samples!H213=0,"",samples!H213)</f>
        <v/>
      </c>
      <c r="P676">
        <f>IFERROR(SEARCH(search!$B$6,samples!H213,1),0)</f>
        <v>0</v>
      </c>
      <c r="Q676" t="str">
        <f>IF(samples!I213=0,"",samples!I213)</f>
        <v/>
      </c>
      <c r="R676">
        <f>IFERROR(SEARCH(search!$B$6,samples!I213,1),0)</f>
        <v>0</v>
      </c>
      <c r="S676" t="str">
        <f>IF(samples!J213=0,"",samples!J213)</f>
        <v/>
      </c>
      <c r="T676">
        <f>IFERROR(SEARCH(search!$B$6,samples!J213,1),0)</f>
        <v>0</v>
      </c>
      <c r="U676" t="str">
        <f>IF(samples!K213=0,"",samples!K213)</f>
        <v/>
      </c>
      <c r="V676">
        <f>IFERROR(SEARCH(search!$B$6,samples!K213,1),0)</f>
        <v>0</v>
      </c>
      <c r="W676" t="str">
        <f>IF(samples!L213=0,"",samples!L213)</f>
        <v/>
      </c>
      <c r="X676">
        <f>IFERROR(SEARCH(search!$B$6,samples!L213,1),0)</f>
        <v>0</v>
      </c>
      <c r="Y676" t="str">
        <f>IF(samples!M213=0,"",samples!M213)</f>
        <v/>
      </c>
      <c r="Z676">
        <f>IFERROR(SEARCH(search!$B$6,samples!M213,1),0)</f>
        <v>0</v>
      </c>
      <c r="AA676" t="str">
        <f>IF(samples!N213=0,"",samples!N213)</f>
        <v/>
      </c>
      <c r="AB676">
        <f>IFERROR(SEARCH(search!$B$6,samples!N213,1),0)</f>
        <v>0</v>
      </c>
      <c r="AC676" t="str">
        <f>IF(samples!O213=0,"",samples!O213)</f>
        <v/>
      </c>
      <c r="AD676">
        <f>IFERROR(SEARCH(search!$B$6,samples!O213,1),0)</f>
        <v>0</v>
      </c>
    </row>
    <row r="677" spans="1:30">
      <c r="A677">
        <f t="shared" si="10"/>
        <v>0</v>
      </c>
      <c r="B677">
        <f>IF(SUM(D677,F677,H677,J677,L677,N677,P677,R677,T677,V677,X677,Z677,AB677,AD677)&gt;0,SUM($A$2:A677),0)</f>
        <v>0</v>
      </c>
      <c r="C677">
        <f>samples!B214</f>
        <v>0</v>
      </c>
      <c r="D677">
        <f>IFERROR(SEARCH(search!$B$6,samples!B214,1),0)</f>
        <v>0</v>
      </c>
      <c r="E677" t="str">
        <f>IF(samples!C214=0,"",samples!C214)</f>
        <v/>
      </c>
      <c r="F677">
        <f>IFERROR(SEARCH(search!$B$6,samples!C214,1),0)</f>
        <v>0</v>
      </c>
      <c r="G677" t="str">
        <f>IF(samples!D214=0,"",samples!D214)</f>
        <v/>
      </c>
      <c r="H677">
        <f>IFERROR(SEARCH(search!$B$6,samples!D214,1),0)</f>
        <v>0</v>
      </c>
      <c r="I677" t="str">
        <f>IF(samples!E214=0,"",samples!E214)</f>
        <v/>
      </c>
      <c r="J677">
        <f>IFERROR(SEARCH(search!$B$6,samples!E214,1),0)</f>
        <v>0</v>
      </c>
      <c r="K677" t="str">
        <f>IF(samples!F214=0,"",samples!F214)</f>
        <v/>
      </c>
      <c r="L677">
        <f>IFERROR(SEARCH(search!$B$6,samples!F214,1),0)</f>
        <v>0</v>
      </c>
      <c r="M677" t="str">
        <f>IF(samples!G214=0,"",samples!G214)</f>
        <v/>
      </c>
      <c r="N677">
        <f>IFERROR(SEARCH(search!$B$6,samples!G214,1),0)</f>
        <v>0</v>
      </c>
      <c r="O677" t="str">
        <f>IF(samples!H214=0,"",samples!H214)</f>
        <v/>
      </c>
      <c r="P677">
        <f>IFERROR(SEARCH(search!$B$6,samples!H214,1),0)</f>
        <v>0</v>
      </c>
      <c r="Q677" t="str">
        <f>IF(samples!I214=0,"",samples!I214)</f>
        <v/>
      </c>
      <c r="R677">
        <f>IFERROR(SEARCH(search!$B$6,samples!I214,1),0)</f>
        <v>0</v>
      </c>
      <c r="S677" t="str">
        <f>IF(samples!J214=0,"",samples!J214)</f>
        <v/>
      </c>
      <c r="T677">
        <f>IFERROR(SEARCH(search!$B$6,samples!J214,1),0)</f>
        <v>0</v>
      </c>
      <c r="U677" t="str">
        <f>IF(samples!K214=0,"",samples!K214)</f>
        <v/>
      </c>
      <c r="V677">
        <f>IFERROR(SEARCH(search!$B$6,samples!K214,1),0)</f>
        <v>0</v>
      </c>
      <c r="W677" t="str">
        <f>IF(samples!L214=0,"",samples!L214)</f>
        <v/>
      </c>
      <c r="X677">
        <f>IFERROR(SEARCH(search!$B$6,samples!L214,1),0)</f>
        <v>0</v>
      </c>
      <c r="Y677" t="str">
        <f>IF(samples!M214=0,"",samples!M214)</f>
        <v/>
      </c>
      <c r="Z677">
        <f>IFERROR(SEARCH(search!$B$6,samples!M214,1),0)</f>
        <v>0</v>
      </c>
      <c r="AA677" t="str">
        <f>IF(samples!N214=0,"",samples!N214)</f>
        <v/>
      </c>
      <c r="AB677">
        <f>IFERROR(SEARCH(search!$B$6,samples!N214,1),0)</f>
        <v>0</v>
      </c>
      <c r="AC677" t="str">
        <f>IF(samples!O214=0,"",samples!O214)</f>
        <v/>
      </c>
      <c r="AD677">
        <f>IFERROR(SEARCH(search!$B$6,samples!O214,1),0)</f>
        <v>0</v>
      </c>
    </row>
    <row r="678" spans="1:30">
      <c r="A678">
        <f t="shared" si="10"/>
        <v>0</v>
      </c>
      <c r="B678">
        <f>IF(SUM(D678,F678,H678,J678,L678,N678,P678,R678,T678,V678,X678,Z678,AB678,AD678)&gt;0,SUM($A$2:A678),0)</f>
        <v>0</v>
      </c>
      <c r="C678">
        <f>samples!B215</f>
        <v>0</v>
      </c>
      <c r="D678">
        <f>IFERROR(SEARCH(search!$B$6,samples!B215,1),0)</f>
        <v>0</v>
      </c>
      <c r="E678" t="str">
        <f>IF(samples!C215=0,"",samples!C215)</f>
        <v/>
      </c>
      <c r="F678">
        <f>IFERROR(SEARCH(search!$B$6,samples!C215,1),0)</f>
        <v>0</v>
      </c>
      <c r="G678" t="str">
        <f>IF(samples!D215=0,"",samples!D215)</f>
        <v/>
      </c>
      <c r="H678">
        <f>IFERROR(SEARCH(search!$B$6,samples!D215,1),0)</f>
        <v>0</v>
      </c>
      <c r="I678" t="str">
        <f>IF(samples!E215=0,"",samples!E215)</f>
        <v/>
      </c>
      <c r="J678">
        <f>IFERROR(SEARCH(search!$B$6,samples!E215,1),0)</f>
        <v>0</v>
      </c>
      <c r="K678" t="str">
        <f>IF(samples!F215=0,"",samples!F215)</f>
        <v/>
      </c>
      <c r="L678">
        <f>IFERROR(SEARCH(search!$B$6,samples!F215,1),0)</f>
        <v>0</v>
      </c>
      <c r="M678" t="str">
        <f>IF(samples!G215=0,"",samples!G215)</f>
        <v/>
      </c>
      <c r="N678">
        <f>IFERROR(SEARCH(search!$B$6,samples!G215,1),0)</f>
        <v>0</v>
      </c>
      <c r="O678" t="str">
        <f>IF(samples!H215=0,"",samples!H215)</f>
        <v/>
      </c>
      <c r="P678">
        <f>IFERROR(SEARCH(search!$B$6,samples!H215,1),0)</f>
        <v>0</v>
      </c>
      <c r="Q678" t="str">
        <f>IF(samples!I215=0,"",samples!I215)</f>
        <v/>
      </c>
      <c r="R678">
        <f>IFERROR(SEARCH(search!$B$6,samples!I215,1),0)</f>
        <v>0</v>
      </c>
      <c r="S678" t="str">
        <f>IF(samples!J215=0,"",samples!J215)</f>
        <v/>
      </c>
      <c r="T678">
        <f>IFERROR(SEARCH(search!$B$6,samples!J215,1),0)</f>
        <v>0</v>
      </c>
      <c r="U678" t="str">
        <f>IF(samples!K215=0,"",samples!K215)</f>
        <v/>
      </c>
      <c r="V678">
        <f>IFERROR(SEARCH(search!$B$6,samples!K215,1),0)</f>
        <v>0</v>
      </c>
      <c r="W678" t="str">
        <f>IF(samples!L215=0,"",samples!L215)</f>
        <v/>
      </c>
      <c r="X678">
        <f>IFERROR(SEARCH(search!$B$6,samples!L215,1),0)</f>
        <v>0</v>
      </c>
      <c r="Y678" t="str">
        <f>IF(samples!M215=0,"",samples!M215)</f>
        <v/>
      </c>
      <c r="Z678">
        <f>IFERROR(SEARCH(search!$B$6,samples!M215,1),0)</f>
        <v>0</v>
      </c>
      <c r="AA678" t="str">
        <f>IF(samples!N215=0,"",samples!N215)</f>
        <v/>
      </c>
      <c r="AB678">
        <f>IFERROR(SEARCH(search!$B$6,samples!N215,1),0)</f>
        <v>0</v>
      </c>
      <c r="AC678" t="str">
        <f>IF(samples!O215=0,"",samples!O215)</f>
        <v/>
      </c>
      <c r="AD678">
        <f>IFERROR(SEARCH(search!$B$6,samples!O215,1),0)</f>
        <v>0</v>
      </c>
    </row>
    <row r="679" spans="1:30">
      <c r="A679">
        <f t="shared" si="10"/>
        <v>0</v>
      </c>
      <c r="B679">
        <f>IF(SUM(D679,F679,H679,J679,L679,N679,P679,R679,T679,V679,X679,Z679,AB679,AD679)&gt;0,SUM($A$2:A679),0)</f>
        <v>0</v>
      </c>
      <c r="C679">
        <f>samples!B216</f>
        <v>0</v>
      </c>
      <c r="D679">
        <f>IFERROR(SEARCH(search!$B$6,samples!B216,1),0)</f>
        <v>0</v>
      </c>
      <c r="E679" t="str">
        <f>IF(samples!C216=0,"",samples!C216)</f>
        <v/>
      </c>
      <c r="F679">
        <f>IFERROR(SEARCH(search!$B$6,samples!C216,1),0)</f>
        <v>0</v>
      </c>
      <c r="G679" t="str">
        <f>IF(samples!D216=0,"",samples!D216)</f>
        <v/>
      </c>
      <c r="H679">
        <f>IFERROR(SEARCH(search!$B$6,samples!D216,1),0)</f>
        <v>0</v>
      </c>
      <c r="I679" t="str">
        <f>IF(samples!E216=0,"",samples!E216)</f>
        <v/>
      </c>
      <c r="J679">
        <f>IFERROR(SEARCH(search!$B$6,samples!E216,1),0)</f>
        <v>0</v>
      </c>
      <c r="K679" t="str">
        <f>IF(samples!F216=0,"",samples!F216)</f>
        <v/>
      </c>
      <c r="L679">
        <f>IFERROR(SEARCH(search!$B$6,samples!F216,1),0)</f>
        <v>0</v>
      </c>
      <c r="M679" t="str">
        <f>IF(samples!G216=0,"",samples!G216)</f>
        <v/>
      </c>
      <c r="N679">
        <f>IFERROR(SEARCH(search!$B$6,samples!G216,1),0)</f>
        <v>0</v>
      </c>
      <c r="O679" t="str">
        <f>IF(samples!H216=0,"",samples!H216)</f>
        <v/>
      </c>
      <c r="P679">
        <f>IFERROR(SEARCH(search!$B$6,samples!H216,1),0)</f>
        <v>0</v>
      </c>
      <c r="Q679" t="str">
        <f>IF(samples!I216=0,"",samples!I216)</f>
        <v/>
      </c>
      <c r="R679">
        <f>IFERROR(SEARCH(search!$B$6,samples!I216,1),0)</f>
        <v>0</v>
      </c>
      <c r="S679" t="str">
        <f>IF(samples!J216=0,"",samples!J216)</f>
        <v/>
      </c>
      <c r="T679">
        <f>IFERROR(SEARCH(search!$B$6,samples!J216,1),0)</f>
        <v>0</v>
      </c>
      <c r="U679" t="str">
        <f>IF(samples!K216=0,"",samples!K216)</f>
        <v/>
      </c>
      <c r="V679">
        <f>IFERROR(SEARCH(search!$B$6,samples!K216,1),0)</f>
        <v>0</v>
      </c>
      <c r="W679" t="str">
        <f>IF(samples!L216=0,"",samples!L216)</f>
        <v/>
      </c>
      <c r="X679">
        <f>IFERROR(SEARCH(search!$B$6,samples!L216,1),0)</f>
        <v>0</v>
      </c>
      <c r="Y679" t="str">
        <f>IF(samples!M216=0,"",samples!M216)</f>
        <v/>
      </c>
      <c r="Z679">
        <f>IFERROR(SEARCH(search!$B$6,samples!M216,1),0)</f>
        <v>0</v>
      </c>
      <c r="AA679" t="str">
        <f>IF(samples!N216=0,"",samples!N216)</f>
        <v/>
      </c>
      <c r="AB679">
        <f>IFERROR(SEARCH(search!$B$6,samples!N216,1),0)</f>
        <v>0</v>
      </c>
      <c r="AC679" t="str">
        <f>IF(samples!O216=0,"",samples!O216)</f>
        <v/>
      </c>
      <c r="AD679">
        <f>IFERROR(SEARCH(search!$B$6,samples!O216,1),0)</f>
        <v>0</v>
      </c>
    </row>
    <row r="680" spans="1:30">
      <c r="A680">
        <f t="shared" si="10"/>
        <v>0</v>
      </c>
      <c r="B680">
        <f>IF(SUM(D680,F680,H680,J680,L680,N680,P680,R680,T680,V680,X680,Z680,AB680,AD680)&gt;0,SUM($A$2:A680),0)</f>
        <v>0</v>
      </c>
      <c r="C680">
        <f>samples!B217</f>
        <v>0</v>
      </c>
      <c r="D680">
        <f>IFERROR(SEARCH(search!$B$6,samples!B217,1),0)</f>
        <v>0</v>
      </c>
      <c r="E680" t="str">
        <f>IF(samples!C217=0,"",samples!C217)</f>
        <v/>
      </c>
      <c r="F680">
        <f>IFERROR(SEARCH(search!$B$6,samples!C217,1),0)</f>
        <v>0</v>
      </c>
      <c r="G680" t="str">
        <f>IF(samples!D217=0,"",samples!D217)</f>
        <v/>
      </c>
      <c r="H680">
        <f>IFERROR(SEARCH(search!$B$6,samples!D217,1),0)</f>
        <v>0</v>
      </c>
      <c r="I680" t="str">
        <f>IF(samples!E217=0,"",samples!E217)</f>
        <v/>
      </c>
      <c r="J680">
        <f>IFERROR(SEARCH(search!$B$6,samples!E217,1),0)</f>
        <v>0</v>
      </c>
      <c r="K680" t="str">
        <f>IF(samples!F217=0,"",samples!F217)</f>
        <v/>
      </c>
      <c r="L680">
        <f>IFERROR(SEARCH(search!$B$6,samples!F217,1),0)</f>
        <v>0</v>
      </c>
      <c r="M680" t="str">
        <f>IF(samples!G217=0,"",samples!G217)</f>
        <v/>
      </c>
      <c r="N680">
        <f>IFERROR(SEARCH(search!$B$6,samples!G217,1),0)</f>
        <v>0</v>
      </c>
      <c r="O680" t="str">
        <f>IF(samples!H217=0,"",samples!H217)</f>
        <v/>
      </c>
      <c r="P680">
        <f>IFERROR(SEARCH(search!$B$6,samples!H217,1),0)</f>
        <v>0</v>
      </c>
      <c r="Q680" t="str">
        <f>IF(samples!I217=0,"",samples!I217)</f>
        <v/>
      </c>
      <c r="R680">
        <f>IFERROR(SEARCH(search!$B$6,samples!I217,1),0)</f>
        <v>0</v>
      </c>
      <c r="S680" t="str">
        <f>IF(samples!J217=0,"",samples!J217)</f>
        <v/>
      </c>
      <c r="T680">
        <f>IFERROR(SEARCH(search!$B$6,samples!J217,1),0)</f>
        <v>0</v>
      </c>
      <c r="U680" t="str">
        <f>IF(samples!K217=0,"",samples!K217)</f>
        <v/>
      </c>
      <c r="V680">
        <f>IFERROR(SEARCH(search!$B$6,samples!K217,1),0)</f>
        <v>0</v>
      </c>
      <c r="W680" t="str">
        <f>IF(samples!L217=0,"",samples!L217)</f>
        <v/>
      </c>
      <c r="X680">
        <f>IFERROR(SEARCH(search!$B$6,samples!L217,1),0)</f>
        <v>0</v>
      </c>
      <c r="Y680" t="str">
        <f>IF(samples!M217=0,"",samples!M217)</f>
        <v/>
      </c>
      <c r="Z680">
        <f>IFERROR(SEARCH(search!$B$6,samples!M217,1),0)</f>
        <v>0</v>
      </c>
      <c r="AA680" t="str">
        <f>IF(samples!N217=0,"",samples!N217)</f>
        <v/>
      </c>
      <c r="AB680">
        <f>IFERROR(SEARCH(search!$B$6,samples!N217,1),0)</f>
        <v>0</v>
      </c>
      <c r="AC680" t="str">
        <f>IF(samples!O217=0,"",samples!O217)</f>
        <v/>
      </c>
      <c r="AD680">
        <f>IFERROR(SEARCH(search!$B$6,samples!O217,1),0)</f>
        <v>0</v>
      </c>
    </row>
    <row r="681" spans="1:30">
      <c r="A681">
        <f t="shared" si="10"/>
        <v>0</v>
      </c>
      <c r="B681">
        <f>IF(SUM(D681,F681,H681,J681,L681,N681,P681,R681,T681,V681,X681,Z681,AB681,AD681)&gt;0,SUM($A$2:A681),0)</f>
        <v>0</v>
      </c>
      <c r="C681">
        <f>samples!B218</f>
        <v>0</v>
      </c>
      <c r="D681">
        <f>IFERROR(SEARCH(search!$B$6,samples!B218,1),0)</f>
        <v>0</v>
      </c>
      <c r="E681" t="str">
        <f>IF(samples!C218=0,"",samples!C218)</f>
        <v/>
      </c>
      <c r="F681">
        <f>IFERROR(SEARCH(search!$B$6,samples!C218,1),0)</f>
        <v>0</v>
      </c>
      <c r="G681" t="str">
        <f>IF(samples!D218=0,"",samples!D218)</f>
        <v/>
      </c>
      <c r="H681">
        <f>IFERROR(SEARCH(search!$B$6,samples!D218,1),0)</f>
        <v>0</v>
      </c>
      <c r="I681" t="str">
        <f>IF(samples!E218=0,"",samples!E218)</f>
        <v/>
      </c>
      <c r="J681">
        <f>IFERROR(SEARCH(search!$B$6,samples!E218,1),0)</f>
        <v>0</v>
      </c>
      <c r="K681" t="str">
        <f>IF(samples!F218=0,"",samples!F218)</f>
        <v/>
      </c>
      <c r="L681">
        <f>IFERROR(SEARCH(search!$B$6,samples!F218,1),0)</f>
        <v>0</v>
      </c>
      <c r="M681" t="str">
        <f>IF(samples!G218=0,"",samples!G218)</f>
        <v/>
      </c>
      <c r="N681">
        <f>IFERROR(SEARCH(search!$B$6,samples!G218,1),0)</f>
        <v>0</v>
      </c>
      <c r="O681" t="str">
        <f>IF(samples!H218=0,"",samples!H218)</f>
        <v/>
      </c>
      <c r="P681">
        <f>IFERROR(SEARCH(search!$B$6,samples!H218,1),0)</f>
        <v>0</v>
      </c>
      <c r="Q681" t="str">
        <f>IF(samples!I218=0,"",samples!I218)</f>
        <v/>
      </c>
      <c r="R681">
        <f>IFERROR(SEARCH(search!$B$6,samples!I218,1),0)</f>
        <v>0</v>
      </c>
      <c r="S681" t="str">
        <f>IF(samples!J218=0,"",samples!J218)</f>
        <v/>
      </c>
      <c r="T681">
        <f>IFERROR(SEARCH(search!$B$6,samples!J218,1),0)</f>
        <v>0</v>
      </c>
      <c r="U681" t="str">
        <f>IF(samples!K218=0,"",samples!K218)</f>
        <v/>
      </c>
      <c r="V681">
        <f>IFERROR(SEARCH(search!$B$6,samples!K218,1),0)</f>
        <v>0</v>
      </c>
      <c r="W681" t="str">
        <f>IF(samples!L218=0,"",samples!L218)</f>
        <v/>
      </c>
      <c r="X681">
        <f>IFERROR(SEARCH(search!$B$6,samples!L218,1),0)</f>
        <v>0</v>
      </c>
      <c r="Y681" t="str">
        <f>IF(samples!M218=0,"",samples!M218)</f>
        <v/>
      </c>
      <c r="Z681">
        <f>IFERROR(SEARCH(search!$B$6,samples!M218,1),0)</f>
        <v>0</v>
      </c>
      <c r="AA681" t="str">
        <f>IF(samples!N218=0,"",samples!N218)</f>
        <v/>
      </c>
      <c r="AB681">
        <f>IFERROR(SEARCH(search!$B$6,samples!N218,1),0)</f>
        <v>0</v>
      </c>
      <c r="AC681" t="str">
        <f>IF(samples!O218=0,"",samples!O218)</f>
        <v/>
      </c>
      <c r="AD681">
        <f>IFERROR(SEARCH(search!$B$6,samples!O218,1),0)</f>
        <v>0</v>
      </c>
    </row>
    <row r="682" spans="1:30">
      <c r="A682">
        <f t="shared" si="10"/>
        <v>0</v>
      </c>
      <c r="B682">
        <f>IF(SUM(D682,F682,H682,J682,L682,N682,P682,R682,T682,V682,X682,Z682,AB682,AD682)&gt;0,SUM($A$2:A682),0)</f>
        <v>0</v>
      </c>
      <c r="C682">
        <f>samples!B219</f>
        <v>0</v>
      </c>
      <c r="D682">
        <f>IFERROR(SEARCH(search!$B$6,samples!B219,1),0)</f>
        <v>0</v>
      </c>
      <c r="E682" t="str">
        <f>IF(samples!C219=0,"",samples!C219)</f>
        <v/>
      </c>
      <c r="F682">
        <f>IFERROR(SEARCH(search!$B$6,samples!C219,1),0)</f>
        <v>0</v>
      </c>
      <c r="G682" t="str">
        <f>IF(samples!D219=0,"",samples!D219)</f>
        <v/>
      </c>
      <c r="H682">
        <f>IFERROR(SEARCH(search!$B$6,samples!D219,1),0)</f>
        <v>0</v>
      </c>
      <c r="I682" t="str">
        <f>IF(samples!E219=0,"",samples!E219)</f>
        <v/>
      </c>
      <c r="J682">
        <f>IFERROR(SEARCH(search!$B$6,samples!E219,1),0)</f>
        <v>0</v>
      </c>
      <c r="K682" t="str">
        <f>IF(samples!F219=0,"",samples!F219)</f>
        <v/>
      </c>
      <c r="L682">
        <f>IFERROR(SEARCH(search!$B$6,samples!F219,1),0)</f>
        <v>0</v>
      </c>
      <c r="M682" t="str">
        <f>IF(samples!G219=0,"",samples!G219)</f>
        <v/>
      </c>
      <c r="N682">
        <f>IFERROR(SEARCH(search!$B$6,samples!G219,1),0)</f>
        <v>0</v>
      </c>
      <c r="O682" t="str">
        <f>IF(samples!H219=0,"",samples!H219)</f>
        <v/>
      </c>
      <c r="P682">
        <f>IFERROR(SEARCH(search!$B$6,samples!H219,1),0)</f>
        <v>0</v>
      </c>
      <c r="Q682" t="str">
        <f>IF(samples!I219=0,"",samples!I219)</f>
        <v/>
      </c>
      <c r="R682">
        <f>IFERROR(SEARCH(search!$B$6,samples!I219,1),0)</f>
        <v>0</v>
      </c>
      <c r="S682" t="str">
        <f>IF(samples!J219=0,"",samples!J219)</f>
        <v/>
      </c>
      <c r="T682">
        <f>IFERROR(SEARCH(search!$B$6,samples!J219,1),0)</f>
        <v>0</v>
      </c>
      <c r="U682" t="str">
        <f>IF(samples!K219=0,"",samples!K219)</f>
        <v/>
      </c>
      <c r="V682">
        <f>IFERROR(SEARCH(search!$B$6,samples!K219,1),0)</f>
        <v>0</v>
      </c>
      <c r="W682" t="str">
        <f>IF(samples!L219=0,"",samples!L219)</f>
        <v/>
      </c>
      <c r="X682">
        <f>IFERROR(SEARCH(search!$B$6,samples!L219,1),0)</f>
        <v>0</v>
      </c>
      <c r="Y682" t="str">
        <f>IF(samples!M219=0,"",samples!M219)</f>
        <v/>
      </c>
      <c r="Z682">
        <f>IFERROR(SEARCH(search!$B$6,samples!M219,1),0)</f>
        <v>0</v>
      </c>
      <c r="AA682" t="str">
        <f>IF(samples!N219=0,"",samples!N219)</f>
        <v/>
      </c>
      <c r="AB682">
        <f>IFERROR(SEARCH(search!$B$6,samples!N219,1),0)</f>
        <v>0</v>
      </c>
      <c r="AC682" t="str">
        <f>IF(samples!O219=0,"",samples!O219)</f>
        <v/>
      </c>
      <c r="AD682">
        <f>IFERROR(SEARCH(search!$B$6,samples!O219,1),0)</f>
        <v>0</v>
      </c>
    </row>
    <row r="683" spans="1:30">
      <c r="A683">
        <f t="shared" si="10"/>
        <v>0</v>
      </c>
      <c r="B683">
        <f>IF(SUM(D683,F683,H683,J683,L683,N683,P683,R683,T683,V683,X683,Z683,AB683,AD683)&gt;0,SUM($A$2:A683),0)</f>
        <v>0</v>
      </c>
      <c r="C683">
        <f>samples!B220</f>
        <v>0</v>
      </c>
      <c r="D683">
        <f>IFERROR(SEARCH(search!$B$6,samples!B220,1),0)</f>
        <v>0</v>
      </c>
      <c r="E683" t="str">
        <f>IF(samples!C220=0,"",samples!C220)</f>
        <v/>
      </c>
      <c r="F683">
        <f>IFERROR(SEARCH(search!$B$6,samples!C220,1),0)</f>
        <v>0</v>
      </c>
      <c r="G683" t="str">
        <f>IF(samples!D220=0,"",samples!D220)</f>
        <v/>
      </c>
      <c r="H683">
        <f>IFERROR(SEARCH(search!$B$6,samples!D220,1),0)</f>
        <v>0</v>
      </c>
      <c r="I683" t="str">
        <f>IF(samples!E220=0,"",samples!E220)</f>
        <v/>
      </c>
      <c r="J683">
        <f>IFERROR(SEARCH(search!$B$6,samples!E220,1),0)</f>
        <v>0</v>
      </c>
      <c r="K683" t="str">
        <f>IF(samples!F220=0,"",samples!F220)</f>
        <v/>
      </c>
      <c r="L683">
        <f>IFERROR(SEARCH(search!$B$6,samples!F220,1),0)</f>
        <v>0</v>
      </c>
      <c r="M683" t="str">
        <f>IF(samples!G220=0,"",samples!G220)</f>
        <v/>
      </c>
      <c r="N683">
        <f>IFERROR(SEARCH(search!$B$6,samples!G220,1),0)</f>
        <v>0</v>
      </c>
      <c r="O683" t="str">
        <f>IF(samples!H220=0,"",samples!H220)</f>
        <v/>
      </c>
      <c r="P683">
        <f>IFERROR(SEARCH(search!$B$6,samples!H220,1),0)</f>
        <v>0</v>
      </c>
      <c r="Q683" t="str">
        <f>IF(samples!I220=0,"",samples!I220)</f>
        <v/>
      </c>
      <c r="R683">
        <f>IFERROR(SEARCH(search!$B$6,samples!I220,1),0)</f>
        <v>0</v>
      </c>
      <c r="S683" t="str">
        <f>IF(samples!J220=0,"",samples!J220)</f>
        <v/>
      </c>
      <c r="T683">
        <f>IFERROR(SEARCH(search!$B$6,samples!J220,1),0)</f>
        <v>0</v>
      </c>
      <c r="U683" t="str">
        <f>IF(samples!K220=0,"",samples!K220)</f>
        <v/>
      </c>
      <c r="V683">
        <f>IFERROR(SEARCH(search!$B$6,samples!K220,1),0)</f>
        <v>0</v>
      </c>
      <c r="W683" t="str">
        <f>IF(samples!L220=0,"",samples!L220)</f>
        <v/>
      </c>
      <c r="X683">
        <f>IFERROR(SEARCH(search!$B$6,samples!L220,1),0)</f>
        <v>0</v>
      </c>
      <c r="Y683" t="str">
        <f>IF(samples!M220=0,"",samples!M220)</f>
        <v/>
      </c>
      <c r="Z683">
        <f>IFERROR(SEARCH(search!$B$6,samples!M220,1),0)</f>
        <v>0</v>
      </c>
      <c r="AA683" t="str">
        <f>IF(samples!N220=0,"",samples!N220)</f>
        <v/>
      </c>
      <c r="AB683">
        <f>IFERROR(SEARCH(search!$B$6,samples!N220,1),0)</f>
        <v>0</v>
      </c>
      <c r="AC683" t="str">
        <f>IF(samples!O220=0,"",samples!O220)</f>
        <v/>
      </c>
      <c r="AD683">
        <f>IFERROR(SEARCH(search!$B$6,samples!O220,1),0)</f>
        <v>0</v>
      </c>
    </row>
    <row r="684" spans="1:30">
      <c r="A684">
        <f t="shared" si="10"/>
        <v>0</v>
      </c>
      <c r="B684">
        <f>IF(SUM(D684,F684,H684,J684,L684,N684,P684,R684,T684,V684,X684,Z684,AB684,AD684)&gt;0,SUM($A$2:A684),0)</f>
        <v>0</v>
      </c>
      <c r="C684">
        <f>samples!B221</f>
        <v>0</v>
      </c>
      <c r="D684">
        <f>IFERROR(SEARCH(search!$B$6,samples!B221,1),0)</f>
        <v>0</v>
      </c>
      <c r="E684" t="str">
        <f>IF(samples!C221=0,"",samples!C221)</f>
        <v/>
      </c>
      <c r="F684">
        <f>IFERROR(SEARCH(search!$B$6,samples!C221,1),0)</f>
        <v>0</v>
      </c>
      <c r="G684" t="str">
        <f>IF(samples!D221=0,"",samples!D221)</f>
        <v/>
      </c>
      <c r="H684">
        <f>IFERROR(SEARCH(search!$B$6,samples!D221,1),0)</f>
        <v>0</v>
      </c>
      <c r="I684" t="str">
        <f>IF(samples!E221=0,"",samples!E221)</f>
        <v/>
      </c>
      <c r="J684">
        <f>IFERROR(SEARCH(search!$B$6,samples!E221,1),0)</f>
        <v>0</v>
      </c>
      <c r="K684" t="str">
        <f>IF(samples!F221=0,"",samples!F221)</f>
        <v/>
      </c>
      <c r="L684">
        <f>IFERROR(SEARCH(search!$B$6,samples!F221,1),0)</f>
        <v>0</v>
      </c>
      <c r="M684" t="str">
        <f>IF(samples!G221=0,"",samples!G221)</f>
        <v/>
      </c>
      <c r="N684">
        <f>IFERROR(SEARCH(search!$B$6,samples!G221,1),0)</f>
        <v>0</v>
      </c>
      <c r="O684" t="str">
        <f>IF(samples!H221=0,"",samples!H221)</f>
        <v/>
      </c>
      <c r="P684">
        <f>IFERROR(SEARCH(search!$B$6,samples!H221,1),0)</f>
        <v>0</v>
      </c>
      <c r="Q684" t="str">
        <f>IF(samples!I221=0,"",samples!I221)</f>
        <v/>
      </c>
      <c r="R684">
        <f>IFERROR(SEARCH(search!$B$6,samples!I221,1),0)</f>
        <v>0</v>
      </c>
      <c r="S684" t="str">
        <f>IF(samples!J221=0,"",samples!J221)</f>
        <v/>
      </c>
      <c r="T684">
        <f>IFERROR(SEARCH(search!$B$6,samples!J221,1),0)</f>
        <v>0</v>
      </c>
      <c r="U684" t="str">
        <f>IF(samples!K221=0,"",samples!K221)</f>
        <v/>
      </c>
      <c r="V684">
        <f>IFERROR(SEARCH(search!$B$6,samples!K221,1),0)</f>
        <v>0</v>
      </c>
      <c r="W684" t="str">
        <f>IF(samples!L221=0,"",samples!L221)</f>
        <v/>
      </c>
      <c r="X684">
        <f>IFERROR(SEARCH(search!$B$6,samples!L221,1),0)</f>
        <v>0</v>
      </c>
      <c r="Y684" t="str">
        <f>IF(samples!M221=0,"",samples!M221)</f>
        <v/>
      </c>
      <c r="Z684">
        <f>IFERROR(SEARCH(search!$B$6,samples!M221,1),0)</f>
        <v>0</v>
      </c>
      <c r="AA684" t="str">
        <f>IF(samples!N221=0,"",samples!N221)</f>
        <v/>
      </c>
      <c r="AB684">
        <f>IFERROR(SEARCH(search!$B$6,samples!N221,1),0)</f>
        <v>0</v>
      </c>
      <c r="AC684" t="str">
        <f>IF(samples!O221=0,"",samples!O221)</f>
        <v/>
      </c>
      <c r="AD684">
        <f>IFERROR(SEARCH(search!$B$6,samples!O221,1),0)</f>
        <v>0</v>
      </c>
    </row>
    <row r="685" spans="1:30">
      <c r="A685">
        <f t="shared" si="10"/>
        <v>0</v>
      </c>
      <c r="B685">
        <f>IF(SUM(D685,F685,H685,J685,L685,N685,P685,R685,T685,V685,X685,Z685,AB685,AD685)&gt;0,SUM($A$2:A685),0)</f>
        <v>0</v>
      </c>
      <c r="C685">
        <f>samples!B222</f>
        <v>0</v>
      </c>
      <c r="D685">
        <f>IFERROR(SEARCH(search!$B$6,samples!B222,1),0)</f>
        <v>0</v>
      </c>
      <c r="E685" t="str">
        <f>IF(samples!C222=0,"",samples!C222)</f>
        <v/>
      </c>
      <c r="F685">
        <f>IFERROR(SEARCH(search!$B$6,samples!C222,1),0)</f>
        <v>0</v>
      </c>
      <c r="G685" t="str">
        <f>IF(samples!D222=0,"",samples!D222)</f>
        <v/>
      </c>
      <c r="H685">
        <f>IFERROR(SEARCH(search!$B$6,samples!D222,1),0)</f>
        <v>0</v>
      </c>
      <c r="I685" t="str">
        <f>IF(samples!E222=0,"",samples!E222)</f>
        <v/>
      </c>
      <c r="J685">
        <f>IFERROR(SEARCH(search!$B$6,samples!E222,1),0)</f>
        <v>0</v>
      </c>
      <c r="K685" t="str">
        <f>IF(samples!F222=0,"",samples!F222)</f>
        <v/>
      </c>
      <c r="L685">
        <f>IFERROR(SEARCH(search!$B$6,samples!F222,1),0)</f>
        <v>0</v>
      </c>
      <c r="M685" t="str">
        <f>IF(samples!G222=0,"",samples!G222)</f>
        <v/>
      </c>
      <c r="N685">
        <f>IFERROR(SEARCH(search!$B$6,samples!G222,1),0)</f>
        <v>0</v>
      </c>
      <c r="O685" t="str">
        <f>IF(samples!H222=0,"",samples!H222)</f>
        <v/>
      </c>
      <c r="P685">
        <f>IFERROR(SEARCH(search!$B$6,samples!H222,1),0)</f>
        <v>0</v>
      </c>
      <c r="Q685" t="str">
        <f>IF(samples!I222=0,"",samples!I222)</f>
        <v/>
      </c>
      <c r="R685">
        <f>IFERROR(SEARCH(search!$B$6,samples!I222,1),0)</f>
        <v>0</v>
      </c>
      <c r="S685" t="str">
        <f>IF(samples!J222=0,"",samples!J222)</f>
        <v/>
      </c>
      <c r="T685">
        <f>IFERROR(SEARCH(search!$B$6,samples!J222,1),0)</f>
        <v>0</v>
      </c>
      <c r="U685" t="str">
        <f>IF(samples!K222=0,"",samples!K222)</f>
        <v/>
      </c>
      <c r="V685">
        <f>IFERROR(SEARCH(search!$B$6,samples!K222,1),0)</f>
        <v>0</v>
      </c>
      <c r="W685" t="str">
        <f>IF(samples!L222=0,"",samples!L222)</f>
        <v/>
      </c>
      <c r="X685">
        <f>IFERROR(SEARCH(search!$B$6,samples!L222,1),0)</f>
        <v>0</v>
      </c>
      <c r="Y685" t="str">
        <f>IF(samples!M222=0,"",samples!M222)</f>
        <v/>
      </c>
      <c r="Z685">
        <f>IFERROR(SEARCH(search!$B$6,samples!M222,1),0)</f>
        <v>0</v>
      </c>
      <c r="AA685" t="str">
        <f>IF(samples!N222=0,"",samples!N222)</f>
        <v/>
      </c>
      <c r="AB685">
        <f>IFERROR(SEARCH(search!$B$6,samples!N222,1),0)</f>
        <v>0</v>
      </c>
      <c r="AC685" t="str">
        <f>IF(samples!O222=0,"",samples!O222)</f>
        <v/>
      </c>
      <c r="AD685">
        <f>IFERROR(SEARCH(search!$B$6,samples!O222,1),0)</f>
        <v>0</v>
      </c>
    </row>
    <row r="686" spans="1:30">
      <c r="A686">
        <f t="shared" si="10"/>
        <v>0</v>
      </c>
      <c r="B686">
        <f>IF(SUM(D686,F686,H686,J686,L686,N686,P686,R686,T686,V686,X686,Z686,AB686,AD686)&gt;0,SUM($A$2:A686),0)</f>
        <v>0</v>
      </c>
      <c r="C686">
        <f>samples!B223</f>
        <v>0</v>
      </c>
      <c r="D686">
        <f>IFERROR(SEARCH(search!$B$6,samples!B223,1),0)</f>
        <v>0</v>
      </c>
      <c r="E686" t="str">
        <f>IF(samples!C223=0,"",samples!C223)</f>
        <v/>
      </c>
      <c r="F686">
        <f>IFERROR(SEARCH(search!$B$6,samples!C223,1),0)</f>
        <v>0</v>
      </c>
      <c r="G686" t="str">
        <f>IF(samples!D223=0,"",samples!D223)</f>
        <v/>
      </c>
      <c r="H686">
        <f>IFERROR(SEARCH(search!$B$6,samples!D223,1),0)</f>
        <v>0</v>
      </c>
      <c r="I686" t="str">
        <f>IF(samples!E223=0,"",samples!E223)</f>
        <v/>
      </c>
      <c r="J686">
        <f>IFERROR(SEARCH(search!$B$6,samples!E223,1),0)</f>
        <v>0</v>
      </c>
      <c r="K686" t="str">
        <f>IF(samples!F223=0,"",samples!F223)</f>
        <v/>
      </c>
      <c r="L686">
        <f>IFERROR(SEARCH(search!$B$6,samples!F223,1),0)</f>
        <v>0</v>
      </c>
      <c r="M686" t="str">
        <f>IF(samples!G223=0,"",samples!G223)</f>
        <v/>
      </c>
      <c r="N686">
        <f>IFERROR(SEARCH(search!$B$6,samples!G223,1),0)</f>
        <v>0</v>
      </c>
      <c r="O686" t="str">
        <f>IF(samples!H223=0,"",samples!H223)</f>
        <v/>
      </c>
      <c r="P686">
        <f>IFERROR(SEARCH(search!$B$6,samples!H223,1),0)</f>
        <v>0</v>
      </c>
      <c r="Q686" t="str">
        <f>IF(samples!I223=0,"",samples!I223)</f>
        <v/>
      </c>
      <c r="R686">
        <f>IFERROR(SEARCH(search!$B$6,samples!I223,1),0)</f>
        <v>0</v>
      </c>
      <c r="S686" t="str">
        <f>IF(samples!J223=0,"",samples!J223)</f>
        <v/>
      </c>
      <c r="T686">
        <f>IFERROR(SEARCH(search!$B$6,samples!J223,1),0)</f>
        <v>0</v>
      </c>
      <c r="U686" t="str">
        <f>IF(samples!K223=0,"",samples!K223)</f>
        <v/>
      </c>
      <c r="V686">
        <f>IFERROR(SEARCH(search!$B$6,samples!K223,1),0)</f>
        <v>0</v>
      </c>
      <c r="W686" t="str">
        <f>IF(samples!L223=0,"",samples!L223)</f>
        <v/>
      </c>
      <c r="X686">
        <f>IFERROR(SEARCH(search!$B$6,samples!L223,1),0)</f>
        <v>0</v>
      </c>
      <c r="Y686" t="str">
        <f>IF(samples!M223=0,"",samples!M223)</f>
        <v/>
      </c>
      <c r="Z686">
        <f>IFERROR(SEARCH(search!$B$6,samples!M223,1),0)</f>
        <v>0</v>
      </c>
      <c r="AA686" t="str">
        <f>IF(samples!N223=0,"",samples!N223)</f>
        <v/>
      </c>
      <c r="AB686">
        <f>IFERROR(SEARCH(search!$B$6,samples!N223,1),0)</f>
        <v>0</v>
      </c>
      <c r="AC686" t="str">
        <f>IF(samples!O223=0,"",samples!O223)</f>
        <v/>
      </c>
      <c r="AD686">
        <f>IFERROR(SEARCH(search!$B$6,samples!O223,1),0)</f>
        <v>0</v>
      </c>
    </row>
    <row r="687" spans="1:30">
      <c r="A687">
        <f t="shared" si="10"/>
        <v>0</v>
      </c>
      <c r="B687">
        <f>IF(SUM(D687,F687,H687,J687,L687,N687,P687,R687,T687,V687,X687,Z687,AB687,AD687)&gt;0,SUM($A$2:A687),0)</f>
        <v>0</v>
      </c>
      <c r="C687">
        <f>samples!B224</f>
        <v>0</v>
      </c>
      <c r="D687">
        <f>IFERROR(SEARCH(search!$B$6,samples!B224,1),0)</f>
        <v>0</v>
      </c>
      <c r="E687" t="str">
        <f>IF(samples!C224=0,"",samples!C224)</f>
        <v/>
      </c>
      <c r="F687">
        <f>IFERROR(SEARCH(search!$B$6,samples!C224,1),0)</f>
        <v>0</v>
      </c>
      <c r="G687" t="str">
        <f>IF(samples!D224=0,"",samples!D224)</f>
        <v/>
      </c>
      <c r="H687">
        <f>IFERROR(SEARCH(search!$B$6,samples!D224,1),0)</f>
        <v>0</v>
      </c>
      <c r="I687" t="str">
        <f>IF(samples!E224=0,"",samples!E224)</f>
        <v/>
      </c>
      <c r="J687">
        <f>IFERROR(SEARCH(search!$B$6,samples!E224,1),0)</f>
        <v>0</v>
      </c>
      <c r="K687" t="str">
        <f>IF(samples!F224=0,"",samples!F224)</f>
        <v/>
      </c>
      <c r="L687">
        <f>IFERROR(SEARCH(search!$B$6,samples!F224,1),0)</f>
        <v>0</v>
      </c>
      <c r="M687" t="str">
        <f>IF(samples!G224=0,"",samples!G224)</f>
        <v/>
      </c>
      <c r="N687">
        <f>IFERROR(SEARCH(search!$B$6,samples!G224,1),0)</f>
        <v>0</v>
      </c>
      <c r="O687" t="str">
        <f>IF(samples!H224=0,"",samples!H224)</f>
        <v/>
      </c>
      <c r="P687">
        <f>IFERROR(SEARCH(search!$B$6,samples!H224,1),0)</f>
        <v>0</v>
      </c>
      <c r="Q687" t="str">
        <f>IF(samples!I224=0,"",samples!I224)</f>
        <v/>
      </c>
      <c r="R687">
        <f>IFERROR(SEARCH(search!$B$6,samples!I224,1),0)</f>
        <v>0</v>
      </c>
      <c r="S687" t="str">
        <f>IF(samples!J224=0,"",samples!J224)</f>
        <v/>
      </c>
      <c r="T687">
        <f>IFERROR(SEARCH(search!$B$6,samples!J224,1),0)</f>
        <v>0</v>
      </c>
      <c r="U687" t="str">
        <f>IF(samples!K224=0,"",samples!K224)</f>
        <v/>
      </c>
      <c r="V687">
        <f>IFERROR(SEARCH(search!$B$6,samples!K224,1),0)</f>
        <v>0</v>
      </c>
      <c r="W687" t="str">
        <f>IF(samples!L224=0,"",samples!L224)</f>
        <v/>
      </c>
      <c r="X687">
        <f>IFERROR(SEARCH(search!$B$6,samples!L224,1),0)</f>
        <v>0</v>
      </c>
      <c r="Y687" t="str">
        <f>IF(samples!M224=0,"",samples!M224)</f>
        <v/>
      </c>
      <c r="Z687">
        <f>IFERROR(SEARCH(search!$B$6,samples!M224,1),0)</f>
        <v>0</v>
      </c>
      <c r="AA687" t="str">
        <f>IF(samples!N224=0,"",samples!N224)</f>
        <v/>
      </c>
      <c r="AB687">
        <f>IFERROR(SEARCH(search!$B$6,samples!N224,1),0)</f>
        <v>0</v>
      </c>
      <c r="AC687" t="str">
        <f>IF(samples!O224=0,"",samples!O224)</f>
        <v/>
      </c>
      <c r="AD687">
        <f>IFERROR(SEARCH(search!$B$6,samples!O224,1),0)</f>
        <v>0</v>
      </c>
    </row>
    <row r="688" spans="1:30">
      <c r="A688">
        <f t="shared" si="10"/>
        <v>0</v>
      </c>
      <c r="B688">
        <f>IF(SUM(D688,F688,H688,J688,L688,N688,P688,R688,T688,V688,X688,Z688,AB688,AD688)&gt;0,SUM($A$2:A688),0)</f>
        <v>0</v>
      </c>
      <c r="C688">
        <f>samples!B225</f>
        <v>0</v>
      </c>
      <c r="D688">
        <f>IFERROR(SEARCH(search!$B$6,samples!B225,1),0)</f>
        <v>0</v>
      </c>
      <c r="E688" t="str">
        <f>IF(samples!C225=0,"",samples!C225)</f>
        <v/>
      </c>
      <c r="F688">
        <f>IFERROR(SEARCH(search!$B$6,samples!C225,1),0)</f>
        <v>0</v>
      </c>
      <c r="G688" t="str">
        <f>IF(samples!D225=0,"",samples!D225)</f>
        <v/>
      </c>
      <c r="H688">
        <f>IFERROR(SEARCH(search!$B$6,samples!D225,1),0)</f>
        <v>0</v>
      </c>
      <c r="I688" t="str">
        <f>IF(samples!E225=0,"",samples!E225)</f>
        <v/>
      </c>
      <c r="J688">
        <f>IFERROR(SEARCH(search!$B$6,samples!E225,1),0)</f>
        <v>0</v>
      </c>
      <c r="K688" t="str">
        <f>IF(samples!F225=0,"",samples!F225)</f>
        <v/>
      </c>
      <c r="L688">
        <f>IFERROR(SEARCH(search!$B$6,samples!F225,1),0)</f>
        <v>0</v>
      </c>
      <c r="M688" t="str">
        <f>IF(samples!G225=0,"",samples!G225)</f>
        <v/>
      </c>
      <c r="N688">
        <f>IFERROR(SEARCH(search!$B$6,samples!G225,1),0)</f>
        <v>0</v>
      </c>
      <c r="O688" t="str">
        <f>IF(samples!H225=0,"",samples!H225)</f>
        <v/>
      </c>
      <c r="P688">
        <f>IFERROR(SEARCH(search!$B$6,samples!H225,1),0)</f>
        <v>0</v>
      </c>
      <c r="Q688" t="str">
        <f>IF(samples!I225=0,"",samples!I225)</f>
        <v/>
      </c>
      <c r="R688">
        <f>IFERROR(SEARCH(search!$B$6,samples!I225,1),0)</f>
        <v>0</v>
      </c>
      <c r="S688" t="str">
        <f>IF(samples!J225=0,"",samples!J225)</f>
        <v/>
      </c>
      <c r="T688">
        <f>IFERROR(SEARCH(search!$B$6,samples!J225,1),0)</f>
        <v>0</v>
      </c>
      <c r="U688" t="str">
        <f>IF(samples!K225=0,"",samples!K225)</f>
        <v/>
      </c>
      <c r="V688">
        <f>IFERROR(SEARCH(search!$B$6,samples!K225,1),0)</f>
        <v>0</v>
      </c>
      <c r="W688" t="str">
        <f>IF(samples!L225=0,"",samples!L225)</f>
        <v/>
      </c>
      <c r="X688">
        <f>IFERROR(SEARCH(search!$B$6,samples!L225,1),0)</f>
        <v>0</v>
      </c>
      <c r="Y688" t="str">
        <f>IF(samples!M225=0,"",samples!M225)</f>
        <v/>
      </c>
      <c r="Z688">
        <f>IFERROR(SEARCH(search!$B$6,samples!M225,1),0)</f>
        <v>0</v>
      </c>
      <c r="AA688" t="str">
        <f>IF(samples!N225=0,"",samples!N225)</f>
        <v/>
      </c>
      <c r="AB688">
        <f>IFERROR(SEARCH(search!$B$6,samples!N225,1),0)</f>
        <v>0</v>
      </c>
      <c r="AC688" t="str">
        <f>IF(samples!O225=0,"",samples!O225)</f>
        <v/>
      </c>
      <c r="AD688">
        <f>IFERROR(SEARCH(search!$B$6,samples!O225,1),0)</f>
        <v>0</v>
      </c>
    </row>
    <row r="689" spans="1:30">
      <c r="A689">
        <f t="shared" si="10"/>
        <v>0</v>
      </c>
      <c r="B689">
        <f>IF(SUM(D689,F689,H689,J689,L689,N689,P689,R689,T689,V689,X689,Z689,AB689,AD689)&gt;0,SUM($A$2:A689),0)</f>
        <v>0</v>
      </c>
      <c r="C689">
        <f>samples!B226</f>
        <v>0</v>
      </c>
      <c r="D689">
        <f>IFERROR(SEARCH(search!$B$6,samples!B226,1),0)</f>
        <v>0</v>
      </c>
      <c r="E689" t="str">
        <f>IF(samples!C226=0,"",samples!C226)</f>
        <v/>
      </c>
      <c r="F689">
        <f>IFERROR(SEARCH(search!$B$6,samples!C226,1),0)</f>
        <v>0</v>
      </c>
      <c r="G689" t="str">
        <f>IF(samples!D226=0,"",samples!D226)</f>
        <v/>
      </c>
      <c r="H689">
        <f>IFERROR(SEARCH(search!$B$6,samples!D226,1),0)</f>
        <v>0</v>
      </c>
      <c r="I689" t="str">
        <f>IF(samples!E226=0,"",samples!E226)</f>
        <v/>
      </c>
      <c r="J689">
        <f>IFERROR(SEARCH(search!$B$6,samples!E226,1),0)</f>
        <v>0</v>
      </c>
      <c r="K689" t="str">
        <f>IF(samples!F226=0,"",samples!F226)</f>
        <v/>
      </c>
      <c r="L689">
        <f>IFERROR(SEARCH(search!$B$6,samples!F226,1),0)</f>
        <v>0</v>
      </c>
      <c r="M689" t="str">
        <f>IF(samples!G226=0,"",samples!G226)</f>
        <v/>
      </c>
      <c r="N689">
        <f>IFERROR(SEARCH(search!$B$6,samples!G226,1),0)</f>
        <v>0</v>
      </c>
      <c r="O689" t="str">
        <f>IF(samples!H226=0,"",samples!H226)</f>
        <v/>
      </c>
      <c r="P689">
        <f>IFERROR(SEARCH(search!$B$6,samples!H226,1),0)</f>
        <v>0</v>
      </c>
      <c r="Q689" t="str">
        <f>IF(samples!I226=0,"",samples!I226)</f>
        <v/>
      </c>
      <c r="R689">
        <f>IFERROR(SEARCH(search!$B$6,samples!I226,1),0)</f>
        <v>0</v>
      </c>
      <c r="S689" t="str">
        <f>IF(samples!J226=0,"",samples!J226)</f>
        <v/>
      </c>
      <c r="T689">
        <f>IFERROR(SEARCH(search!$B$6,samples!J226,1),0)</f>
        <v>0</v>
      </c>
      <c r="U689" t="str">
        <f>IF(samples!K226=0,"",samples!K226)</f>
        <v/>
      </c>
      <c r="V689">
        <f>IFERROR(SEARCH(search!$B$6,samples!K226,1),0)</f>
        <v>0</v>
      </c>
      <c r="W689" t="str">
        <f>IF(samples!L226=0,"",samples!L226)</f>
        <v/>
      </c>
      <c r="X689">
        <f>IFERROR(SEARCH(search!$B$6,samples!L226,1),0)</f>
        <v>0</v>
      </c>
      <c r="Y689" t="str">
        <f>IF(samples!M226=0,"",samples!M226)</f>
        <v/>
      </c>
      <c r="Z689">
        <f>IFERROR(SEARCH(search!$B$6,samples!M226,1),0)</f>
        <v>0</v>
      </c>
      <c r="AA689" t="str">
        <f>IF(samples!N226=0,"",samples!N226)</f>
        <v/>
      </c>
      <c r="AB689">
        <f>IFERROR(SEARCH(search!$B$6,samples!N226,1),0)</f>
        <v>0</v>
      </c>
      <c r="AC689" t="str">
        <f>IF(samples!O226=0,"",samples!O226)</f>
        <v/>
      </c>
      <c r="AD689">
        <f>IFERROR(SEARCH(search!$B$6,samples!O226,1),0)</f>
        <v>0</v>
      </c>
    </row>
    <row r="690" spans="1:30">
      <c r="A690">
        <f t="shared" si="10"/>
        <v>0</v>
      </c>
      <c r="B690">
        <f>IF(SUM(D690,F690,H690,J690,L690,N690,P690,R690,T690,V690,X690,Z690,AB690,AD690)&gt;0,SUM($A$2:A690),0)</f>
        <v>0</v>
      </c>
      <c r="C690">
        <f>samples!B227</f>
        <v>0</v>
      </c>
      <c r="D690">
        <f>IFERROR(SEARCH(search!$B$6,samples!B227,1),0)</f>
        <v>0</v>
      </c>
      <c r="E690" t="str">
        <f>IF(samples!C227=0,"",samples!C227)</f>
        <v/>
      </c>
      <c r="F690">
        <f>IFERROR(SEARCH(search!$B$6,samples!C227,1),0)</f>
        <v>0</v>
      </c>
      <c r="G690" t="str">
        <f>IF(samples!D227=0,"",samples!D227)</f>
        <v/>
      </c>
      <c r="H690">
        <f>IFERROR(SEARCH(search!$B$6,samples!D227,1),0)</f>
        <v>0</v>
      </c>
      <c r="I690" t="str">
        <f>IF(samples!E227=0,"",samples!E227)</f>
        <v/>
      </c>
      <c r="J690">
        <f>IFERROR(SEARCH(search!$B$6,samples!E227,1),0)</f>
        <v>0</v>
      </c>
      <c r="K690" t="str">
        <f>IF(samples!F227=0,"",samples!F227)</f>
        <v/>
      </c>
      <c r="L690">
        <f>IFERROR(SEARCH(search!$B$6,samples!F227,1),0)</f>
        <v>0</v>
      </c>
      <c r="M690" t="str">
        <f>IF(samples!G227=0,"",samples!G227)</f>
        <v/>
      </c>
      <c r="N690">
        <f>IFERROR(SEARCH(search!$B$6,samples!G227,1),0)</f>
        <v>0</v>
      </c>
      <c r="O690" t="str">
        <f>IF(samples!H227=0,"",samples!H227)</f>
        <v/>
      </c>
      <c r="P690">
        <f>IFERROR(SEARCH(search!$B$6,samples!H227,1),0)</f>
        <v>0</v>
      </c>
      <c r="Q690" t="str">
        <f>IF(samples!I227=0,"",samples!I227)</f>
        <v/>
      </c>
      <c r="R690">
        <f>IFERROR(SEARCH(search!$B$6,samples!I227,1),0)</f>
        <v>0</v>
      </c>
      <c r="S690" t="str">
        <f>IF(samples!J227=0,"",samples!J227)</f>
        <v/>
      </c>
      <c r="T690">
        <f>IFERROR(SEARCH(search!$B$6,samples!J227,1),0)</f>
        <v>0</v>
      </c>
      <c r="U690" t="str">
        <f>IF(samples!K227=0,"",samples!K227)</f>
        <v/>
      </c>
      <c r="V690">
        <f>IFERROR(SEARCH(search!$B$6,samples!K227,1),0)</f>
        <v>0</v>
      </c>
      <c r="W690" t="str">
        <f>IF(samples!L227=0,"",samples!L227)</f>
        <v/>
      </c>
      <c r="X690">
        <f>IFERROR(SEARCH(search!$B$6,samples!L227,1),0)</f>
        <v>0</v>
      </c>
      <c r="Y690" t="str">
        <f>IF(samples!M227=0,"",samples!M227)</f>
        <v/>
      </c>
      <c r="Z690">
        <f>IFERROR(SEARCH(search!$B$6,samples!M227,1),0)</f>
        <v>0</v>
      </c>
      <c r="AA690" t="str">
        <f>IF(samples!N227=0,"",samples!N227)</f>
        <v/>
      </c>
      <c r="AB690">
        <f>IFERROR(SEARCH(search!$B$6,samples!N227,1),0)</f>
        <v>0</v>
      </c>
      <c r="AC690" t="str">
        <f>IF(samples!O227=0,"",samples!O227)</f>
        <v/>
      </c>
      <c r="AD690">
        <f>IFERROR(SEARCH(search!$B$6,samples!O227,1),0)</f>
        <v>0</v>
      </c>
    </row>
    <row r="691" spans="1:30">
      <c r="A691">
        <f t="shared" si="10"/>
        <v>0</v>
      </c>
      <c r="B691">
        <f>IF(SUM(D691,F691,H691,J691,L691,N691,P691,R691,T691,V691,X691,Z691,AB691,AD691)&gt;0,SUM($A$2:A691),0)</f>
        <v>0</v>
      </c>
      <c r="C691">
        <f>samples!B228</f>
        <v>0</v>
      </c>
      <c r="D691">
        <f>IFERROR(SEARCH(search!$B$6,samples!B228,1),0)</f>
        <v>0</v>
      </c>
      <c r="E691" t="str">
        <f>IF(samples!C228=0,"",samples!C228)</f>
        <v/>
      </c>
      <c r="F691">
        <f>IFERROR(SEARCH(search!$B$6,samples!C228,1),0)</f>
        <v>0</v>
      </c>
      <c r="G691" t="str">
        <f>IF(samples!D228=0,"",samples!D228)</f>
        <v/>
      </c>
      <c r="H691">
        <f>IFERROR(SEARCH(search!$B$6,samples!D228,1),0)</f>
        <v>0</v>
      </c>
      <c r="I691" t="str">
        <f>IF(samples!E228=0,"",samples!E228)</f>
        <v/>
      </c>
      <c r="J691">
        <f>IFERROR(SEARCH(search!$B$6,samples!E228,1),0)</f>
        <v>0</v>
      </c>
      <c r="K691" t="str">
        <f>IF(samples!F228=0,"",samples!F228)</f>
        <v/>
      </c>
      <c r="L691">
        <f>IFERROR(SEARCH(search!$B$6,samples!F228,1),0)</f>
        <v>0</v>
      </c>
      <c r="M691" t="str">
        <f>IF(samples!G228=0,"",samples!G228)</f>
        <v/>
      </c>
      <c r="N691">
        <f>IFERROR(SEARCH(search!$B$6,samples!G228,1),0)</f>
        <v>0</v>
      </c>
      <c r="O691" t="str">
        <f>IF(samples!H228=0,"",samples!H228)</f>
        <v/>
      </c>
      <c r="P691">
        <f>IFERROR(SEARCH(search!$B$6,samples!H228,1),0)</f>
        <v>0</v>
      </c>
      <c r="Q691" t="str">
        <f>IF(samples!I228=0,"",samples!I228)</f>
        <v/>
      </c>
      <c r="R691">
        <f>IFERROR(SEARCH(search!$B$6,samples!I228,1),0)</f>
        <v>0</v>
      </c>
      <c r="S691" t="str">
        <f>IF(samples!J228=0,"",samples!J228)</f>
        <v/>
      </c>
      <c r="T691">
        <f>IFERROR(SEARCH(search!$B$6,samples!J228,1),0)</f>
        <v>0</v>
      </c>
      <c r="U691" t="str">
        <f>IF(samples!K228=0,"",samples!K228)</f>
        <v/>
      </c>
      <c r="V691">
        <f>IFERROR(SEARCH(search!$B$6,samples!K228,1),0)</f>
        <v>0</v>
      </c>
      <c r="W691" t="str">
        <f>IF(samples!L228=0,"",samples!L228)</f>
        <v/>
      </c>
      <c r="X691">
        <f>IFERROR(SEARCH(search!$B$6,samples!L228,1),0)</f>
        <v>0</v>
      </c>
      <c r="Y691" t="str">
        <f>IF(samples!M228=0,"",samples!M228)</f>
        <v/>
      </c>
      <c r="Z691">
        <f>IFERROR(SEARCH(search!$B$6,samples!M228,1),0)</f>
        <v>0</v>
      </c>
      <c r="AA691" t="str">
        <f>IF(samples!N228=0,"",samples!N228)</f>
        <v/>
      </c>
      <c r="AB691">
        <f>IFERROR(SEARCH(search!$B$6,samples!N228,1),0)</f>
        <v>0</v>
      </c>
      <c r="AC691" t="str">
        <f>IF(samples!O228=0,"",samples!O228)</f>
        <v/>
      </c>
      <c r="AD691">
        <f>IFERROR(SEARCH(search!$B$6,samples!O228,1),0)</f>
        <v>0</v>
      </c>
    </row>
    <row r="692" spans="1:30">
      <c r="A692">
        <f t="shared" si="10"/>
        <v>0</v>
      </c>
      <c r="B692">
        <f>IF(SUM(D692,F692,H692,J692,L692,N692,P692,R692,T692,V692,X692,Z692,AB692,AD692)&gt;0,SUM($A$2:A692),0)</f>
        <v>0</v>
      </c>
      <c r="C692">
        <f>samples!B229</f>
        <v>0</v>
      </c>
      <c r="D692">
        <f>IFERROR(SEARCH(search!$B$6,samples!B229,1),0)</f>
        <v>0</v>
      </c>
      <c r="E692" t="str">
        <f>IF(samples!C229=0,"",samples!C229)</f>
        <v/>
      </c>
      <c r="F692">
        <f>IFERROR(SEARCH(search!$B$6,samples!C229,1),0)</f>
        <v>0</v>
      </c>
      <c r="G692" t="str">
        <f>IF(samples!D229=0,"",samples!D229)</f>
        <v/>
      </c>
      <c r="H692">
        <f>IFERROR(SEARCH(search!$B$6,samples!D229,1),0)</f>
        <v>0</v>
      </c>
      <c r="I692" t="str">
        <f>IF(samples!E229=0,"",samples!E229)</f>
        <v/>
      </c>
      <c r="J692">
        <f>IFERROR(SEARCH(search!$B$6,samples!E229,1),0)</f>
        <v>0</v>
      </c>
      <c r="K692" t="str">
        <f>IF(samples!F229=0,"",samples!F229)</f>
        <v/>
      </c>
      <c r="L692">
        <f>IFERROR(SEARCH(search!$B$6,samples!F229,1),0)</f>
        <v>0</v>
      </c>
      <c r="M692" t="str">
        <f>IF(samples!G229=0,"",samples!G229)</f>
        <v/>
      </c>
      <c r="N692">
        <f>IFERROR(SEARCH(search!$B$6,samples!G229,1),0)</f>
        <v>0</v>
      </c>
      <c r="O692" t="str">
        <f>IF(samples!H229=0,"",samples!H229)</f>
        <v/>
      </c>
      <c r="P692">
        <f>IFERROR(SEARCH(search!$B$6,samples!H229,1),0)</f>
        <v>0</v>
      </c>
      <c r="Q692" t="str">
        <f>IF(samples!I229=0,"",samples!I229)</f>
        <v/>
      </c>
      <c r="R692">
        <f>IFERROR(SEARCH(search!$B$6,samples!I229,1),0)</f>
        <v>0</v>
      </c>
      <c r="S692" t="str">
        <f>IF(samples!J229=0,"",samples!J229)</f>
        <v/>
      </c>
      <c r="T692">
        <f>IFERROR(SEARCH(search!$B$6,samples!J229,1),0)</f>
        <v>0</v>
      </c>
      <c r="U692" t="str">
        <f>IF(samples!K229=0,"",samples!K229)</f>
        <v/>
      </c>
      <c r="V692">
        <f>IFERROR(SEARCH(search!$B$6,samples!K229,1),0)</f>
        <v>0</v>
      </c>
      <c r="W692" t="str">
        <f>IF(samples!L229=0,"",samples!L229)</f>
        <v/>
      </c>
      <c r="X692">
        <f>IFERROR(SEARCH(search!$B$6,samples!L229,1),0)</f>
        <v>0</v>
      </c>
      <c r="Y692" t="str">
        <f>IF(samples!M229=0,"",samples!M229)</f>
        <v/>
      </c>
      <c r="Z692">
        <f>IFERROR(SEARCH(search!$B$6,samples!M229,1),0)</f>
        <v>0</v>
      </c>
      <c r="AA692" t="str">
        <f>IF(samples!N229=0,"",samples!N229)</f>
        <v/>
      </c>
      <c r="AB692">
        <f>IFERROR(SEARCH(search!$B$6,samples!N229,1),0)</f>
        <v>0</v>
      </c>
      <c r="AC692" t="str">
        <f>IF(samples!O229=0,"",samples!O229)</f>
        <v/>
      </c>
      <c r="AD692">
        <f>IFERROR(SEARCH(search!$B$6,samples!O229,1),0)</f>
        <v>0</v>
      </c>
    </row>
    <row r="693" spans="1:30">
      <c r="A693">
        <f t="shared" si="10"/>
        <v>0</v>
      </c>
      <c r="B693">
        <f>IF(SUM(D693,F693,H693,J693,L693,N693,P693,R693,T693,V693,X693,Z693,AB693,AD693)&gt;0,SUM($A$2:A693),0)</f>
        <v>0</v>
      </c>
      <c r="C693">
        <f>samples!B230</f>
        <v>0</v>
      </c>
      <c r="D693">
        <f>IFERROR(SEARCH(search!$B$6,samples!B230,1),0)</f>
        <v>0</v>
      </c>
      <c r="E693" t="str">
        <f>IF(samples!C230=0,"",samples!C230)</f>
        <v/>
      </c>
      <c r="F693">
        <f>IFERROR(SEARCH(search!$B$6,samples!C230,1),0)</f>
        <v>0</v>
      </c>
      <c r="G693" t="str">
        <f>IF(samples!D230=0,"",samples!D230)</f>
        <v/>
      </c>
      <c r="H693">
        <f>IFERROR(SEARCH(search!$B$6,samples!D230,1),0)</f>
        <v>0</v>
      </c>
      <c r="I693" t="str">
        <f>IF(samples!E230=0,"",samples!E230)</f>
        <v/>
      </c>
      <c r="J693">
        <f>IFERROR(SEARCH(search!$B$6,samples!E230,1),0)</f>
        <v>0</v>
      </c>
      <c r="K693" t="str">
        <f>IF(samples!F230=0,"",samples!F230)</f>
        <v/>
      </c>
      <c r="L693">
        <f>IFERROR(SEARCH(search!$B$6,samples!F230,1),0)</f>
        <v>0</v>
      </c>
      <c r="M693" t="str">
        <f>IF(samples!G230=0,"",samples!G230)</f>
        <v/>
      </c>
      <c r="N693">
        <f>IFERROR(SEARCH(search!$B$6,samples!G230,1),0)</f>
        <v>0</v>
      </c>
      <c r="O693" t="str">
        <f>IF(samples!H230=0,"",samples!H230)</f>
        <v/>
      </c>
      <c r="P693">
        <f>IFERROR(SEARCH(search!$B$6,samples!H230,1),0)</f>
        <v>0</v>
      </c>
      <c r="Q693" t="str">
        <f>IF(samples!I230=0,"",samples!I230)</f>
        <v/>
      </c>
      <c r="R693">
        <f>IFERROR(SEARCH(search!$B$6,samples!I230,1),0)</f>
        <v>0</v>
      </c>
      <c r="S693" t="str">
        <f>IF(samples!J230=0,"",samples!J230)</f>
        <v/>
      </c>
      <c r="T693">
        <f>IFERROR(SEARCH(search!$B$6,samples!J230,1),0)</f>
        <v>0</v>
      </c>
      <c r="U693" t="str">
        <f>IF(samples!K230=0,"",samples!K230)</f>
        <v/>
      </c>
      <c r="V693">
        <f>IFERROR(SEARCH(search!$B$6,samples!K230,1),0)</f>
        <v>0</v>
      </c>
      <c r="W693" t="str">
        <f>IF(samples!L230=0,"",samples!L230)</f>
        <v/>
      </c>
      <c r="X693">
        <f>IFERROR(SEARCH(search!$B$6,samples!L230,1),0)</f>
        <v>0</v>
      </c>
      <c r="Y693" t="str">
        <f>IF(samples!M230=0,"",samples!M230)</f>
        <v/>
      </c>
      <c r="Z693">
        <f>IFERROR(SEARCH(search!$B$6,samples!M230,1),0)</f>
        <v>0</v>
      </c>
      <c r="AA693" t="str">
        <f>IF(samples!N230=0,"",samples!N230)</f>
        <v/>
      </c>
      <c r="AB693">
        <f>IFERROR(SEARCH(search!$B$6,samples!N230,1),0)</f>
        <v>0</v>
      </c>
      <c r="AC693" t="str">
        <f>IF(samples!O230=0,"",samples!O230)</f>
        <v/>
      </c>
      <c r="AD693">
        <f>IFERROR(SEARCH(search!$B$6,samples!O230,1),0)</f>
        <v>0</v>
      </c>
    </row>
    <row r="694" spans="1:30">
      <c r="A694">
        <f t="shared" si="10"/>
        <v>0</v>
      </c>
      <c r="B694">
        <f>IF(SUM(D694,F694,H694,J694,L694,N694,P694,R694,T694,V694,X694,Z694,AB694,AD694)&gt;0,SUM($A$2:A694),0)</f>
        <v>0</v>
      </c>
      <c r="C694">
        <f>samples!B231</f>
        <v>0</v>
      </c>
      <c r="D694">
        <f>IFERROR(SEARCH(search!$B$6,samples!B231,1),0)</f>
        <v>0</v>
      </c>
      <c r="E694" t="str">
        <f>IF(samples!C231=0,"",samples!C231)</f>
        <v/>
      </c>
      <c r="F694">
        <f>IFERROR(SEARCH(search!$B$6,samples!C231,1),0)</f>
        <v>0</v>
      </c>
      <c r="G694" t="str">
        <f>IF(samples!D231=0,"",samples!D231)</f>
        <v/>
      </c>
      <c r="H694">
        <f>IFERROR(SEARCH(search!$B$6,samples!D231,1),0)</f>
        <v>0</v>
      </c>
      <c r="I694" t="str">
        <f>IF(samples!E231=0,"",samples!E231)</f>
        <v/>
      </c>
      <c r="J694">
        <f>IFERROR(SEARCH(search!$B$6,samples!E231,1),0)</f>
        <v>0</v>
      </c>
      <c r="K694" t="str">
        <f>IF(samples!F231=0,"",samples!F231)</f>
        <v/>
      </c>
      <c r="L694">
        <f>IFERROR(SEARCH(search!$B$6,samples!F231,1),0)</f>
        <v>0</v>
      </c>
      <c r="M694" t="str">
        <f>IF(samples!G231=0,"",samples!G231)</f>
        <v/>
      </c>
      <c r="N694">
        <f>IFERROR(SEARCH(search!$B$6,samples!G231,1),0)</f>
        <v>0</v>
      </c>
      <c r="O694" t="str">
        <f>IF(samples!H231=0,"",samples!H231)</f>
        <v/>
      </c>
      <c r="P694">
        <f>IFERROR(SEARCH(search!$B$6,samples!H231,1),0)</f>
        <v>0</v>
      </c>
      <c r="Q694" t="str">
        <f>IF(samples!I231=0,"",samples!I231)</f>
        <v/>
      </c>
      <c r="R694">
        <f>IFERROR(SEARCH(search!$B$6,samples!I231,1),0)</f>
        <v>0</v>
      </c>
      <c r="S694" t="str">
        <f>IF(samples!J231=0,"",samples!J231)</f>
        <v/>
      </c>
      <c r="T694">
        <f>IFERROR(SEARCH(search!$B$6,samples!J231,1),0)</f>
        <v>0</v>
      </c>
      <c r="U694" t="str">
        <f>IF(samples!K231=0,"",samples!K231)</f>
        <v/>
      </c>
      <c r="V694">
        <f>IFERROR(SEARCH(search!$B$6,samples!K231,1),0)</f>
        <v>0</v>
      </c>
      <c r="W694" t="str">
        <f>IF(samples!L231=0,"",samples!L231)</f>
        <v/>
      </c>
      <c r="X694">
        <f>IFERROR(SEARCH(search!$B$6,samples!L231,1),0)</f>
        <v>0</v>
      </c>
      <c r="Y694" t="str">
        <f>IF(samples!M231=0,"",samples!M231)</f>
        <v/>
      </c>
      <c r="Z694">
        <f>IFERROR(SEARCH(search!$B$6,samples!M231,1),0)</f>
        <v>0</v>
      </c>
      <c r="AA694" t="str">
        <f>IF(samples!N231=0,"",samples!N231)</f>
        <v/>
      </c>
      <c r="AB694">
        <f>IFERROR(SEARCH(search!$B$6,samples!N231,1),0)</f>
        <v>0</v>
      </c>
      <c r="AC694" t="str">
        <f>IF(samples!O231=0,"",samples!O231)</f>
        <v/>
      </c>
      <c r="AD694">
        <f>IFERROR(SEARCH(search!$B$6,samples!O231,1),0)</f>
        <v>0</v>
      </c>
    </row>
    <row r="695" spans="1:30">
      <c r="A695">
        <f t="shared" si="10"/>
        <v>0</v>
      </c>
      <c r="B695">
        <f>IF(SUM(D695,F695,H695,J695,L695,N695,P695,R695,T695,V695,X695,Z695,AB695,AD695)&gt;0,SUM($A$2:A695),0)</f>
        <v>0</v>
      </c>
      <c r="C695">
        <f>samples!B232</f>
        <v>0</v>
      </c>
      <c r="D695">
        <f>IFERROR(SEARCH(search!$B$6,samples!B232,1),0)</f>
        <v>0</v>
      </c>
      <c r="E695" t="str">
        <f>IF(samples!C232=0,"",samples!C232)</f>
        <v/>
      </c>
      <c r="F695">
        <f>IFERROR(SEARCH(search!$B$6,samples!C232,1),0)</f>
        <v>0</v>
      </c>
      <c r="G695" t="str">
        <f>IF(samples!D232=0,"",samples!D232)</f>
        <v/>
      </c>
      <c r="H695">
        <f>IFERROR(SEARCH(search!$B$6,samples!D232,1),0)</f>
        <v>0</v>
      </c>
      <c r="I695" t="str">
        <f>IF(samples!E232=0,"",samples!E232)</f>
        <v/>
      </c>
      <c r="J695">
        <f>IFERROR(SEARCH(search!$B$6,samples!E232,1),0)</f>
        <v>0</v>
      </c>
      <c r="K695" t="str">
        <f>IF(samples!F232=0,"",samples!F232)</f>
        <v/>
      </c>
      <c r="L695">
        <f>IFERROR(SEARCH(search!$B$6,samples!F232,1),0)</f>
        <v>0</v>
      </c>
      <c r="M695" t="str">
        <f>IF(samples!G232=0,"",samples!G232)</f>
        <v/>
      </c>
      <c r="N695">
        <f>IFERROR(SEARCH(search!$B$6,samples!G232,1),0)</f>
        <v>0</v>
      </c>
      <c r="O695" t="str">
        <f>IF(samples!H232=0,"",samples!H232)</f>
        <v/>
      </c>
      <c r="P695">
        <f>IFERROR(SEARCH(search!$B$6,samples!H232,1),0)</f>
        <v>0</v>
      </c>
      <c r="Q695" t="str">
        <f>IF(samples!I232=0,"",samples!I232)</f>
        <v/>
      </c>
      <c r="R695">
        <f>IFERROR(SEARCH(search!$B$6,samples!I232,1),0)</f>
        <v>0</v>
      </c>
      <c r="S695" t="str">
        <f>IF(samples!J232=0,"",samples!J232)</f>
        <v/>
      </c>
      <c r="T695">
        <f>IFERROR(SEARCH(search!$B$6,samples!J232,1),0)</f>
        <v>0</v>
      </c>
      <c r="U695" t="str">
        <f>IF(samples!K232=0,"",samples!K232)</f>
        <v/>
      </c>
      <c r="V695">
        <f>IFERROR(SEARCH(search!$B$6,samples!K232,1),0)</f>
        <v>0</v>
      </c>
      <c r="W695" t="str">
        <f>IF(samples!L232=0,"",samples!L232)</f>
        <v/>
      </c>
      <c r="X695">
        <f>IFERROR(SEARCH(search!$B$6,samples!L232,1),0)</f>
        <v>0</v>
      </c>
      <c r="Y695" t="str">
        <f>IF(samples!M232=0,"",samples!M232)</f>
        <v/>
      </c>
      <c r="Z695">
        <f>IFERROR(SEARCH(search!$B$6,samples!M232,1),0)</f>
        <v>0</v>
      </c>
      <c r="AA695" t="str">
        <f>IF(samples!N232=0,"",samples!N232)</f>
        <v/>
      </c>
      <c r="AB695">
        <f>IFERROR(SEARCH(search!$B$6,samples!N232,1),0)</f>
        <v>0</v>
      </c>
      <c r="AC695" t="str">
        <f>IF(samples!O232=0,"",samples!O232)</f>
        <v/>
      </c>
      <c r="AD695">
        <f>IFERROR(SEARCH(search!$B$6,samples!O232,1),0)</f>
        <v>0</v>
      </c>
    </row>
    <row r="696" spans="1:30">
      <c r="A696">
        <f t="shared" si="10"/>
        <v>0</v>
      </c>
      <c r="B696">
        <f>IF(SUM(D696,F696,H696,J696,L696,N696,P696,R696,T696,V696,X696,Z696,AB696,AD696)&gt;0,SUM($A$2:A696),0)</f>
        <v>0</v>
      </c>
      <c r="C696">
        <f>samples!B233</f>
        <v>0</v>
      </c>
      <c r="D696">
        <f>IFERROR(SEARCH(search!$B$6,samples!B233,1),0)</f>
        <v>0</v>
      </c>
      <c r="E696" t="str">
        <f>IF(samples!C233=0,"",samples!C233)</f>
        <v/>
      </c>
      <c r="F696">
        <f>IFERROR(SEARCH(search!$B$6,samples!C233,1),0)</f>
        <v>0</v>
      </c>
      <c r="G696" t="str">
        <f>IF(samples!D233=0,"",samples!D233)</f>
        <v/>
      </c>
      <c r="H696">
        <f>IFERROR(SEARCH(search!$B$6,samples!D233,1),0)</f>
        <v>0</v>
      </c>
      <c r="I696" t="str">
        <f>IF(samples!E233=0,"",samples!E233)</f>
        <v/>
      </c>
      <c r="J696">
        <f>IFERROR(SEARCH(search!$B$6,samples!E233,1),0)</f>
        <v>0</v>
      </c>
      <c r="K696" t="str">
        <f>IF(samples!F233=0,"",samples!F233)</f>
        <v/>
      </c>
      <c r="L696">
        <f>IFERROR(SEARCH(search!$B$6,samples!F233,1),0)</f>
        <v>0</v>
      </c>
      <c r="M696" t="str">
        <f>IF(samples!G233=0,"",samples!G233)</f>
        <v/>
      </c>
      <c r="N696">
        <f>IFERROR(SEARCH(search!$B$6,samples!G233,1),0)</f>
        <v>0</v>
      </c>
      <c r="O696" t="str">
        <f>IF(samples!H233=0,"",samples!H233)</f>
        <v/>
      </c>
      <c r="P696">
        <f>IFERROR(SEARCH(search!$B$6,samples!H233,1),0)</f>
        <v>0</v>
      </c>
      <c r="Q696" t="str">
        <f>IF(samples!I233=0,"",samples!I233)</f>
        <v/>
      </c>
      <c r="R696">
        <f>IFERROR(SEARCH(search!$B$6,samples!I233,1),0)</f>
        <v>0</v>
      </c>
      <c r="S696" t="str">
        <f>IF(samples!J233=0,"",samples!J233)</f>
        <v/>
      </c>
      <c r="T696">
        <f>IFERROR(SEARCH(search!$B$6,samples!J233,1),0)</f>
        <v>0</v>
      </c>
      <c r="U696" t="str">
        <f>IF(samples!K233=0,"",samples!K233)</f>
        <v/>
      </c>
      <c r="V696">
        <f>IFERROR(SEARCH(search!$B$6,samples!K233,1),0)</f>
        <v>0</v>
      </c>
      <c r="W696" t="str">
        <f>IF(samples!L233=0,"",samples!L233)</f>
        <v/>
      </c>
      <c r="X696">
        <f>IFERROR(SEARCH(search!$B$6,samples!L233,1),0)</f>
        <v>0</v>
      </c>
      <c r="Y696" t="str">
        <f>IF(samples!M233=0,"",samples!M233)</f>
        <v/>
      </c>
      <c r="Z696">
        <f>IFERROR(SEARCH(search!$B$6,samples!M233,1),0)</f>
        <v>0</v>
      </c>
      <c r="AA696" t="str">
        <f>IF(samples!N233=0,"",samples!N233)</f>
        <v/>
      </c>
      <c r="AB696">
        <f>IFERROR(SEARCH(search!$B$6,samples!N233,1),0)</f>
        <v>0</v>
      </c>
      <c r="AC696" t="str">
        <f>IF(samples!O233=0,"",samples!O233)</f>
        <v/>
      </c>
      <c r="AD696">
        <f>IFERROR(SEARCH(search!$B$6,samples!O233,1),0)</f>
        <v>0</v>
      </c>
    </row>
    <row r="697" spans="1:30">
      <c r="A697">
        <f t="shared" si="10"/>
        <v>0</v>
      </c>
      <c r="B697">
        <f>IF(SUM(D697,F697,H697,J697,L697,N697,P697,R697,T697,V697,X697,Z697,AB697,AD697)&gt;0,SUM($A$2:A697),0)</f>
        <v>0</v>
      </c>
      <c r="C697">
        <f>samples!B234</f>
        <v>0</v>
      </c>
      <c r="D697">
        <f>IFERROR(SEARCH(search!$B$6,samples!B234,1),0)</f>
        <v>0</v>
      </c>
      <c r="E697" t="str">
        <f>IF(samples!C234=0,"",samples!C234)</f>
        <v/>
      </c>
      <c r="F697">
        <f>IFERROR(SEARCH(search!$B$6,samples!C234,1),0)</f>
        <v>0</v>
      </c>
      <c r="G697" t="str">
        <f>IF(samples!D234=0,"",samples!D234)</f>
        <v/>
      </c>
      <c r="H697">
        <f>IFERROR(SEARCH(search!$B$6,samples!D234,1),0)</f>
        <v>0</v>
      </c>
      <c r="I697" t="str">
        <f>IF(samples!E234=0,"",samples!E234)</f>
        <v/>
      </c>
      <c r="J697">
        <f>IFERROR(SEARCH(search!$B$6,samples!E234,1),0)</f>
        <v>0</v>
      </c>
      <c r="K697" t="str">
        <f>IF(samples!F234=0,"",samples!F234)</f>
        <v/>
      </c>
      <c r="L697">
        <f>IFERROR(SEARCH(search!$B$6,samples!F234,1),0)</f>
        <v>0</v>
      </c>
      <c r="M697" t="str">
        <f>IF(samples!G234=0,"",samples!G234)</f>
        <v/>
      </c>
      <c r="N697">
        <f>IFERROR(SEARCH(search!$B$6,samples!G234,1),0)</f>
        <v>0</v>
      </c>
      <c r="O697" t="str">
        <f>IF(samples!H234=0,"",samples!H234)</f>
        <v/>
      </c>
      <c r="P697">
        <f>IFERROR(SEARCH(search!$B$6,samples!H234,1),0)</f>
        <v>0</v>
      </c>
      <c r="Q697" t="str">
        <f>IF(samples!I234=0,"",samples!I234)</f>
        <v/>
      </c>
      <c r="R697">
        <f>IFERROR(SEARCH(search!$B$6,samples!I234,1),0)</f>
        <v>0</v>
      </c>
      <c r="S697" t="str">
        <f>IF(samples!J234=0,"",samples!J234)</f>
        <v/>
      </c>
      <c r="T697">
        <f>IFERROR(SEARCH(search!$B$6,samples!J234,1),0)</f>
        <v>0</v>
      </c>
      <c r="U697" t="str">
        <f>IF(samples!K234=0,"",samples!K234)</f>
        <v/>
      </c>
      <c r="V697">
        <f>IFERROR(SEARCH(search!$B$6,samples!K234,1),0)</f>
        <v>0</v>
      </c>
      <c r="W697" t="str">
        <f>IF(samples!L234=0,"",samples!L234)</f>
        <v/>
      </c>
      <c r="X697">
        <f>IFERROR(SEARCH(search!$B$6,samples!L234,1),0)</f>
        <v>0</v>
      </c>
      <c r="Y697" t="str">
        <f>IF(samples!M234=0,"",samples!M234)</f>
        <v/>
      </c>
      <c r="Z697">
        <f>IFERROR(SEARCH(search!$B$6,samples!M234,1),0)</f>
        <v>0</v>
      </c>
      <c r="AA697" t="str">
        <f>IF(samples!N234=0,"",samples!N234)</f>
        <v/>
      </c>
      <c r="AB697">
        <f>IFERROR(SEARCH(search!$B$6,samples!N234,1),0)</f>
        <v>0</v>
      </c>
      <c r="AC697" t="str">
        <f>IF(samples!O234=0,"",samples!O234)</f>
        <v/>
      </c>
      <c r="AD697">
        <f>IFERROR(SEARCH(search!$B$6,samples!O234,1),0)</f>
        <v>0</v>
      </c>
    </row>
    <row r="698" spans="1:30">
      <c r="A698">
        <f t="shared" si="10"/>
        <v>0</v>
      </c>
      <c r="B698">
        <f>IF(SUM(D698,F698,H698,J698,L698,N698,P698,R698,T698,V698,X698,Z698,AB698,AD698)&gt;0,SUM($A$2:A698),0)</f>
        <v>0</v>
      </c>
      <c r="C698">
        <f>samples!B235</f>
        <v>0</v>
      </c>
      <c r="D698">
        <f>IFERROR(SEARCH(search!$B$6,samples!B235,1),0)</f>
        <v>0</v>
      </c>
      <c r="E698" t="str">
        <f>IF(samples!C235=0,"",samples!C235)</f>
        <v/>
      </c>
      <c r="F698">
        <f>IFERROR(SEARCH(search!$B$6,samples!C235,1),0)</f>
        <v>0</v>
      </c>
      <c r="G698" t="str">
        <f>IF(samples!D235=0,"",samples!D235)</f>
        <v/>
      </c>
      <c r="H698">
        <f>IFERROR(SEARCH(search!$B$6,samples!D235,1),0)</f>
        <v>0</v>
      </c>
      <c r="I698" t="str">
        <f>IF(samples!E235=0,"",samples!E235)</f>
        <v/>
      </c>
      <c r="J698">
        <f>IFERROR(SEARCH(search!$B$6,samples!E235,1),0)</f>
        <v>0</v>
      </c>
      <c r="K698" t="str">
        <f>IF(samples!F235=0,"",samples!F235)</f>
        <v/>
      </c>
      <c r="L698">
        <f>IFERROR(SEARCH(search!$B$6,samples!F235,1),0)</f>
        <v>0</v>
      </c>
      <c r="M698" t="str">
        <f>IF(samples!G235=0,"",samples!G235)</f>
        <v/>
      </c>
      <c r="N698">
        <f>IFERROR(SEARCH(search!$B$6,samples!G235,1),0)</f>
        <v>0</v>
      </c>
      <c r="O698" t="str">
        <f>IF(samples!H235=0,"",samples!H235)</f>
        <v/>
      </c>
      <c r="P698">
        <f>IFERROR(SEARCH(search!$B$6,samples!H235,1),0)</f>
        <v>0</v>
      </c>
      <c r="Q698" t="str">
        <f>IF(samples!I235=0,"",samples!I235)</f>
        <v/>
      </c>
      <c r="R698">
        <f>IFERROR(SEARCH(search!$B$6,samples!I235,1),0)</f>
        <v>0</v>
      </c>
      <c r="S698" t="str">
        <f>IF(samples!J235=0,"",samples!J235)</f>
        <v/>
      </c>
      <c r="T698">
        <f>IFERROR(SEARCH(search!$B$6,samples!J235,1),0)</f>
        <v>0</v>
      </c>
      <c r="U698" t="str">
        <f>IF(samples!K235=0,"",samples!K235)</f>
        <v/>
      </c>
      <c r="V698">
        <f>IFERROR(SEARCH(search!$B$6,samples!K235,1),0)</f>
        <v>0</v>
      </c>
      <c r="W698" t="str">
        <f>IF(samples!L235=0,"",samples!L235)</f>
        <v/>
      </c>
      <c r="X698">
        <f>IFERROR(SEARCH(search!$B$6,samples!L235,1),0)</f>
        <v>0</v>
      </c>
      <c r="Y698" t="str">
        <f>IF(samples!M235=0,"",samples!M235)</f>
        <v/>
      </c>
      <c r="Z698">
        <f>IFERROR(SEARCH(search!$B$6,samples!M235,1),0)</f>
        <v>0</v>
      </c>
      <c r="AA698" t="str">
        <f>IF(samples!N235=0,"",samples!N235)</f>
        <v/>
      </c>
      <c r="AB698">
        <f>IFERROR(SEARCH(search!$B$6,samples!N235,1),0)</f>
        <v>0</v>
      </c>
      <c r="AC698" t="str">
        <f>IF(samples!O235=0,"",samples!O235)</f>
        <v/>
      </c>
      <c r="AD698">
        <f>IFERROR(SEARCH(search!$B$6,samples!O235,1),0)</f>
        <v>0</v>
      </c>
    </row>
    <row r="699" spans="1:30">
      <c r="A699">
        <f t="shared" si="10"/>
        <v>0</v>
      </c>
      <c r="B699">
        <f>IF(SUM(D699,F699,H699,J699,L699,N699,P699,R699,T699,V699,X699,Z699,AB699,AD699)&gt;0,SUM($A$2:A699),0)</f>
        <v>0</v>
      </c>
      <c r="C699">
        <f>samples!B236</f>
        <v>0</v>
      </c>
      <c r="D699">
        <f>IFERROR(SEARCH(search!$B$6,samples!B236,1),0)</f>
        <v>0</v>
      </c>
      <c r="E699" t="str">
        <f>IF(samples!C236=0,"",samples!C236)</f>
        <v/>
      </c>
      <c r="F699">
        <f>IFERROR(SEARCH(search!$B$6,samples!C236,1),0)</f>
        <v>0</v>
      </c>
      <c r="G699" t="str">
        <f>IF(samples!D236=0,"",samples!D236)</f>
        <v/>
      </c>
      <c r="H699">
        <f>IFERROR(SEARCH(search!$B$6,samples!D236,1),0)</f>
        <v>0</v>
      </c>
      <c r="I699" t="str">
        <f>IF(samples!E236=0,"",samples!E236)</f>
        <v/>
      </c>
      <c r="J699">
        <f>IFERROR(SEARCH(search!$B$6,samples!E236,1),0)</f>
        <v>0</v>
      </c>
      <c r="K699" t="str">
        <f>IF(samples!F236=0,"",samples!F236)</f>
        <v/>
      </c>
      <c r="L699">
        <f>IFERROR(SEARCH(search!$B$6,samples!F236,1),0)</f>
        <v>0</v>
      </c>
      <c r="M699" t="str">
        <f>IF(samples!G236=0,"",samples!G236)</f>
        <v/>
      </c>
      <c r="N699">
        <f>IFERROR(SEARCH(search!$B$6,samples!G236,1),0)</f>
        <v>0</v>
      </c>
      <c r="O699" t="str">
        <f>IF(samples!H236=0,"",samples!H236)</f>
        <v/>
      </c>
      <c r="P699">
        <f>IFERROR(SEARCH(search!$B$6,samples!H236,1),0)</f>
        <v>0</v>
      </c>
      <c r="Q699" t="str">
        <f>IF(samples!I236=0,"",samples!I236)</f>
        <v/>
      </c>
      <c r="R699">
        <f>IFERROR(SEARCH(search!$B$6,samples!I236,1),0)</f>
        <v>0</v>
      </c>
      <c r="S699" t="str">
        <f>IF(samples!J236=0,"",samples!J236)</f>
        <v/>
      </c>
      <c r="T699">
        <f>IFERROR(SEARCH(search!$B$6,samples!J236,1),0)</f>
        <v>0</v>
      </c>
      <c r="U699" t="str">
        <f>IF(samples!K236=0,"",samples!K236)</f>
        <v/>
      </c>
      <c r="V699">
        <f>IFERROR(SEARCH(search!$B$6,samples!K236,1),0)</f>
        <v>0</v>
      </c>
      <c r="W699" t="str">
        <f>IF(samples!L236=0,"",samples!L236)</f>
        <v/>
      </c>
      <c r="X699">
        <f>IFERROR(SEARCH(search!$B$6,samples!L236,1),0)</f>
        <v>0</v>
      </c>
      <c r="Y699" t="str">
        <f>IF(samples!M236=0,"",samples!M236)</f>
        <v/>
      </c>
      <c r="Z699">
        <f>IFERROR(SEARCH(search!$B$6,samples!M236,1),0)</f>
        <v>0</v>
      </c>
      <c r="AA699" t="str">
        <f>IF(samples!N236=0,"",samples!N236)</f>
        <v/>
      </c>
      <c r="AB699">
        <f>IFERROR(SEARCH(search!$B$6,samples!N236,1),0)</f>
        <v>0</v>
      </c>
      <c r="AC699" t="str">
        <f>IF(samples!O236=0,"",samples!O236)</f>
        <v/>
      </c>
      <c r="AD699">
        <f>IFERROR(SEARCH(search!$B$6,samples!O236,1),0)</f>
        <v>0</v>
      </c>
    </row>
    <row r="700" spans="1:30">
      <c r="A700">
        <f t="shared" si="10"/>
        <v>0</v>
      </c>
      <c r="B700">
        <f>IF(SUM(D700,F700,H700,J700,L700,N700,P700,R700,T700,V700,X700,Z700,AB700,AD700)&gt;0,SUM($A$2:A700),0)</f>
        <v>0</v>
      </c>
      <c r="C700">
        <f>samples!B237</f>
        <v>0</v>
      </c>
      <c r="D700">
        <f>IFERROR(SEARCH(search!$B$6,samples!B237,1),0)</f>
        <v>0</v>
      </c>
      <c r="E700" t="str">
        <f>IF(samples!C237=0,"",samples!C237)</f>
        <v/>
      </c>
      <c r="F700">
        <f>IFERROR(SEARCH(search!$B$6,samples!C237,1),0)</f>
        <v>0</v>
      </c>
      <c r="G700" t="str">
        <f>IF(samples!D237=0,"",samples!D237)</f>
        <v/>
      </c>
      <c r="H700">
        <f>IFERROR(SEARCH(search!$B$6,samples!D237,1),0)</f>
        <v>0</v>
      </c>
      <c r="I700" t="str">
        <f>IF(samples!E237=0,"",samples!E237)</f>
        <v/>
      </c>
      <c r="J700">
        <f>IFERROR(SEARCH(search!$B$6,samples!E237,1),0)</f>
        <v>0</v>
      </c>
      <c r="K700" t="str">
        <f>IF(samples!F237=0,"",samples!F237)</f>
        <v/>
      </c>
      <c r="L700">
        <f>IFERROR(SEARCH(search!$B$6,samples!F237,1),0)</f>
        <v>0</v>
      </c>
      <c r="M700" t="str">
        <f>IF(samples!G237=0,"",samples!G237)</f>
        <v/>
      </c>
      <c r="N700">
        <f>IFERROR(SEARCH(search!$B$6,samples!G237,1),0)</f>
        <v>0</v>
      </c>
      <c r="O700" t="str">
        <f>IF(samples!H237=0,"",samples!H237)</f>
        <v/>
      </c>
      <c r="P700">
        <f>IFERROR(SEARCH(search!$B$6,samples!H237,1),0)</f>
        <v>0</v>
      </c>
      <c r="Q700" t="str">
        <f>IF(samples!I237=0,"",samples!I237)</f>
        <v/>
      </c>
      <c r="R700">
        <f>IFERROR(SEARCH(search!$B$6,samples!I237,1),0)</f>
        <v>0</v>
      </c>
      <c r="S700" t="str">
        <f>IF(samples!J237=0,"",samples!J237)</f>
        <v/>
      </c>
      <c r="T700">
        <f>IFERROR(SEARCH(search!$B$6,samples!J237,1),0)</f>
        <v>0</v>
      </c>
      <c r="U700" t="str">
        <f>IF(samples!K237=0,"",samples!K237)</f>
        <v/>
      </c>
      <c r="V700">
        <f>IFERROR(SEARCH(search!$B$6,samples!K237,1),0)</f>
        <v>0</v>
      </c>
      <c r="W700" t="str">
        <f>IF(samples!L237=0,"",samples!L237)</f>
        <v/>
      </c>
      <c r="X700">
        <f>IFERROR(SEARCH(search!$B$6,samples!L237,1),0)</f>
        <v>0</v>
      </c>
      <c r="Y700" t="str">
        <f>IF(samples!M237=0,"",samples!M237)</f>
        <v/>
      </c>
      <c r="Z700">
        <f>IFERROR(SEARCH(search!$B$6,samples!M237,1),0)</f>
        <v>0</v>
      </c>
      <c r="AA700" t="str">
        <f>IF(samples!N237=0,"",samples!N237)</f>
        <v/>
      </c>
      <c r="AB700">
        <f>IFERROR(SEARCH(search!$B$6,samples!N237,1),0)</f>
        <v>0</v>
      </c>
      <c r="AC700" t="str">
        <f>IF(samples!O237=0,"",samples!O237)</f>
        <v/>
      </c>
      <c r="AD700">
        <f>IFERROR(SEARCH(search!$B$6,samples!O237,1),0)</f>
        <v>0</v>
      </c>
    </row>
    <row r="701" spans="1:30">
      <c r="A701">
        <f t="shared" si="10"/>
        <v>0</v>
      </c>
      <c r="B701">
        <f>IF(SUM(D701,F701,H701,J701,L701,N701,P701,R701,T701,V701,X701,Z701,AB701,AD701)&gt;0,SUM($A$2:A701),0)</f>
        <v>0</v>
      </c>
      <c r="C701">
        <f>samples!B238</f>
        <v>0</v>
      </c>
      <c r="D701">
        <f>IFERROR(SEARCH(search!$B$6,samples!B238,1),0)</f>
        <v>0</v>
      </c>
      <c r="E701" t="str">
        <f>IF(samples!C238=0,"",samples!C238)</f>
        <v/>
      </c>
      <c r="F701">
        <f>IFERROR(SEARCH(search!$B$6,samples!C238,1),0)</f>
        <v>0</v>
      </c>
      <c r="G701" t="str">
        <f>IF(samples!D238=0,"",samples!D238)</f>
        <v/>
      </c>
      <c r="H701">
        <f>IFERROR(SEARCH(search!$B$6,samples!D238,1),0)</f>
        <v>0</v>
      </c>
      <c r="I701" t="str">
        <f>IF(samples!E238=0,"",samples!E238)</f>
        <v/>
      </c>
      <c r="J701">
        <f>IFERROR(SEARCH(search!$B$6,samples!E238,1),0)</f>
        <v>0</v>
      </c>
      <c r="K701" t="str">
        <f>IF(samples!F238=0,"",samples!F238)</f>
        <v/>
      </c>
      <c r="L701">
        <f>IFERROR(SEARCH(search!$B$6,samples!F238,1),0)</f>
        <v>0</v>
      </c>
      <c r="M701" t="str">
        <f>IF(samples!G238=0,"",samples!G238)</f>
        <v/>
      </c>
      <c r="N701">
        <f>IFERROR(SEARCH(search!$B$6,samples!G238,1),0)</f>
        <v>0</v>
      </c>
      <c r="O701" t="str">
        <f>IF(samples!H238=0,"",samples!H238)</f>
        <v/>
      </c>
      <c r="P701">
        <f>IFERROR(SEARCH(search!$B$6,samples!H238,1),0)</f>
        <v>0</v>
      </c>
      <c r="Q701" t="str">
        <f>IF(samples!I238=0,"",samples!I238)</f>
        <v/>
      </c>
      <c r="R701">
        <f>IFERROR(SEARCH(search!$B$6,samples!I238,1),0)</f>
        <v>0</v>
      </c>
      <c r="S701" t="str">
        <f>IF(samples!J238=0,"",samples!J238)</f>
        <v/>
      </c>
      <c r="T701">
        <f>IFERROR(SEARCH(search!$B$6,samples!J238,1),0)</f>
        <v>0</v>
      </c>
      <c r="U701" t="str">
        <f>IF(samples!K238=0,"",samples!K238)</f>
        <v/>
      </c>
      <c r="V701">
        <f>IFERROR(SEARCH(search!$B$6,samples!K238,1),0)</f>
        <v>0</v>
      </c>
      <c r="W701" t="str">
        <f>IF(samples!L238=0,"",samples!L238)</f>
        <v/>
      </c>
      <c r="X701">
        <f>IFERROR(SEARCH(search!$B$6,samples!L238,1),0)</f>
        <v>0</v>
      </c>
      <c r="Y701" t="str">
        <f>IF(samples!M238=0,"",samples!M238)</f>
        <v/>
      </c>
      <c r="Z701">
        <f>IFERROR(SEARCH(search!$B$6,samples!M238,1),0)</f>
        <v>0</v>
      </c>
      <c r="AA701" t="str">
        <f>IF(samples!N238=0,"",samples!N238)</f>
        <v/>
      </c>
      <c r="AB701">
        <f>IFERROR(SEARCH(search!$B$6,samples!N238,1),0)</f>
        <v>0</v>
      </c>
      <c r="AC701" t="str">
        <f>IF(samples!O238=0,"",samples!O238)</f>
        <v/>
      </c>
      <c r="AD701">
        <f>IFERROR(SEARCH(search!$B$6,samples!O238,1),0)</f>
        <v>0</v>
      </c>
    </row>
    <row r="702" spans="1:30">
      <c r="A702">
        <f t="shared" si="10"/>
        <v>0</v>
      </c>
      <c r="B702">
        <f>IF(SUM(D702,F702,H702,J702,L702,N702,P702,R702,T702,V702,X702,Z702,AB702,AD702)&gt;0,SUM($A$2:A702),0)</f>
        <v>0</v>
      </c>
      <c r="C702">
        <f>samples!B239</f>
        <v>0</v>
      </c>
      <c r="D702">
        <f>IFERROR(SEARCH(search!$B$6,samples!B239,1),0)</f>
        <v>0</v>
      </c>
      <c r="E702" t="str">
        <f>IF(samples!C239=0,"",samples!C239)</f>
        <v/>
      </c>
      <c r="F702">
        <f>IFERROR(SEARCH(search!$B$6,samples!C239,1),0)</f>
        <v>0</v>
      </c>
      <c r="G702" t="str">
        <f>IF(samples!D239=0,"",samples!D239)</f>
        <v/>
      </c>
      <c r="H702">
        <f>IFERROR(SEARCH(search!$B$6,samples!D239,1),0)</f>
        <v>0</v>
      </c>
      <c r="I702" t="str">
        <f>IF(samples!E239=0,"",samples!E239)</f>
        <v/>
      </c>
      <c r="J702">
        <f>IFERROR(SEARCH(search!$B$6,samples!E239,1),0)</f>
        <v>0</v>
      </c>
      <c r="K702" t="str">
        <f>IF(samples!F239=0,"",samples!F239)</f>
        <v/>
      </c>
      <c r="L702">
        <f>IFERROR(SEARCH(search!$B$6,samples!F239,1),0)</f>
        <v>0</v>
      </c>
      <c r="M702" t="str">
        <f>IF(samples!G239=0,"",samples!G239)</f>
        <v/>
      </c>
      <c r="N702">
        <f>IFERROR(SEARCH(search!$B$6,samples!G239,1),0)</f>
        <v>0</v>
      </c>
      <c r="O702" t="str">
        <f>IF(samples!H239=0,"",samples!H239)</f>
        <v/>
      </c>
      <c r="P702">
        <f>IFERROR(SEARCH(search!$B$6,samples!H239,1),0)</f>
        <v>0</v>
      </c>
      <c r="Q702" t="str">
        <f>IF(samples!I239=0,"",samples!I239)</f>
        <v/>
      </c>
      <c r="R702">
        <f>IFERROR(SEARCH(search!$B$6,samples!I239,1),0)</f>
        <v>0</v>
      </c>
      <c r="S702" t="str">
        <f>IF(samples!J239=0,"",samples!J239)</f>
        <v/>
      </c>
      <c r="T702">
        <f>IFERROR(SEARCH(search!$B$6,samples!J239,1),0)</f>
        <v>0</v>
      </c>
      <c r="U702" t="str">
        <f>IF(samples!K239=0,"",samples!K239)</f>
        <v/>
      </c>
      <c r="V702">
        <f>IFERROR(SEARCH(search!$B$6,samples!K239,1),0)</f>
        <v>0</v>
      </c>
      <c r="W702" t="str">
        <f>IF(samples!L239=0,"",samples!L239)</f>
        <v/>
      </c>
      <c r="X702">
        <f>IFERROR(SEARCH(search!$B$6,samples!L239,1),0)</f>
        <v>0</v>
      </c>
      <c r="Y702" t="str">
        <f>IF(samples!M239=0,"",samples!M239)</f>
        <v/>
      </c>
      <c r="Z702">
        <f>IFERROR(SEARCH(search!$B$6,samples!M239,1),0)</f>
        <v>0</v>
      </c>
      <c r="AA702" t="str">
        <f>IF(samples!N239=0,"",samples!N239)</f>
        <v/>
      </c>
      <c r="AB702">
        <f>IFERROR(SEARCH(search!$B$6,samples!N239,1),0)</f>
        <v>0</v>
      </c>
      <c r="AC702" t="str">
        <f>IF(samples!O239=0,"",samples!O239)</f>
        <v/>
      </c>
      <c r="AD702">
        <f>IFERROR(SEARCH(search!$B$6,samples!O239,1),0)</f>
        <v>0</v>
      </c>
    </row>
    <row r="703" spans="1:30">
      <c r="A703">
        <f t="shared" si="10"/>
        <v>0</v>
      </c>
      <c r="B703">
        <f>IF(SUM(D703,F703,H703,J703,L703,N703,P703,R703,T703,V703,X703,Z703,AB703,AD703)&gt;0,SUM($A$2:A703),0)</f>
        <v>0</v>
      </c>
      <c r="C703">
        <f>samples!B240</f>
        <v>0</v>
      </c>
      <c r="D703">
        <f>IFERROR(SEARCH(search!$B$6,samples!B240,1),0)</f>
        <v>0</v>
      </c>
      <c r="E703" t="str">
        <f>IF(samples!C240=0,"",samples!C240)</f>
        <v/>
      </c>
      <c r="F703">
        <f>IFERROR(SEARCH(search!$B$6,samples!C240,1),0)</f>
        <v>0</v>
      </c>
      <c r="G703" t="str">
        <f>IF(samples!D240=0,"",samples!D240)</f>
        <v/>
      </c>
      <c r="H703">
        <f>IFERROR(SEARCH(search!$B$6,samples!D240,1),0)</f>
        <v>0</v>
      </c>
      <c r="I703" t="str">
        <f>IF(samples!E240=0,"",samples!E240)</f>
        <v/>
      </c>
      <c r="J703">
        <f>IFERROR(SEARCH(search!$B$6,samples!E240,1),0)</f>
        <v>0</v>
      </c>
      <c r="K703" t="str">
        <f>IF(samples!F240=0,"",samples!F240)</f>
        <v/>
      </c>
      <c r="L703">
        <f>IFERROR(SEARCH(search!$B$6,samples!F240,1),0)</f>
        <v>0</v>
      </c>
      <c r="M703" t="str">
        <f>IF(samples!G240=0,"",samples!G240)</f>
        <v/>
      </c>
      <c r="N703">
        <f>IFERROR(SEARCH(search!$B$6,samples!G240,1),0)</f>
        <v>0</v>
      </c>
      <c r="O703" t="str">
        <f>IF(samples!H240=0,"",samples!H240)</f>
        <v/>
      </c>
      <c r="P703">
        <f>IFERROR(SEARCH(search!$B$6,samples!H240,1),0)</f>
        <v>0</v>
      </c>
      <c r="Q703" t="str">
        <f>IF(samples!I240=0,"",samples!I240)</f>
        <v/>
      </c>
      <c r="R703">
        <f>IFERROR(SEARCH(search!$B$6,samples!I240,1),0)</f>
        <v>0</v>
      </c>
      <c r="S703" t="str">
        <f>IF(samples!J240=0,"",samples!J240)</f>
        <v/>
      </c>
      <c r="T703">
        <f>IFERROR(SEARCH(search!$B$6,samples!J240,1),0)</f>
        <v>0</v>
      </c>
      <c r="U703" t="str">
        <f>IF(samples!K240=0,"",samples!K240)</f>
        <v/>
      </c>
      <c r="V703">
        <f>IFERROR(SEARCH(search!$B$6,samples!K240,1),0)</f>
        <v>0</v>
      </c>
      <c r="W703" t="str">
        <f>IF(samples!L240=0,"",samples!L240)</f>
        <v/>
      </c>
      <c r="X703">
        <f>IFERROR(SEARCH(search!$B$6,samples!L240,1),0)</f>
        <v>0</v>
      </c>
      <c r="Y703" t="str">
        <f>IF(samples!M240=0,"",samples!M240)</f>
        <v/>
      </c>
      <c r="Z703">
        <f>IFERROR(SEARCH(search!$B$6,samples!M240,1),0)</f>
        <v>0</v>
      </c>
      <c r="AA703" t="str">
        <f>IF(samples!N240=0,"",samples!N240)</f>
        <v/>
      </c>
      <c r="AB703">
        <f>IFERROR(SEARCH(search!$B$6,samples!N240,1),0)</f>
        <v>0</v>
      </c>
      <c r="AC703" t="str">
        <f>IF(samples!O240=0,"",samples!O240)</f>
        <v/>
      </c>
      <c r="AD703">
        <f>IFERROR(SEARCH(search!$B$6,samples!O240,1),0)</f>
        <v>0</v>
      </c>
    </row>
    <row r="704" spans="1:30">
      <c r="A704">
        <f t="shared" si="10"/>
        <v>0</v>
      </c>
      <c r="B704">
        <f>IF(SUM(D704,F704,H704,J704,L704,N704,P704,R704,T704,V704,X704,Z704,AB704,AD704)&gt;0,SUM($A$2:A704),0)</f>
        <v>0</v>
      </c>
      <c r="C704">
        <f>samples!B241</f>
        <v>0</v>
      </c>
      <c r="D704">
        <f>IFERROR(SEARCH(search!$B$6,samples!B241,1),0)</f>
        <v>0</v>
      </c>
      <c r="E704" t="str">
        <f>IF(samples!C241=0,"",samples!C241)</f>
        <v/>
      </c>
      <c r="F704">
        <f>IFERROR(SEARCH(search!$B$6,samples!C241,1),0)</f>
        <v>0</v>
      </c>
      <c r="G704" t="str">
        <f>IF(samples!D241=0,"",samples!D241)</f>
        <v/>
      </c>
      <c r="H704">
        <f>IFERROR(SEARCH(search!$B$6,samples!D241,1),0)</f>
        <v>0</v>
      </c>
      <c r="I704" t="str">
        <f>IF(samples!E241=0,"",samples!E241)</f>
        <v/>
      </c>
      <c r="J704">
        <f>IFERROR(SEARCH(search!$B$6,samples!E241,1),0)</f>
        <v>0</v>
      </c>
      <c r="K704" t="str">
        <f>IF(samples!F241=0,"",samples!F241)</f>
        <v/>
      </c>
      <c r="L704">
        <f>IFERROR(SEARCH(search!$B$6,samples!F241,1),0)</f>
        <v>0</v>
      </c>
      <c r="M704" t="str">
        <f>IF(samples!G241=0,"",samples!G241)</f>
        <v/>
      </c>
      <c r="N704">
        <f>IFERROR(SEARCH(search!$B$6,samples!G241,1),0)</f>
        <v>0</v>
      </c>
      <c r="O704" t="str">
        <f>IF(samples!H241=0,"",samples!H241)</f>
        <v/>
      </c>
      <c r="P704">
        <f>IFERROR(SEARCH(search!$B$6,samples!H241,1),0)</f>
        <v>0</v>
      </c>
      <c r="Q704" t="str">
        <f>IF(samples!I241=0,"",samples!I241)</f>
        <v/>
      </c>
      <c r="R704">
        <f>IFERROR(SEARCH(search!$B$6,samples!I241,1),0)</f>
        <v>0</v>
      </c>
      <c r="S704" t="str">
        <f>IF(samples!J241=0,"",samples!J241)</f>
        <v/>
      </c>
      <c r="T704">
        <f>IFERROR(SEARCH(search!$B$6,samples!J241,1),0)</f>
        <v>0</v>
      </c>
      <c r="U704" t="str">
        <f>IF(samples!K241=0,"",samples!K241)</f>
        <v/>
      </c>
      <c r="V704">
        <f>IFERROR(SEARCH(search!$B$6,samples!K241,1),0)</f>
        <v>0</v>
      </c>
      <c r="W704" t="str">
        <f>IF(samples!L241=0,"",samples!L241)</f>
        <v/>
      </c>
      <c r="X704">
        <f>IFERROR(SEARCH(search!$B$6,samples!L241,1),0)</f>
        <v>0</v>
      </c>
      <c r="Y704" t="str">
        <f>IF(samples!M241=0,"",samples!M241)</f>
        <v/>
      </c>
      <c r="Z704">
        <f>IFERROR(SEARCH(search!$B$6,samples!M241,1),0)</f>
        <v>0</v>
      </c>
      <c r="AA704" t="str">
        <f>IF(samples!N241=0,"",samples!N241)</f>
        <v/>
      </c>
      <c r="AB704">
        <f>IFERROR(SEARCH(search!$B$6,samples!N241,1),0)</f>
        <v>0</v>
      </c>
      <c r="AC704" t="str">
        <f>IF(samples!O241=0,"",samples!O241)</f>
        <v/>
      </c>
      <c r="AD704">
        <f>IFERROR(SEARCH(search!$B$6,samples!O241,1),0)</f>
        <v>0</v>
      </c>
    </row>
    <row r="705" spans="1:30">
      <c r="A705">
        <f t="shared" si="10"/>
        <v>0</v>
      </c>
      <c r="B705">
        <f>IF(SUM(D705,F705,H705,J705,L705,N705,P705,R705,T705,V705,X705,Z705,AB705,AD705)&gt;0,SUM($A$2:A705),0)</f>
        <v>0</v>
      </c>
      <c r="C705">
        <f>samples!B242</f>
        <v>0</v>
      </c>
      <c r="D705">
        <f>IFERROR(SEARCH(search!$B$6,samples!B242,1),0)</f>
        <v>0</v>
      </c>
      <c r="E705" t="str">
        <f>IF(samples!C242=0,"",samples!C242)</f>
        <v/>
      </c>
      <c r="F705">
        <f>IFERROR(SEARCH(search!$B$6,samples!C242,1),0)</f>
        <v>0</v>
      </c>
      <c r="G705" t="str">
        <f>IF(samples!D242=0,"",samples!D242)</f>
        <v/>
      </c>
      <c r="H705">
        <f>IFERROR(SEARCH(search!$B$6,samples!D242,1),0)</f>
        <v>0</v>
      </c>
      <c r="I705" t="str">
        <f>IF(samples!E242=0,"",samples!E242)</f>
        <v/>
      </c>
      <c r="J705">
        <f>IFERROR(SEARCH(search!$B$6,samples!E242,1),0)</f>
        <v>0</v>
      </c>
      <c r="K705" t="str">
        <f>IF(samples!F242=0,"",samples!F242)</f>
        <v/>
      </c>
      <c r="L705">
        <f>IFERROR(SEARCH(search!$B$6,samples!F242,1),0)</f>
        <v>0</v>
      </c>
      <c r="M705" t="str">
        <f>IF(samples!G242=0,"",samples!G242)</f>
        <v/>
      </c>
      <c r="N705">
        <f>IFERROR(SEARCH(search!$B$6,samples!G242,1),0)</f>
        <v>0</v>
      </c>
      <c r="O705" t="str">
        <f>IF(samples!H242=0,"",samples!H242)</f>
        <v/>
      </c>
      <c r="P705">
        <f>IFERROR(SEARCH(search!$B$6,samples!H242,1),0)</f>
        <v>0</v>
      </c>
      <c r="Q705" t="str">
        <f>IF(samples!I242=0,"",samples!I242)</f>
        <v/>
      </c>
      <c r="R705">
        <f>IFERROR(SEARCH(search!$B$6,samples!I242,1),0)</f>
        <v>0</v>
      </c>
      <c r="S705" t="str">
        <f>IF(samples!J242=0,"",samples!J242)</f>
        <v/>
      </c>
      <c r="T705">
        <f>IFERROR(SEARCH(search!$B$6,samples!J242,1),0)</f>
        <v>0</v>
      </c>
      <c r="U705" t="str">
        <f>IF(samples!K242=0,"",samples!K242)</f>
        <v/>
      </c>
      <c r="V705">
        <f>IFERROR(SEARCH(search!$B$6,samples!K242,1),0)</f>
        <v>0</v>
      </c>
      <c r="W705" t="str">
        <f>IF(samples!L242=0,"",samples!L242)</f>
        <v/>
      </c>
      <c r="X705">
        <f>IFERROR(SEARCH(search!$B$6,samples!L242,1),0)</f>
        <v>0</v>
      </c>
      <c r="Y705" t="str">
        <f>IF(samples!M242=0,"",samples!M242)</f>
        <v/>
      </c>
      <c r="Z705">
        <f>IFERROR(SEARCH(search!$B$6,samples!M242,1),0)</f>
        <v>0</v>
      </c>
      <c r="AA705" t="str">
        <f>IF(samples!N242=0,"",samples!N242)</f>
        <v/>
      </c>
      <c r="AB705">
        <f>IFERROR(SEARCH(search!$B$6,samples!N242,1),0)</f>
        <v>0</v>
      </c>
      <c r="AC705" t="str">
        <f>IF(samples!O242=0,"",samples!O242)</f>
        <v/>
      </c>
      <c r="AD705">
        <f>IFERROR(SEARCH(search!$B$6,samples!O242,1),0)</f>
        <v>0</v>
      </c>
    </row>
    <row r="706" spans="1:30">
      <c r="A706">
        <f t="shared" si="10"/>
        <v>0</v>
      </c>
      <c r="B706">
        <f>IF(SUM(D706,F706,H706,J706,L706,N706,P706,R706,T706,V706,X706,Z706,AB706,AD706)&gt;0,SUM($A$2:A706),0)</f>
        <v>0</v>
      </c>
      <c r="C706">
        <f>samples!B243</f>
        <v>0</v>
      </c>
      <c r="D706">
        <f>IFERROR(SEARCH(search!$B$6,samples!B243,1),0)</f>
        <v>0</v>
      </c>
      <c r="E706" t="str">
        <f>IF(samples!C243=0,"",samples!C243)</f>
        <v/>
      </c>
      <c r="F706">
        <f>IFERROR(SEARCH(search!$B$6,samples!C243,1),0)</f>
        <v>0</v>
      </c>
      <c r="G706" t="str">
        <f>IF(samples!D243=0,"",samples!D243)</f>
        <v/>
      </c>
      <c r="H706">
        <f>IFERROR(SEARCH(search!$B$6,samples!D243,1),0)</f>
        <v>0</v>
      </c>
      <c r="I706" t="str">
        <f>IF(samples!E243=0,"",samples!E243)</f>
        <v/>
      </c>
      <c r="J706">
        <f>IFERROR(SEARCH(search!$B$6,samples!E243,1),0)</f>
        <v>0</v>
      </c>
      <c r="K706" t="str">
        <f>IF(samples!F243=0,"",samples!F243)</f>
        <v/>
      </c>
      <c r="L706">
        <f>IFERROR(SEARCH(search!$B$6,samples!F243,1),0)</f>
        <v>0</v>
      </c>
      <c r="M706" t="str">
        <f>IF(samples!G243=0,"",samples!G243)</f>
        <v/>
      </c>
      <c r="N706">
        <f>IFERROR(SEARCH(search!$B$6,samples!G243,1),0)</f>
        <v>0</v>
      </c>
      <c r="O706" t="str">
        <f>IF(samples!H243=0,"",samples!H243)</f>
        <v/>
      </c>
      <c r="P706">
        <f>IFERROR(SEARCH(search!$B$6,samples!H243,1),0)</f>
        <v>0</v>
      </c>
      <c r="Q706" t="str">
        <f>IF(samples!I243=0,"",samples!I243)</f>
        <v/>
      </c>
      <c r="R706">
        <f>IFERROR(SEARCH(search!$B$6,samples!I243,1),0)</f>
        <v>0</v>
      </c>
      <c r="S706" t="str">
        <f>IF(samples!J243=0,"",samples!J243)</f>
        <v/>
      </c>
      <c r="T706">
        <f>IFERROR(SEARCH(search!$B$6,samples!J243,1),0)</f>
        <v>0</v>
      </c>
      <c r="U706" t="str">
        <f>IF(samples!K243=0,"",samples!K243)</f>
        <v/>
      </c>
      <c r="V706">
        <f>IFERROR(SEARCH(search!$B$6,samples!K243,1),0)</f>
        <v>0</v>
      </c>
      <c r="W706" t="str">
        <f>IF(samples!L243=0,"",samples!L243)</f>
        <v/>
      </c>
      <c r="X706">
        <f>IFERROR(SEARCH(search!$B$6,samples!L243,1),0)</f>
        <v>0</v>
      </c>
      <c r="Y706" t="str">
        <f>IF(samples!M243=0,"",samples!M243)</f>
        <v/>
      </c>
      <c r="Z706">
        <f>IFERROR(SEARCH(search!$B$6,samples!M243,1),0)</f>
        <v>0</v>
      </c>
      <c r="AA706" t="str">
        <f>IF(samples!N243=0,"",samples!N243)</f>
        <v/>
      </c>
      <c r="AB706">
        <f>IFERROR(SEARCH(search!$B$6,samples!N243,1),0)</f>
        <v>0</v>
      </c>
      <c r="AC706" t="str">
        <f>IF(samples!O243=0,"",samples!O243)</f>
        <v/>
      </c>
      <c r="AD706">
        <f>IFERROR(SEARCH(search!$B$6,samples!O243,1),0)</f>
        <v>0</v>
      </c>
    </row>
    <row r="707" spans="1:30">
      <c r="A707">
        <f t="shared" ref="A707:A770" si="11">IF(SUM(D707,F707,H707,J707,L707,N707,P707,R707,T707,V707,X707,Z707,AB707,AD707)&gt;0,1,0)</f>
        <v>0</v>
      </c>
      <c r="B707">
        <f>IF(SUM(D707,F707,H707,J707,L707,N707,P707,R707,T707,V707,X707,Z707,AB707,AD707)&gt;0,SUM($A$2:A707),0)</f>
        <v>0</v>
      </c>
      <c r="C707">
        <f>samples!B244</f>
        <v>0</v>
      </c>
      <c r="D707">
        <f>IFERROR(SEARCH(search!$B$6,samples!B244,1),0)</f>
        <v>0</v>
      </c>
      <c r="E707" t="str">
        <f>IF(samples!C244=0,"",samples!C244)</f>
        <v/>
      </c>
      <c r="F707">
        <f>IFERROR(SEARCH(search!$B$6,samples!C244,1),0)</f>
        <v>0</v>
      </c>
      <c r="G707" t="str">
        <f>IF(samples!D244=0,"",samples!D244)</f>
        <v/>
      </c>
      <c r="H707">
        <f>IFERROR(SEARCH(search!$B$6,samples!D244,1),0)</f>
        <v>0</v>
      </c>
      <c r="I707" t="str">
        <f>IF(samples!E244=0,"",samples!E244)</f>
        <v/>
      </c>
      <c r="J707">
        <f>IFERROR(SEARCH(search!$B$6,samples!E244,1),0)</f>
        <v>0</v>
      </c>
      <c r="K707" t="str">
        <f>IF(samples!F244=0,"",samples!F244)</f>
        <v/>
      </c>
      <c r="L707">
        <f>IFERROR(SEARCH(search!$B$6,samples!F244,1),0)</f>
        <v>0</v>
      </c>
      <c r="M707" t="str">
        <f>IF(samples!G244=0,"",samples!G244)</f>
        <v/>
      </c>
      <c r="N707">
        <f>IFERROR(SEARCH(search!$B$6,samples!G244,1),0)</f>
        <v>0</v>
      </c>
      <c r="O707" t="str">
        <f>IF(samples!H244=0,"",samples!H244)</f>
        <v/>
      </c>
      <c r="P707">
        <f>IFERROR(SEARCH(search!$B$6,samples!H244,1),0)</f>
        <v>0</v>
      </c>
      <c r="Q707" t="str">
        <f>IF(samples!I244=0,"",samples!I244)</f>
        <v/>
      </c>
      <c r="R707">
        <f>IFERROR(SEARCH(search!$B$6,samples!I244,1),0)</f>
        <v>0</v>
      </c>
      <c r="S707" t="str">
        <f>IF(samples!J244=0,"",samples!J244)</f>
        <v/>
      </c>
      <c r="T707">
        <f>IFERROR(SEARCH(search!$B$6,samples!J244,1),0)</f>
        <v>0</v>
      </c>
      <c r="U707" t="str">
        <f>IF(samples!K244=0,"",samples!K244)</f>
        <v/>
      </c>
      <c r="V707">
        <f>IFERROR(SEARCH(search!$B$6,samples!K244,1),0)</f>
        <v>0</v>
      </c>
      <c r="W707" t="str">
        <f>IF(samples!L244=0,"",samples!L244)</f>
        <v/>
      </c>
      <c r="X707">
        <f>IFERROR(SEARCH(search!$B$6,samples!L244,1),0)</f>
        <v>0</v>
      </c>
      <c r="Y707" t="str">
        <f>IF(samples!M244=0,"",samples!M244)</f>
        <v/>
      </c>
      <c r="Z707">
        <f>IFERROR(SEARCH(search!$B$6,samples!M244,1),0)</f>
        <v>0</v>
      </c>
      <c r="AA707" t="str">
        <f>IF(samples!N244=0,"",samples!N244)</f>
        <v/>
      </c>
      <c r="AB707">
        <f>IFERROR(SEARCH(search!$B$6,samples!N244,1),0)</f>
        <v>0</v>
      </c>
      <c r="AC707" t="str">
        <f>IF(samples!O244=0,"",samples!O244)</f>
        <v/>
      </c>
      <c r="AD707">
        <f>IFERROR(SEARCH(search!$B$6,samples!O244,1),0)</f>
        <v>0</v>
      </c>
    </row>
    <row r="708" spans="1:30">
      <c r="A708">
        <f t="shared" si="11"/>
        <v>0</v>
      </c>
      <c r="B708">
        <f>IF(SUM(D708,F708,H708,J708,L708,N708,P708,R708,T708,V708,X708,Z708,AB708,AD708)&gt;0,SUM($A$2:A708),0)</f>
        <v>0</v>
      </c>
      <c r="C708">
        <f>samples!B245</f>
        <v>0</v>
      </c>
      <c r="D708">
        <f>IFERROR(SEARCH(search!$B$6,samples!B245,1),0)</f>
        <v>0</v>
      </c>
      <c r="E708" t="str">
        <f>IF(samples!C245=0,"",samples!C245)</f>
        <v/>
      </c>
      <c r="F708">
        <f>IFERROR(SEARCH(search!$B$6,samples!C245,1),0)</f>
        <v>0</v>
      </c>
      <c r="G708" t="str">
        <f>IF(samples!D245=0,"",samples!D245)</f>
        <v/>
      </c>
      <c r="H708">
        <f>IFERROR(SEARCH(search!$B$6,samples!D245,1),0)</f>
        <v>0</v>
      </c>
      <c r="I708" t="str">
        <f>IF(samples!E245=0,"",samples!E245)</f>
        <v/>
      </c>
      <c r="J708">
        <f>IFERROR(SEARCH(search!$B$6,samples!E245,1),0)</f>
        <v>0</v>
      </c>
      <c r="K708" t="str">
        <f>IF(samples!F245=0,"",samples!F245)</f>
        <v/>
      </c>
      <c r="L708">
        <f>IFERROR(SEARCH(search!$B$6,samples!F245,1),0)</f>
        <v>0</v>
      </c>
      <c r="M708" t="str">
        <f>IF(samples!G245=0,"",samples!G245)</f>
        <v/>
      </c>
      <c r="N708">
        <f>IFERROR(SEARCH(search!$B$6,samples!G245,1),0)</f>
        <v>0</v>
      </c>
      <c r="O708" t="str">
        <f>IF(samples!H245=0,"",samples!H245)</f>
        <v/>
      </c>
      <c r="P708">
        <f>IFERROR(SEARCH(search!$B$6,samples!H245,1),0)</f>
        <v>0</v>
      </c>
      <c r="Q708" t="str">
        <f>IF(samples!I245=0,"",samples!I245)</f>
        <v/>
      </c>
      <c r="R708">
        <f>IFERROR(SEARCH(search!$B$6,samples!I245,1),0)</f>
        <v>0</v>
      </c>
      <c r="S708" t="str">
        <f>IF(samples!J245=0,"",samples!J245)</f>
        <v/>
      </c>
      <c r="T708">
        <f>IFERROR(SEARCH(search!$B$6,samples!J245,1),0)</f>
        <v>0</v>
      </c>
      <c r="U708" t="str">
        <f>IF(samples!K245=0,"",samples!K245)</f>
        <v/>
      </c>
      <c r="V708">
        <f>IFERROR(SEARCH(search!$B$6,samples!K245,1),0)</f>
        <v>0</v>
      </c>
      <c r="W708" t="str">
        <f>IF(samples!L245=0,"",samples!L245)</f>
        <v/>
      </c>
      <c r="X708">
        <f>IFERROR(SEARCH(search!$B$6,samples!L245,1),0)</f>
        <v>0</v>
      </c>
      <c r="Y708" t="str">
        <f>IF(samples!M245=0,"",samples!M245)</f>
        <v/>
      </c>
      <c r="Z708">
        <f>IFERROR(SEARCH(search!$B$6,samples!M245,1),0)</f>
        <v>0</v>
      </c>
      <c r="AA708" t="str">
        <f>IF(samples!N245=0,"",samples!N245)</f>
        <v/>
      </c>
      <c r="AB708">
        <f>IFERROR(SEARCH(search!$B$6,samples!N245,1),0)</f>
        <v>0</v>
      </c>
      <c r="AC708" t="str">
        <f>IF(samples!O245=0,"",samples!O245)</f>
        <v/>
      </c>
      <c r="AD708">
        <f>IFERROR(SEARCH(search!$B$6,samples!O245,1),0)</f>
        <v>0</v>
      </c>
    </row>
    <row r="709" spans="1:30">
      <c r="A709">
        <f t="shared" si="11"/>
        <v>0</v>
      </c>
      <c r="B709">
        <f>IF(SUM(D709,F709,H709,J709,L709,N709,P709,R709,T709,V709,X709,Z709,AB709,AD709)&gt;0,SUM($A$2:A709),0)</f>
        <v>0</v>
      </c>
      <c r="C709">
        <f>samples!B246</f>
        <v>0</v>
      </c>
      <c r="D709">
        <f>IFERROR(SEARCH(search!$B$6,samples!B246,1),0)</f>
        <v>0</v>
      </c>
      <c r="E709" t="str">
        <f>IF(samples!C246=0,"",samples!C246)</f>
        <v/>
      </c>
      <c r="F709">
        <f>IFERROR(SEARCH(search!$B$6,samples!C246,1),0)</f>
        <v>0</v>
      </c>
      <c r="G709" t="str">
        <f>IF(samples!D246=0,"",samples!D246)</f>
        <v/>
      </c>
      <c r="H709">
        <f>IFERROR(SEARCH(search!$B$6,samples!D246,1),0)</f>
        <v>0</v>
      </c>
      <c r="I709" t="str">
        <f>IF(samples!E246=0,"",samples!E246)</f>
        <v/>
      </c>
      <c r="J709">
        <f>IFERROR(SEARCH(search!$B$6,samples!E246,1),0)</f>
        <v>0</v>
      </c>
      <c r="K709" t="str">
        <f>IF(samples!F246=0,"",samples!F246)</f>
        <v/>
      </c>
      <c r="L709">
        <f>IFERROR(SEARCH(search!$B$6,samples!F246,1),0)</f>
        <v>0</v>
      </c>
      <c r="M709" t="str">
        <f>IF(samples!G246=0,"",samples!G246)</f>
        <v/>
      </c>
      <c r="N709">
        <f>IFERROR(SEARCH(search!$B$6,samples!G246,1),0)</f>
        <v>0</v>
      </c>
      <c r="O709" t="str">
        <f>IF(samples!H246=0,"",samples!H246)</f>
        <v/>
      </c>
      <c r="P709">
        <f>IFERROR(SEARCH(search!$B$6,samples!H246,1),0)</f>
        <v>0</v>
      </c>
      <c r="Q709" t="str">
        <f>IF(samples!I246=0,"",samples!I246)</f>
        <v/>
      </c>
      <c r="R709">
        <f>IFERROR(SEARCH(search!$B$6,samples!I246,1),0)</f>
        <v>0</v>
      </c>
      <c r="S709" t="str">
        <f>IF(samples!J246=0,"",samples!J246)</f>
        <v/>
      </c>
      <c r="T709">
        <f>IFERROR(SEARCH(search!$B$6,samples!J246,1),0)</f>
        <v>0</v>
      </c>
      <c r="U709" t="str">
        <f>IF(samples!K246=0,"",samples!K246)</f>
        <v/>
      </c>
      <c r="V709">
        <f>IFERROR(SEARCH(search!$B$6,samples!K246,1),0)</f>
        <v>0</v>
      </c>
      <c r="W709" t="str">
        <f>IF(samples!L246=0,"",samples!L246)</f>
        <v/>
      </c>
      <c r="X709">
        <f>IFERROR(SEARCH(search!$B$6,samples!L246,1),0)</f>
        <v>0</v>
      </c>
      <c r="Y709" t="str">
        <f>IF(samples!M246=0,"",samples!M246)</f>
        <v/>
      </c>
      <c r="Z709">
        <f>IFERROR(SEARCH(search!$B$6,samples!M246,1),0)</f>
        <v>0</v>
      </c>
      <c r="AA709" t="str">
        <f>IF(samples!N246=0,"",samples!N246)</f>
        <v/>
      </c>
      <c r="AB709">
        <f>IFERROR(SEARCH(search!$B$6,samples!N246,1),0)</f>
        <v>0</v>
      </c>
      <c r="AC709" t="str">
        <f>IF(samples!O246=0,"",samples!O246)</f>
        <v/>
      </c>
      <c r="AD709">
        <f>IFERROR(SEARCH(search!$B$6,samples!O246,1),0)</f>
        <v>0</v>
      </c>
    </row>
    <row r="710" spans="1:30">
      <c r="A710">
        <f t="shared" si="11"/>
        <v>0</v>
      </c>
      <c r="B710">
        <f>IF(SUM(D710,F710,H710,J710,L710,N710,P710,R710,T710,V710,X710,Z710,AB710,AD710)&gt;0,SUM($A$2:A710),0)</f>
        <v>0</v>
      </c>
      <c r="C710">
        <f>samples!B247</f>
        <v>0</v>
      </c>
      <c r="D710">
        <f>IFERROR(SEARCH(search!$B$6,samples!B247,1),0)</f>
        <v>0</v>
      </c>
      <c r="E710" t="str">
        <f>IF(samples!C247=0,"",samples!C247)</f>
        <v/>
      </c>
      <c r="F710">
        <f>IFERROR(SEARCH(search!$B$6,samples!C247,1),0)</f>
        <v>0</v>
      </c>
      <c r="G710" t="str">
        <f>IF(samples!D247=0,"",samples!D247)</f>
        <v/>
      </c>
      <c r="H710">
        <f>IFERROR(SEARCH(search!$B$6,samples!D247,1),0)</f>
        <v>0</v>
      </c>
      <c r="I710" t="str">
        <f>IF(samples!E247=0,"",samples!E247)</f>
        <v/>
      </c>
      <c r="J710">
        <f>IFERROR(SEARCH(search!$B$6,samples!E247,1),0)</f>
        <v>0</v>
      </c>
      <c r="K710" t="str">
        <f>IF(samples!F247=0,"",samples!F247)</f>
        <v/>
      </c>
      <c r="L710">
        <f>IFERROR(SEARCH(search!$B$6,samples!F247,1),0)</f>
        <v>0</v>
      </c>
      <c r="M710" t="str">
        <f>IF(samples!G247=0,"",samples!G247)</f>
        <v/>
      </c>
      <c r="N710">
        <f>IFERROR(SEARCH(search!$B$6,samples!G247,1),0)</f>
        <v>0</v>
      </c>
      <c r="O710" t="str">
        <f>IF(samples!H247=0,"",samples!H247)</f>
        <v/>
      </c>
      <c r="P710">
        <f>IFERROR(SEARCH(search!$B$6,samples!H247,1),0)</f>
        <v>0</v>
      </c>
      <c r="Q710" t="str">
        <f>IF(samples!I247=0,"",samples!I247)</f>
        <v/>
      </c>
      <c r="R710">
        <f>IFERROR(SEARCH(search!$B$6,samples!I247,1),0)</f>
        <v>0</v>
      </c>
      <c r="S710" t="str">
        <f>IF(samples!J247=0,"",samples!J247)</f>
        <v/>
      </c>
      <c r="T710">
        <f>IFERROR(SEARCH(search!$B$6,samples!J247,1),0)</f>
        <v>0</v>
      </c>
      <c r="U710" t="str">
        <f>IF(samples!K247=0,"",samples!K247)</f>
        <v/>
      </c>
      <c r="V710">
        <f>IFERROR(SEARCH(search!$B$6,samples!K247,1),0)</f>
        <v>0</v>
      </c>
      <c r="W710" t="str">
        <f>IF(samples!L247=0,"",samples!L247)</f>
        <v/>
      </c>
      <c r="X710">
        <f>IFERROR(SEARCH(search!$B$6,samples!L247,1),0)</f>
        <v>0</v>
      </c>
      <c r="Y710" t="str">
        <f>IF(samples!M247=0,"",samples!M247)</f>
        <v/>
      </c>
      <c r="Z710">
        <f>IFERROR(SEARCH(search!$B$6,samples!M247,1),0)</f>
        <v>0</v>
      </c>
      <c r="AA710" t="str">
        <f>IF(samples!N247=0,"",samples!N247)</f>
        <v/>
      </c>
      <c r="AB710">
        <f>IFERROR(SEARCH(search!$B$6,samples!N247,1),0)</f>
        <v>0</v>
      </c>
      <c r="AC710" t="str">
        <f>IF(samples!O247=0,"",samples!O247)</f>
        <v/>
      </c>
      <c r="AD710">
        <f>IFERROR(SEARCH(search!$B$6,samples!O247,1),0)</f>
        <v>0</v>
      </c>
    </row>
    <row r="711" spans="1:30">
      <c r="A711">
        <f t="shared" si="11"/>
        <v>0</v>
      </c>
      <c r="B711">
        <f>IF(SUM(D711,F711,H711,J711,L711,N711,P711,R711,T711,V711,X711,Z711,AB711,AD711)&gt;0,SUM($A$2:A711),0)</f>
        <v>0</v>
      </c>
      <c r="C711">
        <f>samples!B248</f>
        <v>0</v>
      </c>
      <c r="D711">
        <f>IFERROR(SEARCH(search!$B$6,samples!B248,1),0)</f>
        <v>0</v>
      </c>
      <c r="E711" t="str">
        <f>IF(samples!C248=0,"",samples!C248)</f>
        <v/>
      </c>
      <c r="F711">
        <f>IFERROR(SEARCH(search!$B$6,samples!C248,1),0)</f>
        <v>0</v>
      </c>
      <c r="G711" t="str">
        <f>IF(samples!D248=0,"",samples!D248)</f>
        <v/>
      </c>
      <c r="H711">
        <f>IFERROR(SEARCH(search!$B$6,samples!D248,1),0)</f>
        <v>0</v>
      </c>
      <c r="I711" t="str">
        <f>IF(samples!E248=0,"",samples!E248)</f>
        <v/>
      </c>
      <c r="J711">
        <f>IFERROR(SEARCH(search!$B$6,samples!E248,1),0)</f>
        <v>0</v>
      </c>
      <c r="K711" t="str">
        <f>IF(samples!F248=0,"",samples!F248)</f>
        <v/>
      </c>
      <c r="L711">
        <f>IFERROR(SEARCH(search!$B$6,samples!F248,1),0)</f>
        <v>0</v>
      </c>
      <c r="M711" t="str">
        <f>IF(samples!G248=0,"",samples!G248)</f>
        <v/>
      </c>
      <c r="N711">
        <f>IFERROR(SEARCH(search!$B$6,samples!G248,1),0)</f>
        <v>0</v>
      </c>
      <c r="O711" t="str">
        <f>IF(samples!H248=0,"",samples!H248)</f>
        <v/>
      </c>
      <c r="P711">
        <f>IFERROR(SEARCH(search!$B$6,samples!H248,1),0)</f>
        <v>0</v>
      </c>
      <c r="Q711" t="str">
        <f>IF(samples!I248=0,"",samples!I248)</f>
        <v/>
      </c>
      <c r="R711">
        <f>IFERROR(SEARCH(search!$B$6,samples!I248,1),0)</f>
        <v>0</v>
      </c>
      <c r="S711" t="str">
        <f>IF(samples!J248=0,"",samples!J248)</f>
        <v/>
      </c>
      <c r="T711">
        <f>IFERROR(SEARCH(search!$B$6,samples!J248,1),0)</f>
        <v>0</v>
      </c>
      <c r="U711" t="str">
        <f>IF(samples!K248=0,"",samples!K248)</f>
        <v/>
      </c>
      <c r="V711">
        <f>IFERROR(SEARCH(search!$B$6,samples!K248,1),0)</f>
        <v>0</v>
      </c>
      <c r="W711" t="str">
        <f>IF(samples!L248=0,"",samples!L248)</f>
        <v/>
      </c>
      <c r="X711">
        <f>IFERROR(SEARCH(search!$B$6,samples!L248,1),0)</f>
        <v>0</v>
      </c>
      <c r="Y711" t="str">
        <f>IF(samples!M248=0,"",samples!M248)</f>
        <v/>
      </c>
      <c r="Z711">
        <f>IFERROR(SEARCH(search!$B$6,samples!M248,1),0)</f>
        <v>0</v>
      </c>
      <c r="AA711" t="str">
        <f>IF(samples!N248=0,"",samples!N248)</f>
        <v/>
      </c>
      <c r="AB711">
        <f>IFERROR(SEARCH(search!$B$6,samples!N248,1),0)</f>
        <v>0</v>
      </c>
      <c r="AC711" t="str">
        <f>IF(samples!O248=0,"",samples!O248)</f>
        <v/>
      </c>
      <c r="AD711">
        <f>IFERROR(SEARCH(search!$B$6,samples!O248,1),0)</f>
        <v>0</v>
      </c>
    </row>
    <row r="712" spans="1:30">
      <c r="A712">
        <f t="shared" si="11"/>
        <v>0</v>
      </c>
      <c r="B712">
        <f>IF(SUM(D712,F712,H712,J712,L712,N712,P712,R712,T712,V712,X712,Z712,AB712,AD712)&gt;0,SUM($A$2:A712),0)</f>
        <v>0</v>
      </c>
      <c r="C712">
        <f>samples!B249</f>
        <v>0</v>
      </c>
      <c r="D712">
        <f>IFERROR(SEARCH(search!$B$6,samples!B249,1),0)</f>
        <v>0</v>
      </c>
      <c r="E712" t="str">
        <f>IF(samples!C249=0,"",samples!C249)</f>
        <v/>
      </c>
      <c r="F712">
        <f>IFERROR(SEARCH(search!$B$6,samples!C249,1),0)</f>
        <v>0</v>
      </c>
      <c r="G712" t="str">
        <f>IF(samples!D249=0,"",samples!D249)</f>
        <v/>
      </c>
      <c r="H712">
        <f>IFERROR(SEARCH(search!$B$6,samples!D249,1),0)</f>
        <v>0</v>
      </c>
      <c r="I712" t="str">
        <f>IF(samples!E249=0,"",samples!E249)</f>
        <v/>
      </c>
      <c r="J712">
        <f>IFERROR(SEARCH(search!$B$6,samples!E249,1),0)</f>
        <v>0</v>
      </c>
      <c r="K712" t="str">
        <f>IF(samples!F249=0,"",samples!F249)</f>
        <v/>
      </c>
      <c r="L712">
        <f>IFERROR(SEARCH(search!$B$6,samples!F249,1),0)</f>
        <v>0</v>
      </c>
      <c r="M712" t="str">
        <f>IF(samples!G249=0,"",samples!G249)</f>
        <v/>
      </c>
      <c r="N712">
        <f>IFERROR(SEARCH(search!$B$6,samples!G249,1),0)</f>
        <v>0</v>
      </c>
      <c r="O712" t="str">
        <f>IF(samples!H249=0,"",samples!H249)</f>
        <v/>
      </c>
      <c r="P712">
        <f>IFERROR(SEARCH(search!$B$6,samples!H249,1),0)</f>
        <v>0</v>
      </c>
      <c r="Q712" t="str">
        <f>IF(samples!I249=0,"",samples!I249)</f>
        <v/>
      </c>
      <c r="R712">
        <f>IFERROR(SEARCH(search!$B$6,samples!I249,1),0)</f>
        <v>0</v>
      </c>
      <c r="S712" t="str">
        <f>IF(samples!J249=0,"",samples!J249)</f>
        <v/>
      </c>
      <c r="T712">
        <f>IFERROR(SEARCH(search!$B$6,samples!J249,1),0)</f>
        <v>0</v>
      </c>
      <c r="U712" t="str">
        <f>IF(samples!K249=0,"",samples!K249)</f>
        <v/>
      </c>
      <c r="V712">
        <f>IFERROR(SEARCH(search!$B$6,samples!K249,1),0)</f>
        <v>0</v>
      </c>
      <c r="W712" t="str">
        <f>IF(samples!L249=0,"",samples!L249)</f>
        <v/>
      </c>
      <c r="X712">
        <f>IFERROR(SEARCH(search!$B$6,samples!L249,1),0)</f>
        <v>0</v>
      </c>
      <c r="Y712" t="str">
        <f>IF(samples!M249=0,"",samples!M249)</f>
        <v/>
      </c>
      <c r="Z712">
        <f>IFERROR(SEARCH(search!$B$6,samples!M249,1),0)</f>
        <v>0</v>
      </c>
      <c r="AA712" t="str">
        <f>IF(samples!N249=0,"",samples!N249)</f>
        <v/>
      </c>
      <c r="AB712">
        <f>IFERROR(SEARCH(search!$B$6,samples!N249,1),0)</f>
        <v>0</v>
      </c>
      <c r="AC712" t="str">
        <f>IF(samples!O249=0,"",samples!O249)</f>
        <v/>
      </c>
      <c r="AD712">
        <f>IFERROR(SEARCH(search!$B$6,samples!O249,1),0)</f>
        <v>0</v>
      </c>
    </row>
    <row r="713" spans="1:30">
      <c r="A713">
        <f t="shared" si="11"/>
        <v>0</v>
      </c>
      <c r="B713">
        <f>IF(SUM(D713,F713,H713,J713,L713,N713,P713,R713,T713,V713,X713,Z713,AB713,AD713)&gt;0,SUM($A$2:A713),0)</f>
        <v>0</v>
      </c>
      <c r="C713">
        <f>samples!B250</f>
        <v>0</v>
      </c>
      <c r="D713">
        <f>IFERROR(SEARCH(search!$B$6,samples!B250,1),0)</f>
        <v>0</v>
      </c>
      <c r="E713" t="str">
        <f>IF(samples!C250=0,"",samples!C250)</f>
        <v/>
      </c>
      <c r="F713">
        <f>IFERROR(SEARCH(search!$B$6,samples!C250,1),0)</f>
        <v>0</v>
      </c>
      <c r="G713" t="str">
        <f>IF(samples!D250=0,"",samples!D250)</f>
        <v/>
      </c>
      <c r="H713">
        <f>IFERROR(SEARCH(search!$B$6,samples!D250,1),0)</f>
        <v>0</v>
      </c>
      <c r="I713" t="str">
        <f>IF(samples!E250=0,"",samples!E250)</f>
        <v/>
      </c>
      <c r="J713">
        <f>IFERROR(SEARCH(search!$B$6,samples!E250,1),0)</f>
        <v>0</v>
      </c>
      <c r="K713" t="str">
        <f>IF(samples!F250=0,"",samples!F250)</f>
        <v/>
      </c>
      <c r="L713">
        <f>IFERROR(SEARCH(search!$B$6,samples!F250,1),0)</f>
        <v>0</v>
      </c>
      <c r="M713" t="str">
        <f>IF(samples!G250=0,"",samples!G250)</f>
        <v/>
      </c>
      <c r="N713">
        <f>IFERROR(SEARCH(search!$B$6,samples!G250,1),0)</f>
        <v>0</v>
      </c>
      <c r="O713" t="str">
        <f>IF(samples!H250=0,"",samples!H250)</f>
        <v/>
      </c>
      <c r="P713">
        <f>IFERROR(SEARCH(search!$B$6,samples!H250,1),0)</f>
        <v>0</v>
      </c>
      <c r="Q713" t="str">
        <f>IF(samples!I250=0,"",samples!I250)</f>
        <v/>
      </c>
      <c r="R713">
        <f>IFERROR(SEARCH(search!$B$6,samples!I250,1),0)</f>
        <v>0</v>
      </c>
      <c r="S713" t="str">
        <f>IF(samples!J250=0,"",samples!J250)</f>
        <v/>
      </c>
      <c r="T713">
        <f>IFERROR(SEARCH(search!$B$6,samples!J250,1),0)</f>
        <v>0</v>
      </c>
      <c r="U713" t="str">
        <f>IF(samples!K250=0,"",samples!K250)</f>
        <v/>
      </c>
      <c r="V713">
        <f>IFERROR(SEARCH(search!$B$6,samples!K250,1),0)</f>
        <v>0</v>
      </c>
      <c r="W713" t="str">
        <f>IF(samples!L250=0,"",samples!L250)</f>
        <v/>
      </c>
      <c r="X713">
        <f>IFERROR(SEARCH(search!$B$6,samples!L250,1),0)</f>
        <v>0</v>
      </c>
      <c r="Y713" t="str">
        <f>IF(samples!M250=0,"",samples!M250)</f>
        <v/>
      </c>
      <c r="Z713">
        <f>IFERROR(SEARCH(search!$B$6,samples!M250,1),0)</f>
        <v>0</v>
      </c>
      <c r="AA713" t="str">
        <f>IF(samples!N250=0,"",samples!N250)</f>
        <v/>
      </c>
      <c r="AB713">
        <f>IFERROR(SEARCH(search!$B$6,samples!N250,1),0)</f>
        <v>0</v>
      </c>
      <c r="AC713" t="str">
        <f>IF(samples!O250=0,"",samples!O250)</f>
        <v/>
      </c>
      <c r="AD713">
        <f>IFERROR(SEARCH(search!$B$6,samples!O250,1),0)</f>
        <v>0</v>
      </c>
    </row>
    <row r="714" spans="1:30">
      <c r="A714">
        <f t="shared" si="11"/>
        <v>0</v>
      </c>
      <c r="B714">
        <f>IF(SUM(D714,F714,H714,J714,L714,N714,P714,R714,T714,V714,X714,Z714,AB714,AD714)&gt;0,SUM($A$2:A714),0)</f>
        <v>0</v>
      </c>
      <c r="C714">
        <f>samples!B251</f>
        <v>0</v>
      </c>
      <c r="D714">
        <f>IFERROR(SEARCH(search!$B$6,samples!B251,1),0)</f>
        <v>0</v>
      </c>
      <c r="E714" t="str">
        <f>IF(samples!C251=0,"",samples!C251)</f>
        <v/>
      </c>
      <c r="F714">
        <f>IFERROR(SEARCH(search!$B$6,samples!C251,1),0)</f>
        <v>0</v>
      </c>
      <c r="G714" t="str">
        <f>IF(samples!D251=0,"",samples!D251)</f>
        <v/>
      </c>
      <c r="H714">
        <f>IFERROR(SEARCH(search!$B$6,samples!D251,1),0)</f>
        <v>0</v>
      </c>
      <c r="I714" t="str">
        <f>IF(samples!E251=0,"",samples!E251)</f>
        <v/>
      </c>
      <c r="J714">
        <f>IFERROR(SEARCH(search!$B$6,samples!E251,1),0)</f>
        <v>0</v>
      </c>
      <c r="K714" t="str">
        <f>IF(samples!F251=0,"",samples!F251)</f>
        <v/>
      </c>
      <c r="L714">
        <f>IFERROR(SEARCH(search!$B$6,samples!F251,1),0)</f>
        <v>0</v>
      </c>
      <c r="M714" t="str">
        <f>IF(samples!G251=0,"",samples!G251)</f>
        <v/>
      </c>
      <c r="N714">
        <f>IFERROR(SEARCH(search!$B$6,samples!G251,1),0)</f>
        <v>0</v>
      </c>
      <c r="O714" t="str">
        <f>IF(samples!H251=0,"",samples!H251)</f>
        <v/>
      </c>
      <c r="P714">
        <f>IFERROR(SEARCH(search!$B$6,samples!H251,1),0)</f>
        <v>0</v>
      </c>
      <c r="Q714" t="str">
        <f>IF(samples!I251=0,"",samples!I251)</f>
        <v/>
      </c>
      <c r="R714">
        <f>IFERROR(SEARCH(search!$B$6,samples!I251,1),0)</f>
        <v>0</v>
      </c>
      <c r="S714" t="str">
        <f>IF(samples!J251=0,"",samples!J251)</f>
        <v/>
      </c>
      <c r="T714">
        <f>IFERROR(SEARCH(search!$B$6,samples!J251,1),0)</f>
        <v>0</v>
      </c>
      <c r="U714" t="str">
        <f>IF(samples!K251=0,"",samples!K251)</f>
        <v/>
      </c>
      <c r="V714">
        <f>IFERROR(SEARCH(search!$B$6,samples!K251,1),0)</f>
        <v>0</v>
      </c>
      <c r="W714" t="str">
        <f>IF(samples!L251=0,"",samples!L251)</f>
        <v/>
      </c>
      <c r="X714">
        <f>IFERROR(SEARCH(search!$B$6,samples!L251,1),0)</f>
        <v>0</v>
      </c>
      <c r="Y714" t="str">
        <f>IF(samples!M251=0,"",samples!M251)</f>
        <v/>
      </c>
      <c r="Z714">
        <f>IFERROR(SEARCH(search!$B$6,samples!M251,1),0)</f>
        <v>0</v>
      </c>
      <c r="AA714" t="str">
        <f>IF(samples!N251=0,"",samples!N251)</f>
        <v/>
      </c>
      <c r="AB714">
        <f>IFERROR(SEARCH(search!$B$6,samples!N251,1),0)</f>
        <v>0</v>
      </c>
      <c r="AC714" t="str">
        <f>IF(samples!O251=0,"",samples!O251)</f>
        <v/>
      </c>
      <c r="AD714">
        <f>IFERROR(SEARCH(search!$B$6,samples!O251,1),0)</f>
        <v>0</v>
      </c>
    </row>
    <row r="715" spans="1:30">
      <c r="A715">
        <f t="shared" si="11"/>
        <v>0</v>
      </c>
      <c r="B715">
        <f>IF(SUM(D715,F715,H715,J715,L715,N715,P715,R715,T715,V715,X715,Z715,AB715,AD715)&gt;0,SUM($A$2:A715),0)</f>
        <v>0</v>
      </c>
      <c r="C715">
        <f>samples!B252</f>
        <v>0</v>
      </c>
      <c r="D715">
        <f>IFERROR(SEARCH(search!$B$6,samples!B252,1),0)</f>
        <v>0</v>
      </c>
      <c r="E715" t="str">
        <f>IF(samples!C252=0,"",samples!C252)</f>
        <v/>
      </c>
      <c r="F715">
        <f>IFERROR(SEARCH(search!$B$6,samples!C252,1),0)</f>
        <v>0</v>
      </c>
      <c r="G715" t="str">
        <f>IF(samples!D252=0,"",samples!D252)</f>
        <v/>
      </c>
      <c r="H715">
        <f>IFERROR(SEARCH(search!$B$6,samples!D252,1),0)</f>
        <v>0</v>
      </c>
      <c r="I715" t="str">
        <f>IF(samples!E252=0,"",samples!E252)</f>
        <v/>
      </c>
      <c r="J715">
        <f>IFERROR(SEARCH(search!$B$6,samples!E252,1),0)</f>
        <v>0</v>
      </c>
      <c r="K715" t="str">
        <f>IF(samples!F252=0,"",samples!F252)</f>
        <v/>
      </c>
      <c r="L715">
        <f>IFERROR(SEARCH(search!$B$6,samples!F252,1),0)</f>
        <v>0</v>
      </c>
      <c r="M715" t="str">
        <f>IF(samples!G252=0,"",samples!G252)</f>
        <v/>
      </c>
      <c r="N715">
        <f>IFERROR(SEARCH(search!$B$6,samples!G252,1),0)</f>
        <v>0</v>
      </c>
      <c r="O715" t="str">
        <f>IF(samples!H252=0,"",samples!H252)</f>
        <v/>
      </c>
      <c r="P715">
        <f>IFERROR(SEARCH(search!$B$6,samples!H252,1),0)</f>
        <v>0</v>
      </c>
      <c r="Q715" t="str">
        <f>IF(samples!I252=0,"",samples!I252)</f>
        <v/>
      </c>
      <c r="R715">
        <f>IFERROR(SEARCH(search!$B$6,samples!I252,1),0)</f>
        <v>0</v>
      </c>
      <c r="S715" t="str">
        <f>IF(samples!J252=0,"",samples!J252)</f>
        <v/>
      </c>
      <c r="T715">
        <f>IFERROR(SEARCH(search!$B$6,samples!J252,1),0)</f>
        <v>0</v>
      </c>
      <c r="U715" t="str">
        <f>IF(samples!K252=0,"",samples!K252)</f>
        <v/>
      </c>
      <c r="V715">
        <f>IFERROR(SEARCH(search!$B$6,samples!K252,1),0)</f>
        <v>0</v>
      </c>
      <c r="W715" t="str">
        <f>IF(samples!L252=0,"",samples!L252)</f>
        <v/>
      </c>
      <c r="X715">
        <f>IFERROR(SEARCH(search!$B$6,samples!L252,1),0)</f>
        <v>0</v>
      </c>
      <c r="Y715" t="str">
        <f>IF(samples!M252=0,"",samples!M252)</f>
        <v/>
      </c>
      <c r="Z715">
        <f>IFERROR(SEARCH(search!$B$6,samples!M252,1),0)</f>
        <v>0</v>
      </c>
      <c r="AA715" t="str">
        <f>IF(samples!N252=0,"",samples!N252)</f>
        <v/>
      </c>
      <c r="AB715">
        <f>IFERROR(SEARCH(search!$B$6,samples!N252,1),0)</f>
        <v>0</v>
      </c>
      <c r="AC715" t="str">
        <f>IF(samples!O252=0,"",samples!O252)</f>
        <v/>
      </c>
      <c r="AD715">
        <f>IFERROR(SEARCH(search!$B$6,samples!O252,1),0)</f>
        <v>0</v>
      </c>
    </row>
    <row r="716" spans="1:30">
      <c r="A716">
        <f t="shared" si="11"/>
        <v>0</v>
      </c>
      <c r="B716">
        <f>IF(SUM(D716,F716,H716,J716,L716,N716,P716,R716,T716,V716,X716,Z716,AB716,AD716)&gt;0,SUM($A$2:A716),0)</f>
        <v>0</v>
      </c>
      <c r="C716">
        <f>samples!B253</f>
        <v>0</v>
      </c>
      <c r="D716">
        <f>IFERROR(SEARCH(search!$B$6,samples!B253,1),0)</f>
        <v>0</v>
      </c>
      <c r="E716" t="str">
        <f>IF(samples!C253=0,"",samples!C253)</f>
        <v/>
      </c>
      <c r="F716">
        <f>IFERROR(SEARCH(search!$B$6,samples!C253,1),0)</f>
        <v>0</v>
      </c>
      <c r="G716" t="str">
        <f>IF(samples!D253=0,"",samples!D253)</f>
        <v/>
      </c>
      <c r="H716">
        <f>IFERROR(SEARCH(search!$B$6,samples!D253,1),0)</f>
        <v>0</v>
      </c>
      <c r="I716" t="str">
        <f>IF(samples!E253=0,"",samples!E253)</f>
        <v/>
      </c>
      <c r="J716">
        <f>IFERROR(SEARCH(search!$B$6,samples!E253,1),0)</f>
        <v>0</v>
      </c>
      <c r="K716" t="str">
        <f>IF(samples!F253=0,"",samples!F253)</f>
        <v/>
      </c>
      <c r="L716">
        <f>IFERROR(SEARCH(search!$B$6,samples!F253,1),0)</f>
        <v>0</v>
      </c>
      <c r="M716" t="str">
        <f>IF(samples!G253=0,"",samples!G253)</f>
        <v/>
      </c>
      <c r="N716">
        <f>IFERROR(SEARCH(search!$B$6,samples!G253,1),0)</f>
        <v>0</v>
      </c>
      <c r="O716" t="str">
        <f>IF(samples!H253=0,"",samples!H253)</f>
        <v/>
      </c>
      <c r="P716">
        <f>IFERROR(SEARCH(search!$B$6,samples!H253,1),0)</f>
        <v>0</v>
      </c>
      <c r="Q716" t="str">
        <f>IF(samples!I253=0,"",samples!I253)</f>
        <v/>
      </c>
      <c r="R716">
        <f>IFERROR(SEARCH(search!$B$6,samples!I253,1),0)</f>
        <v>0</v>
      </c>
      <c r="S716" t="str">
        <f>IF(samples!J253=0,"",samples!J253)</f>
        <v/>
      </c>
      <c r="T716">
        <f>IFERROR(SEARCH(search!$B$6,samples!J253,1),0)</f>
        <v>0</v>
      </c>
      <c r="U716" t="str">
        <f>IF(samples!K253=0,"",samples!K253)</f>
        <v/>
      </c>
      <c r="V716">
        <f>IFERROR(SEARCH(search!$B$6,samples!K253,1),0)</f>
        <v>0</v>
      </c>
      <c r="W716" t="str">
        <f>IF(samples!L253=0,"",samples!L253)</f>
        <v/>
      </c>
      <c r="X716">
        <f>IFERROR(SEARCH(search!$B$6,samples!L253,1),0)</f>
        <v>0</v>
      </c>
      <c r="Y716" t="str">
        <f>IF(samples!M253=0,"",samples!M253)</f>
        <v/>
      </c>
      <c r="Z716">
        <f>IFERROR(SEARCH(search!$B$6,samples!M253,1),0)</f>
        <v>0</v>
      </c>
      <c r="AA716" t="str">
        <f>IF(samples!N253=0,"",samples!N253)</f>
        <v/>
      </c>
      <c r="AB716">
        <f>IFERROR(SEARCH(search!$B$6,samples!N253,1),0)</f>
        <v>0</v>
      </c>
      <c r="AC716" t="str">
        <f>IF(samples!O253=0,"",samples!O253)</f>
        <v/>
      </c>
      <c r="AD716">
        <f>IFERROR(SEARCH(search!$B$6,samples!O253,1),0)</f>
        <v>0</v>
      </c>
    </row>
    <row r="717" spans="1:30">
      <c r="A717">
        <f t="shared" si="11"/>
        <v>0</v>
      </c>
      <c r="B717">
        <f>IF(SUM(D717,F717,H717,J717,L717,N717,P717,R717,T717,V717,X717,Z717,AB717,AD717)&gt;0,SUM($A$2:A717),0)</f>
        <v>0</v>
      </c>
      <c r="C717">
        <f>samples!B254</f>
        <v>0</v>
      </c>
      <c r="D717">
        <f>IFERROR(SEARCH(search!$B$6,samples!B254,1),0)</f>
        <v>0</v>
      </c>
      <c r="E717" t="str">
        <f>IF(samples!C254=0,"",samples!C254)</f>
        <v/>
      </c>
      <c r="F717">
        <f>IFERROR(SEARCH(search!$B$6,samples!C254,1),0)</f>
        <v>0</v>
      </c>
      <c r="G717" t="str">
        <f>IF(samples!D254=0,"",samples!D254)</f>
        <v/>
      </c>
      <c r="H717">
        <f>IFERROR(SEARCH(search!$B$6,samples!D254,1),0)</f>
        <v>0</v>
      </c>
      <c r="I717" t="str">
        <f>IF(samples!E254=0,"",samples!E254)</f>
        <v/>
      </c>
      <c r="J717">
        <f>IFERROR(SEARCH(search!$B$6,samples!E254,1),0)</f>
        <v>0</v>
      </c>
      <c r="K717" t="str">
        <f>IF(samples!F254=0,"",samples!F254)</f>
        <v/>
      </c>
      <c r="L717">
        <f>IFERROR(SEARCH(search!$B$6,samples!F254,1),0)</f>
        <v>0</v>
      </c>
      <c r="M717" t="str">
        <f>IF(samples!G254=0,"",samples!G254)</f>
        <v/>
      </c>
      <c r="N717">
        <f>IFERROR(SEARCH(search!$B$6,samples!G254,1),0)</f>
        <v>0</v>
      </c>
      <c r="O717" t="str">
        <f>IF(samples!H254=0,"",samples!H254)</f>
        <v/>
      </c>
      <c r="P717">
        <f>IFERROR(SEARCH(search!$B$6,samples!H254,1),0)</f>
        <v>0</v>
      </c>
      <c r="Q717" t="str">
        <f>IF(samples!I254=0,"",samples!I254)</f>
        <v/>
      </c>
      <c r="R717">
        <f>IFERROR(SEARCH(search!$B$6,samples!I254,1),0)</f>
        <v>0</v>
      </c>
      <c r="S717" t="str">
        <f>IF(samples!J254=0,"",samples!J254)</f>
        <v/>
      </c>
      <c r="T717">
        <f>IFERROR(SEARCH(search!$B$6,samples!J254,1),0)</f>
        <v>0</v>
      </c>
      <c r="U717" t="str">
        <f>IF(samples!K254=0,"",samples!K254)</f>
        <v/>
      </c>
      <c r="V717">
        <f>IFERROR(SEARCH(search!$B$6,samples!K254,1),0)</f>
        <v>0</v>
      </c>
      <c r="W717" t="str">
        <f>IF(samples!L254=0,"",samples!L254)</f>
        <v/>
      </c>
      <c r="X717">
        <f>IFERROR(SEARCH(search!$B$6,samples!L254,1),0)</f>
        <v>0</v>
      </c>
      <c r="Y717" t="str">
        <f>IF(samples!M254=0,"",samples!M254)</f>
        <v/>
      </c>
      <c r="Z717">
        <f>IFERROR(SEARCH(search!$B$6,samples!M254,1),0)</f>
        <v>0</v>
      </c>
      <c r="AA717" t="str">
        <f>IF(samples!N254=0,"",samples!N254)</f>
        <v/>
      </c>
      <c r="AB717">
        <f>IFERROR(SEARCH(search!$B$6,samples!N254,1),0)</f>
        <v>0</v>
      </c>
      <c r="AC717" t="str">
        <f>IF(samples!O254=0,"",samples!O254)</f>
        <v/>
      </c>
      <c r="AD717">
        <f>IFERROR(SEARCH(search!$B$6,samples!O254,1),0)</f>
        <v>0</v>
      </c>
    </row>
    <row r="718" spans="1:30">
      <c r="A718">
        <f t="shared" si="11"/>
        <v>0</v>
      </c>
      <c r="B718">
        <f>IF(SUM(D718,F718,H718,J718,L718,N718,P718,R718,T718,V718,X718,Z718,AB718,AD718)&gt;0,SUM($A$2:A718),0)</f>
        <v>0</v>
      </c>
      <c r="C718">
        <f>samples!B255</f>
        <v>0</v>
      </c>
      <c r="D718">
        <f>IFERROR(SEARCH(search!$B$6,samples!B255,1),0)</f>
        <v>0</v>
      </c>
      <c r="E718" t="str">
        <f>IF(samples!C255=0,"",samples!C255)</f>
        <v/>
      </c>
      <c r="F718">
        <f>IFERROR(SEARCH(search!$B$6,samples!C255,1),0)</f>
        <v>0</v>
      </c>
      <c r="G718" t="str">
        <f>IF(samples!D255=0,"",samples!D255)</f>
        <v/>
      </c>
      <c r="H718">
        <f>IFERROR(SEARCH(search!$B$6,samples!D255,1),0)</f>
        <v>0</v>
      </c>
      <c r="I718" t="str">
        <f>IF(samples!E255=0,"",samples!E255)</f>
        <v/>
      </c>
      <c r="J718">
        <f>IFERROR(SEARCH(search!$B$6,samples!E255,1),0)</f>
        <v>0</v>
      </c>
      <c r="K718" t="str">
        <f>IF(samples!F255=0,"",samples!F255)</f>
        <v/>
      </c>
      <c r="L718">
        <f>IFERROR(SEARCH(search!$B$6,samples!F255,1),0)</f>
        <v>0</v>
      </c>
      <c r="M718" t="str">
        <f>IF(samples!G255=0,"",samples!G255)</f>
        <v/>
      </c>
      <c r="N718">
        <f>IFERROR(SEARCH(search!$B$6,samples!G255,1),0)</f>
        <v>0</v>
      </c>
      <c r="O718" t="str">
        <f>IF(samples!H255=0,"",samples!H255)</f>
        <v/>
      </c>
      <c r="P718">
        <f>IFERROR(SEARCH(search!$B$6,samples!H255,1),0)</f>
        <v>0</v>
      </c>
      <c r="Q718" t="str">
        <f>IF(samples!I255=0,"",samples!I255)</f>
        <v/>
      </c>
      <c r="R718">
        <f>IFERROR(SEARCH(search!$B$6,samples!I255,1),0)</f>
        <v>0</v>
      </c>
      <c r="S718" t="str">
        <f>IF(samples!J255=0,"",samples!J255)</f>
        <v/>
      </c>
      <c r="T718">
        <f>IFERROR(SEARCH(search!$B$6,samples!J255,1),0)</f>
        <v>0</v>
      </c>
      <c r="U718" t="str">
        <f>IF(samples!K255=0,"",samples!K255)</f>
        <v/>
      </c>
      <c r="V718">
        <f>IFERROR(SEARCH(search!$B$6,samples!K255,1),0)</f>
        <v>0</v>
      </c>
      <c r="W718" t="str">
        <f>IF(samples!L255=0,"",samples!L255)</f>
        <v/>
      </c>
      <c r="X718">
        <f>IFERROR(SEARCH(search!$B$6,samples!L255,1),0)</f>
        <v>0</v>
      </c>
      <c r="Y718" t="str">
        <f>IF(samples!M255=0,"",samples!M255)</f>
        <v/>
      </c>
      <c r="Z718">
        <f>IFERROR(SEARCH(search!$B$6,samples!M255,1),0)</f>
        <v>0</v>
      </c>
      <c r="AA718" t="str">
        <f>IF(samples!N255=0,"",samples!N255)</f>
        <v/>
      </c>
      <c r="AB718">
        <f>IFERROR(SEARCH(search!$B$6,samples!N255,1),0)</f>
        <v>0</v>
      </c>
      <c r="AC718" t="str">
        <f>IF(samples!O255=0,"",samples!O255)</f>
        <v/>
      </c>
      <c r="AD718">
        <f>IFERROR(SEARCH(search!$B$6,samples!O255,1),0)</f>
        <v>0</v>
      </c>
    </row>
    <row r="719" spans="1:30">
      <c r="A719">
        <f t="shared" si="11"/>
        <v>0</v>
      </c>
      <c r="B719">
        <f>IF(SUM(D719,F719,H719,J719,L719,N719,P719,R719,T719,V719,X719,Z719,AB719,AD719)&gt;0,SUM($A$2:A719),0)</f>
        <v>0</v>
      </c>
      <c r="C719">
        <f>samples!B256</f>
        <v>0</v>
      </c>
      <c r="D719">
        <f>IFERROR(SEARCH(search!$B$6,samples!B256,1),0)</f>
        <v>0</v>
      </c>
      <c r="E719" t="str">
        <f>IF(samples!C256=0,"",samples!C256)</f>
        <v/>
      </c>
      <c r="F719">
        <f>IFERROR(SEARCH(search!$B$6,samples!C256,1),0)</f>
        <v>0</v>
      </c>
      <c r="G719" t="str">
        <f>IF(samples!D256=0,"",samples!D256)</f>
        <v/>
      </c>
      <c r="H719">
        <f>IFERROR(SEARCH(search!$B$6,samples!D256,1),0)</f>
        <v>0</v>
      </c>
      <c r="I719" t="str">
        <f>IF(samples!E256=0,"",samples!E256)</f>
        <v/>
      </c>
      <c r="J719">
        <f>IFERROR(SEARCH(search!$B$6,samples!E256,1),0)</f>
        <v>0</v>
      </c>
      <c r="K719" t="str">
        <f>IF(samples!F256=0,"",samples!F256)</f>
        <v/>
      </c>
      <c r="L719">
        <f>IFERROR(SEARCH(search!$B$6,samples!F256,1),0)</f>
        <v>0</v>
      </c>
      <c r="M719" t="str">
        <f>IF(samples!G256=0,"",samples!G256)</f>
        <v/>
      </c>
      <c r="N719">
        <f>IFERROR(SEARCH(search!$B$6,samples!G256,1),0)</f>
        <v>0</v>
      </c>
      <c r="O719" t="str">
        <f>IF(samples!H256=0,"",samples!H256)</f>
        <v/>
      </c>
      <c r="P719">
        <f>IFERROR(SEARCH(search!$B$6,samples!H256,1),0)</f>
        <v>0</v>
      </c>
      <c r="Q719" t="str">
        <f>IF(samples!I256=0,"",samples!I256)</f>
        <v/>
      </c>
      <c r="R719">
        <f>IFERROR(SEARCH(search!$B$6,samples!I256,1),0)</f>
        <v>0</v>
      </c>
      <c r="S719" t="str">
        <f>IF(samples!J256=0,"",samples!J256)</f>
        <v/>
      </c>
      <c r="T719">
        <f>IFERROR(SEARCH(search!$B$6,samples!J256,1),0)</f>
        <v>0</v>
      </c>
      <c r="U719" t="str">
        <f>IF(samples!K256=0,"",samples!K256)</f>
        <v/>
      </c>
      <c r="V719">
        <f>IFERROR(SEARCH(search!$B$6,samples!K256,1),0)</f>
        <v>0</v>
      </c>
      <c r="W719" t="str">
        <f>IF(samples!L256=0,"",samples!L256)</f>
        <v/>
      </c>
      <c r="X719">
        <f>IFERROR(SEARCH(search!$B$6,samples!L256,1),0)</f>
        <v>0</v>
      </c>
      <c r="Y719" t="str">
        <f>IF(samples!M256=0,"",samples!M256)</f>
        <v/>
      </c>
      <c r="Z719">
        <f>IFERROR(SEARCH(search!$B$6,samples!M256,1),0)</f>
        <v>0</v>
      </c>
      <c r="AA719" t="str">
        <f>IF(samples!N256=0,"",samples!N256)</f>
        <v/>
      </c>
      <c r="AB719">
        <f>IFERROR(SEARCH(search!$B$6,samples!N256,1),0)</f>
        <v>0</v>
      </c>
      <c r="AC719" t="str">
        <f>IF(samples!O256=0,"",samples!O256)</f>
        <v/>
      </c>
      <c r="AD719">
        <f>IFERROR(SEARCH(search!$B$6,samples!O256,1),0)</f>
        <v>0</v>
      </c>
    </row>
    <row r="720" spans="1:30">
      <c r="A720">
        <f t="shared" si="11"/>
        <v>0</v>
      </c>
      <c r="B720">
        <f>IF(SUM(D720,F720,H720,J720,L720,N720,P720,R720,T720,V720,X720,Z720,AB720,AD720)&gt;0,SUM($A$2:A720),0)</f>
        <v>0</v>
      </c>
      <c r="C720">
        <f>samples!B257</f>
        <v>0</v>
      </c>
      <c r="D720">
        <f>IFERROR(SEARCH(search!$B$6,samples!B257,1),0)</f>
        <v>0</v>
      </c>
      <c r="E720" t="str">
        <f>IF(samples!C257=0,"",samples!C257)</f>
        <v/>
      </c>
      <c r="F720">
        <f>IFERROR(SEARCH(search!$B$6,samples!C257,1),0)</f>
        <v>0</v>
      </c>
      <c r="G720" t="str">
        <f>IF(samples!D257=0,"",samples!D257)</f>
        <v/>
      </c>
      <c r="H720">
        <f>IFERROR(SEARCH(search!$B$6,samples!D257,1),0)</f>
        <v>0</v>
      </c>
      <c r="I720" t="str">
        <f>IF(samples!E257=0,"",samples!E257)</f>
        <v/>
      </c>
      <c r="J720">
        <f>IFERROR(SEARCH(search!$B$6,samples!E257,1),0)</f>
        <v>0</v>
      </c>
      <c r="K720" t="str">
        <f>IF(samples!F257=0,"",samples!F257)</f>
        <v/>
      </c>
      <c r="L720">
        <f>IFERROR(SEARCH(search!$B$6,samples!F257,1),0)</f>
        <v>0</v>
      </c>
      <c r="M720" t="str">
        <f>IF(samples!G257=0,"",samples!G257)</f>
        <v/>
      </c>
      <c r="N720">
        <f>IFERROR(SEARCH(search!$B$6,samples!G257,1),0)</f>
        <v>0</v>
      </c>
      <c r="O720" t="str">
        <f>IF(samples!H257=0,"",samples!H257)</f>
        <v/>
      </c>
      <c r="P720">
        <f>IFERROR(SEARCH(search!$B$6,samples!H257,1),0)</f>
        <v>0</v>
      </c>
      <c r="Q720" t="str">
        <f>IF(samples!I257=0,"",samples!I257)</f>
        <v/>
      </c>
      <c r="R720">
        <f>IFERROR(SEARCH(search!$B$6,samples!I257,1),0)</f>
        <v>0</v>
      </c>
      <c r="S720" t="str">
        <f>IF(samples!J257=0,"",samples!J257)</f>
        <v/>
      </c>
      <c r="T720">
        <f>IFERROR(SEARCH(search!$B$6,samples!J257,1),0)</f>
        <v>0</v>
      </c>
      <c r="U720" t="str">
        <f>IF(samples!K257=0,"",samples!K257)</f>
        <v/>
      </c>
      <c r="V720">
        <f>IFERROR(SEARCH(search!$B$6,samples!K257,1),0)</f>
        <v>0</v>
      </c>
      <c r="W720" t="str">
        <f>IF(samples!L257=0,"",samples!L257)</f>
        <v/>
      </c>
      <c r="X720">
        <f>IFERROR(SEARCH(search!$B$6,samples!L257,1),0)</f>
        <v>0</v>
      </c>
      <c r="Y720" t="str">
        <f>IF(samples!M257=0,"",samples!M257)</f>
        <v/>
      </c>
      <c r="Z720">
        <f>IFERROR(SEARCH(search!$B$6,samples!M257,1),0)</f>
        <v>0</v>
      </c>
      <c r="AA720" t="str">
        <f>IF(samples!N257=0,"",samples!N257)</f>
        <v/>
      </c>
      <c r="AB720">
        <f>IFERROR(SEARCH(search!$B$6,samples!N257,1),0)</f>
        <v>0</v>
      </c>
      <c r="AC720" t="str">
        <f>IF(samples!O257=0,"",samples!O257)</f>
        <v/>
      </c>
      <c r="AD720">
        <f>IFERROR(SEARCH(search!$B$6,samples!O257,1),0)</f>
        <v>0</v>
      </c>
    </row>
    <row r="721" spans="1:30">
      <c r="A721">
        <f t="shared" si="11"/>
        <v>0</v>
      </c>
      <c r="B721">
        <f>IF(SUM(D721,F721,H721,J721,L721,N721,P721,R721,T721,V721,X721,Z721,AB721,AD721)&gt;0,SUM($A$2:A721),0)</f>
        <v>0</v>
      </c>
      <c r="C721">
        <f>samples!B258</f>
        <v>0</v>
      </c>
      <c r="D721">
        <f>IFERROR(SEARCH(search!$B$6,samples!B258,1),0)</f>
        <v>0</v>
      </c>
      <c r="E721" t="str">
        <f>IF(samples!C258=0,"",samples!C258)</f>
        <v/>
      </c>
      <c r="F721">
        <f>IFERROR(SEARCH(search!$B$6,samples!C258,1),0)</f>
        <v>0</v>
      </c>
      <c r="G721" t="str">
        <f>IF(samples!D258=0,"",samples!D258)</f>
        <v/>
      </c>
      <c r="H721">
        <f>IFERROR(SEARCH(search!$B$6,samples!D258,1),0)</f>
        <v>0</v>
      </c>
      <c r="I721" t="str">
        <f>IF(samples!E258=0,"",samples!E258)</f>
        <v/>
      </c>
      <c r="J721">
        <f>IFERROR(SEARCH(search!$B$6,samples!E258,1),0)</f>
        <v>0</v>
      </c>
      <c r="K721" t="str">
        <f>IF(samples!F258=0,"",samples!F258)</f>
        <v/>
      </c>
      <c r="L721">
        <f>IFERROR(SEARCH(search!$B$6,samples!F258,1),0)</f>
        <v>0</v>
      </c>
      <c r="M721" t="str">
        <f>IF(samples!G258=0,"",samples!G258)</f>
        <v/>
      </c>
      <c r="N721">
        <f>IFERROR(SEARCH(search!$B$6,samples!G258,1),0)</f>
        <v>0</v>
      </c>
      <c r="O721" t="str">
        <f>IF(samples!H258=0,"",samples!H258)</f>
        <v/>
      </c>
      <c r="P721">
        <f>IFERROR(SEARCH(search!$B$6,samples!H258,1),0)</f>
        <v>0</v>
      </c>
      <c r="Q721" t="str">
        <f>IF(samples!I258=0,"",samples!I258)</f>
        <v/>
      </c>
      <c r="R721">
        <f>IFERROR(SEARCH(search!$B$6,samples!I258,1),0)</f>
        <v>0</v>
      </c>
      <c r="S721" t="str">
        <f>IF(samples!J258=0,"",samples!J258)</f>
        <v/>
      </c>
      <c r="T721">
        <f>IFERROR(SEARCH(search!$B$6,samples!J258,1),0)</f>
        <v>0</v>
      </c>
      <c r="U721" t="str">
        <f>IF(samples!K258=0,"",samples!K258)</f>
        <v/>
      </c>
      <c r="V721">
        <f>IFERROR(SEARCH(search!$B$6,samples!K258,1),0)</f>
        <v>0</v>
      </c>
      <c r="W721" t="str">
        <f>IF(samples!L258=0,"",samples!L258)</f>
        <v/>
      </c>
      <c r="X721">
        <f>IFERROR(SEARCH(search!$B$6,samples!L258,1),0)</f>
        <v>0</v>
      </c>
      <c r="Y721" t="str">
        <f>IF(samples!M258=0,"",samples!M258)</f>
        <v/>
      </c>
      <c r="Z721">
        <f>IFERROR(SEARCH(search!$B$6,samples!M258,1),0)</f>
        <v>0</v>
      </c>
      <c r="AA721" t="str">
        <f>IF(samples!N258=0,"",samples!N258)</f>
        <v/>
      </c>
      <c r="AB721">
        <f>IFERROR(SEARCH(search!$B$6,samples!N258,1),0)</f>
        <v>0</v>
      </c>
      <c r="AC721" t="str">
        <f>IF(samples!O258=0,"",samples!O258)</f>
        <v/>
      </c>
      <c r="AD721">
        <f>IFERROR(SEARCH(search!$B$6,samples!O258,1),0)</f>
        <v>0</v>
      </c>
    </row>
    <row r="722" spans="1:30">
      <c r="A722">
        <f t="shared" si="11"/>
        <v>0</v>
      </c>
      <c r="B722">
        <f>IF(SUM(D722,F722,H722,J722,L722,N722,P722,R722,T722,V722,X722,Z722,AB722,AD722)&gt;0,SUM($A$2:A722),0)</f>
        <v>0</v>
      </c>
      <c r="C722">
        <f>samples!B259</f>
        <v>0</v>
      </c>
      <c r="D722">
        <f>IFERROR(SEARCH(search!$B$6,samples!B259,1),0)</f>
        <v>0</v>
      </c>
      <c r="E722" t="str">
        <f>IF(samples!C259=0,"",samples!C259)</f>
        <v/>
      </c>
      <c r="F722">
        <f>IFERROR(SEARCH(search!$B$6,samples!C259,1),0)</f>
        <v>0</v>
      </c>
      <c r="G722" t="str">
        <f>IF(samples!D259=0,"",samples!D259)</f>
        <v/>
      </c>
      <c r="H722">
        <f>IFERROR(SEARCH(search!$B$6,samples!D259,1),0)</f>
        <v>0</v>
      </c>
      <c r="I722" t="str">
        <f>IF(samples!E259=0,"",samples!E259)</f>
        <v/>
      </c>
      <c r="J722">
        <f>IFERROR(SEARCH(search!$B$6,samples!E259,1),0)</f>
        <v>0</v>
      </c>
      <c r="K722" t="str">
        <f>IF(samples!F259=0,"",samples!F259)</f>
        <v/>
      </c>
      <c r="L722">
        <f>IFERROR(SEARCH(search!$B$6,samples!F259,1),0)</f>
        <v>0</v>
      </c>
      <c r="M722" t="str">
        <f>IF(samples!G259=0,"",samples!G259)</f>
        <v/>
      </c>
      <c r="N722">
        <f>IFERROR(SEARCH(search!$B$6,samples!G259,1),0)</f>
        <v>0</v>
      </c>
      <c r="O722" t="str">
        <f>IF(samples!H259=0,"",samples!H259)</f>
        <v/>
      </c>
      <c r="P722">
        <f>IFERROR(SEARCH(search!$B$6,samples!H259,1),0)</f>
        <v>0</v>
      </c>
      <c r="Q722" t="str">
        <f>IF(samples!I259=0,"",samples!I259)</f>
        <v/>
      </c>
      <c r="R722">
        <f>IFERROR(SEARCH(search!$B$6,samples!I259,1),0)</f>
        <v>0</v>
      </c>
      <c r="S722" t="str">
        <f>IF(samples!J259=0,"",samples!J259)</f>
        <v/>
      </c>
      <c r="T722">
        <f>IFERROR(SEARCH(search!$B$6,samples!J259,1),0)</f>
        <v>0</v>
      </c>
      <c r="U722" t="str">
        <f>IF(samples!K259=0,"",samples!K259)</f>
        <v/>
      </c>
      <c r="V722">
        <f>IFERROR(SEARCH(search!$B$6,samples!K259,1),0)</f>
        <v>0</v>
      </c>
      <c r="W722" t="str">
        <f>IF(samples!L259=0,"",samples!L259)</f>
        <v/>
      </c>
      <c r="X722">
        <f>IFERROR(SEARCH(search!$B$6,samples!L259,1),0)</f>
        <v>0</v>
      </c>
      <c r="Y722" t="str">
        <f>IF(samples!M259=0,"",samples!M259)</f>
        <v/>
      </c>
      <c r="Z722">
        <f>IFERROR(SEARCH(search!$B$6,samples!M259,1),0)</f>
        <v>0</v>
      </c>
      <c r="AA722" t="str">
        <f>IF(samples!N259=0,"",samples!N259)</f>
        <v/>
      </c>
      <c r="AB722">
        <f>IFERROR(SEARCH(search!$B$6,samples!N259,1),0)</f>
        <v>0</v>
      </c>
      <c r="AC722" t="str">
        <f>IF(samples!O259=0,"",samples!O259)</f>
        <v/>
      </c>
      <c r="AD722">
        <f>IFERROR(SEARCH(search!$B$6,samples!O259,1),0)</f>
        <v>0</v>
      </c>
    </row>
    <row r="723" spans="1:30">
      <c r="A723">
        <f t="shared" si="11"/>
        <v>0</v>
      </c>
      <c r="B723">
        <f>IF(SUM(D723,F723,H723,J723,L723,N723,P723,R723,T723,V723,X723,Z723,AB723,AD723)&gt;0,SUM($A$2:A723),0)</f>
        <v>0</v>
      </c>
      <c r="C723">
        <f>samples!B260</f>
        <v>0</v>
      </c>
      <c r="D723">
        <f>IFERROR(SEARCH(search!$B$6,samples!B260,1),0)</f>
        <v>0</v>
      </c>
      <c r="E723" t="str">
        <f>IF(samples!C260=0,"",samples!C260)</f>
        <v/>
      </c>
      <c r="F723">
        <f>IFERROR(SEARCH(search!$B$6,samples!C260,1),0)</f>
        <v>0</v>
      </c>
      <c r="G723" t="str">
        <f>IF(samples!D260=0,"",samples!D260)</f>
        <v/>
      </c>
      <c r="H723">
        <f>IFERROR(SEARCH(search!$B$6,samples!D260,1),0)</f>
        <v>0</v>
      </c>
      <c r="I723" t="str">
        <f>IF(samples!E260=0,"",samples!E260)</f>
        <v/>
      </c>
      <c r="J723">
        <f>IFERROR(SEARCH(search!$B$6,samples!E260,1),0)</f>
        <v>0</v>
      </c>
      <c r="K723" t="str">
        <f>IF(samples!F260=0,"",samples!F260)</f>
        <v/>
      </c>
      <c r="L723">
        <f>IFERROR(SEARCH(search!$B$6,samples!F260,1),0)</f>
        <v>0</v>
      </c>
      <c r="M723" t="str">
        <f>IF(samples!G260=0,"",samples!G260)</f>
        <v/>
      </c>
      <c r="N723">
        <f>IFERROR(SEARCH(search!$B$6,samples!G260,1),0)</f>
        <v>0</v>
      </c>
      <c r="O723" t="str">
        <f>IF(samples!H260=0,"",samples!H260)</f>
        <v/>
      </c>
      <c r="P723">
        <f>IFERROR(SEARCH(search!$B$6,samples!H260,1),0)</f>
        <v>0</v>
      </c>
      <c r="Q723" t="str">
        <f>IF(samples!I260=0,"",samples!I260)</f>
        <v/>
      </c>
      <c r="R723">
        <f>IFERROR(SEARCH(search!$B$6,samples!I260,1),0)</f>
        <v>0</v>
      </c>
      <c r="S723" t="str">
        <f>IF(samples!J260=0,"",samples!J260)</f>
        <v/>
      </c>
      <c r="T723">
        <f>IFERROR(SEARCH(search!$B$6,samples!J260,1),0)</f>
        <v>0</v>
      </c>
      <c r="U723" t="str">
        <f>IF(samples!K260=0,"",samples!K260)</f>
        <v/>
      </c>
      <c r="V723">
        <f>IFERROR(SEARCH(search!$B$6,samples!K260,1),0)</f>
        <v>0</v>
      </c>
      <c r="W723" t="str">
        <f>IF(samples!L260=0,"",samples!L260)</f>
        <v/>
      </c>
      <c r="X723">
        <f>IFERROR(SEARCH(search!$B$6,samples!L260,1),0)</f>
        <v>0</v>
      </c>
      <c r="Y723" t="str">
        <f>IF(samples!M260=0,"",samples!M260)</f>
        <v/>
      </c>
      <c r="Z723">
        <f>IFERROR(SEARCH(search!$B$6,samples!M260,1),0)</f>
        <v>0</v>
      </c>
      <c r="AA723" t="str">
        <f>IF(samples!N260=0,"",samples!N260)</f>
        <v/>
      </c>
      <c r="AB723">
        <f>IFERROR(SEARCH(search!$B$6,samples!N260,1),0)</f>
        <v>0</v>
      </c>
      <c r="AC723" t="str">
        <f>IF(samples!O260=0,"",samples!O260)</f>
        <v/>
      </c>
      <c r="AD723">
        <f>IFERROR(SEARCH(search!$B$6,samples!O260,1),0)</f>
        <v>0</v>
      </c>
    </row>
    <row r="724" spans="1:30">
      <c r="A724">
        <f t="shared" si="11"/>
        <v>0</v>
      </c>
      <c r="B724">
        <f>IF(SUM(D724,F724,H724,J724,L724,N724,P724,R724,T724,V724,X724,Z724,AB724,AD724)&gt;0,SUM($A$2:A724),0)</f>
        <v>0</v>
      </c>
      <c r="C724">
        <f>samples!B261</f>
        <v>0</v>
      </c>
      <c r="D724">
        <f>IFERROR(SEARCH(search!$B$6,samples!B261,1),0)</f>
        <v>0</v>
      </c>
      <c r="E724" t="str">
        <f>IF(samples!C261=0,"",samples!C261)</f>
        <v/>
      </c>
      <c r="F724">
        <f>IFERROR(SEARCH(search!$B$6,samples!C261,1),0)</f>
        <v>0</v>
      </c>
      <c r="G724" t="str">
        <f>IF(samples!D261=0,"",samples!D261)</f>
        <v/>
      </c>
      <c r="H724">
        <f>IFERROR(SEARCH(search!$B$6,samples!D261,1),0)</f>
        <v>0</v>
      </c>
      <c r="I724" t="str">
        <f>IF(samples!E261=0,"",samples!E261)</f>
        <v/>
      </c>
      <c r="J724">
        <f>IFERROR(SEARCH(search!$B$6,samples!E261,1),0)</f>
        <v>0</v>
      </c>
      <c r="K724" t="str">
        <f>IF(samples!F261=0,"",samples!F261)</f>
        <v/>
      </c>
      <c r="L724">
        <f>IFERROR(SEARCH(search!$B$6,samples!F261,1),0)</f>
        <v>0</v>
      </c>
      <c r="M724" t="str">
        <f>IF(samples!G261=0,"",samples!G261)</f>
        <v/>
      </c>
      <c r="N724">
        <f>IFERROR(SEARCH(search!$B$6,samples!G261,1),0)</f>
        <v>0</v>
      </c>
      <c r="O724" t="str">
        <f>IF(samples!H261=0,"",samples!H261)</f>
        <v/>
      </c>
      <c r="P724">
        <f>IFERROR(SEARCH(search!$B$6,samples!H261,1),0)</f>
        <v>0</v>
      </c>
      <c r="Q724" t="str">
        <f>IF(samples!I261=0,"",samples!I261)</f>
        <v/>
      </c>
      <c r="R724">
        <f>IFERROR(SEARCH(search!$B$6,samples!I261,1),0)</f>
        <v>0</v>
      </c>
      <c r="S724" t="str">
        <f>IF(samples!J261=0,"",samples!J261)</f>
        <v/>
      </c>
      <c r="T724">
        <f>IFERROR(SEARCH(search!$B$6,samples!J261,1),0)</f>
        <v>0</v>
      </c>
      <c r="U724" t="str">
        <f>IF(samples!K261=0,"",samples!K261)</f>
        <v/>
      </c>
      <c r="V724">
        <f>IFERROR(SEARCH(search!$B$6,samples!K261,1),0)</f>
        <v>0</v>
      </c>
      <c r="W724" t="str">
        <f>IF(samples!L261=0,"",samples!L261)</f>
        <v/>
      </c>
      <c r="X724">
        <f>IFERROR(SEARCH(search!$B$6,samples!L261,1),0)</f>
        <v>0</v>
      </c>
      <c r="Y724" t="str">
        <f>IF(samples!M261=0,"",samples!M261)</f>
        <v/>
      </c>
      <c r="Z724">
        <f>IFERROR(SEARCH(search!$B$6,samples!M261,1),0)</f>
        <v>0</v>
      </c>
      <c r="AA724" t="str">
        <f>IF(samples!N261=0,"",samples!N261)</f>
        <v/>
      </c>
      <c r="AB724">
        <f>IFERROR(SEARCH(search!$B$6,samples!N261,1),0)</f>
        <v>0</v>
      </c>
      <c r="AC724" t="str">
        <f>IF(samples!O261=0,"",samples!O261)</f>
        <v/>
      </c>
      <c r="AD724">
        <f>IFERROR(SEARCH(search!$B$6,samples!O261,1),0)</f>
        <v>0</v>
      </c>
    </row>
    <row r="725" spans="1:30">
      <c r="A725">
        <f t="shared" si="11"/>
        <v>0</v>
      </c>
      <c r="B725">
        <f>IF(SUM(D725,F725,H725,J725,L725,N725,P725,R725,T725,V725,X725,Z725,AB725,AD725)&gt;0,SUM($A$2:A725),0)</f>
        <v>0</v>
      </c>
      <c r="C725">
        <f>samples!B262</f>
        <v>0</v>
      </c>
      <c r="D725">
        <f>IFERROR(SEARCH(search!$B$6,samples!B262,1),0)</f>
        <v>0</v>
      </c>
      <c r="E725" t="str">
        <f>IF(samples!C262=0,"",samples!C262)</f>
        <v/>
      </c>
      <c r="F725">
        <f>IFERROR(SEARCH(search!$B$6,samples!C262,1),0)</f>
        <v>0</v>
      </c>
      <c r="G725" t="str">
        <f>IF(samples!D262=0,"",samples!D262)</f>
        <v/>
      </c>
      <c r="H725">
        <f>IFERROR(SEARCH(search!$B$6,samples!D262,1),0)</f>
        <v>0</v>
      </c>
      <c r="I725" t="str">
        <f>IF(samples!E262=0,"",samples!E262)</f>
        <v/>
      </c>
      <c r="J725">
        <f>IFERROR(SEARCH(search!$B$6,samples!E262,1),0)</f>
        <v>0</v>
      </c>
      <c r="K725" t="str">
        <f>IF(samples!F262=0,"",samples!F262)</f>
        <v/>
      </c>
      <c r="L725">
        <f>IFERROR(SEARCH(search!$B$6,samples!F262,1),0)</f>
        <v>0</v>
      </c>
      <c r="M725" t="str">
        <f>IF(samples!G262=0,"",samples!G262)</f>
        <v/>
      </c>
      <c r="N725">
        <f>IFERROR(SEARCH(search!$B$6,samples!G262,1),0)</f>
        <v>0</v>
      </c>
      <c r="O725" t="str">
        <f>IF(samples!H262=0,"",samples!H262)</f>
        <v/>
      </c>
      <c r="P725">
        <f>IFERROR(SEARCH(search!$B$6,samples!H262,1),0)</f>
        <v>0</v>
      </c>
      <c r="Q725" t="str">
        <f>IF(samples!I262=0,"",samples!I262)</f>
        <v/>
      </c>
      <c r="R725">
        <f>IFERROR(SEARCH(search!$B$6,samples!I262,1),0)</f>
        <v>0</v>
      </c>
      <c r="S725" t="str">
        <f>IF(samples!J262=0,"",samples!J262)</f>
        <v/>
      </c>
      <c r="T725">
        <f>IFERROR(SEARCH(search!$B$6,samples!J262,1),0)</f>
        <v>0</v>
      </c>
      <c r="U725" t="str">
        <f>IF(samples!K262=0,"",samples!K262)</f>
        <v/>
      </c>
      <c r="V725">
        <f>IFERROR(SEARCH(search!$B$6,samples!K262,1),0)</f>
        <v>0</v>
      </c>
      <c r="W725" t="str">
        <f>IF(samples!L262=0,"",samples!L262)</f>
        <v/>
      </c>
      <c r="X725">
        <f>IFERROR(SEARCH(search!$B$6,samples!L262,1),0)</f>
        <v>0</v>
      </c>
      <c r="Y725" t="str">
        <f>IF(samples!M262=0,"",samples!M262)</f>
        <v/>
      </c>
      <c r="Z725">
        <f>IFERROR(SEARCH(search!$B$6,samples!M262,1),0)</f>
        <v>0</v>
      </c>
      <c r="AA725" t="str">
        <f>IF(samples!N262=0,"",samples!N262)</f>
        <v/>
      </c>
      <c r="AB725">
        <f>IFERROR(SEARCH(search!$B$6,samples!N262,1),0)</f>
        <v>0</v>
      </c>
      <c r="AC725" t="str">
        <f>IF(samples!O262=0,"",samples!O262)</f>
        <v/>
      </c>
      <c r="AD725">
        <f>IFERROR(SEARCH(search!$B$6,samples!O262,1),0)</f>
        <v>0</v>
      </c>
    </row>
    <row r="726" spans="1:30">
      <c r="A726">
        <f t="shared" si="11"/>
        <v>0</v>
      </c>
      <c r="B726">
        <f>IF(SUM(D726,F726,H726,J726,L726,N726,P726,R726,T726,V726,X726,Z726,AB726,AD726)&gt;0,SUM($A$2:A726),0)</f>
        <v>0</v>
      </c>
      <c r="C726">
        <f>samples!B263</f>
        <v>0</v>
      </c>
      <c r="D726">
        <f>IFERROR(SEARCH(search!$B$6,samples!B263,1),0)</f>
        <v>0</v>
      </c>
      <c r="E726" t="str">
        <f>IF(samples!C263=0,"",samples!C263)</f>
        <v/>
      </c>
      <c r="F726">
        <f>IFERROR(SEARCH(search!$B$6,samples!C263,1),0)</f>
        <v>0</v>
      </c>
      <c r="G726" t="str">
        <f>IF(samples!D263=0,"",samples!D263)</f>
        <v/>
      </c>
      <c r="H726">
        <f>IFERROR(SEARCH(search!$B$6,samples!D263,1),0)</f>
        <v>0</v>
      </c>
      <c r="I726" t="str">
        <f>IF(samples!E263=0,"",samples!E263)</f>
        <v/>
      </c>
      <c r="J726">
        <f>IFERROR(SEARCH(search!$B$6,samples!E263,1),0)</f>
        <v>0</v>
      </c>
      <c r="K726" t="str">
        <f>IF(samples!F263=0,"",samples!F263)</f>
        <v/>
      </c>
      <c r="L726">
        <f>IFERROR(SEARCH(search!$B$6,samples!F263,1),0)</f>
        <v>0</v>
      </c>
      <c r="M726" t="str">
        <f>IF(samples!G263=0,"",samples!G263)</f>
        <v/>
      </c>
      <c r="N726">
        <f>IFERROR(SEARCH(search!$B$6,samples!G263,1),0)</f>
        <v>0</v>
      </c>
      <c r="O726" t="str">
        <f>IF(samples!H263=0,"",samples!H263)</f>
        <v/>
      </c>
      <c r="P726">
        <f>IFERROR(SEARCH(search!$B$6,samples!H263,1),0)</f>
        <v>0</v>
      </c>
      <c r="Q726" t="str">
        <f>IF(samples!I263=0,"",samples!I263)</f>
        <v/>
      </c>
      <c r="R726">
        <f>IFERROR(SEARCH(search!$B$6,samples!I263,1),0)</f>
        <v>0</v>
      </c>
      <c r="S726" t="str">
        <f>IF(samples!J263=0,"",samples!J263)</f>
        <v/>
      </c>
      <c r="T726">
        <f>IFERROR(SEARCH(search!$B$6,samples!J263,1),0)</f>
        <v>0</v>
      </c>
      <c r="U726" t="str">
        <f>IF(samples!K263=0,"",samples!K263)</f>
        <v/>
      </c>
      <c r="V726">
        <f>IFERROR(SEARCH(search!$B$6,samples!K263,1),0)</f>
        <v>0</v>
      </c>
      <c r="W726" t="str">
        <f>IF(samples!L263=0,"",samples!L263)</f>
        <v/>
      </c>
      <c r="X726">
        <f>IFERROR(SEARCH(search!$B$6,samples!L263,1),0)</f>
        <v>0</v>
      </c>
      <c r="Y726" t="str">
        <f>IF(samples!M263=0,"",samples!M263)</f>
        <v/>
      </c>
      <c r="Z726">
        <f>IFERROR(SEARCH(search!$B$6,samples!M263,1),0)</f>
        <v>0</v>
      </c>
      <c r="AA726" t="str">
        <f>IF(samples!N263=0,"",samples!N263)</f>
        <v/>
      </c>
      <c r="AB726">
        <f>IFERROR(SEARCH(search!$B$6,samples!N263,1),0)</f>
        <v>0</v>
      </c>
      <c r="AC726" t="str">
        <f>IF(samples!O263=0,"",samples!O263)</f>
        <v/>
      </c>
      <c r="AD726">
        <f>IFERROR(SEARCH(search!$B$6,samples!O263,1),0)</f>
        <v>0</v>
      </c>
    </row>
    <row r="727" spans="1:30">
      <c r="A727">
        <f t="shared" si="11"/>
        <v>0</v>
      </c>
      <c r="B727">
        <f>IF(SUM(D727,F727,H727,J727,L727,N727,P727,R727,T727,V727,X727,Z727,AB727,AD727)&gt;0,SUM($A$2:A727),0)</f>
        <v>0</v>
      </c>
      <c r="C727">
        <f>samples!B264</f>
        <v>0</v>
      </c>
      <c r="D727">
        <f>IFERROR(SEARCH(search!$B$6,samples!B264,1),0)</f>
        <v>0</v>
      </c>
      <c r="E727" t="str">
        <f>IF(samples!C264=0,"",samples!C264)</f>
        <v/>
      </c>
      <c r="F727">
        <f>IFERROR(SEARCH(search!$B$6,samples!C264,1),0)</f>
        <v>0</v>
      </c>
      <c r="G727" t="str">
        <f>IF(samples!D264=0,"",samples!D264)</f>
        <v/>
      </c>
      <c r="H727">
        <f>IFERROR(SEARCH(search!$B$6,samples!D264,1),0)</f>
        <v>0</v>
      </c>
      <c r="I727" t="str">
        <f>IF(samples!E264=0,"",samples!E264)</f>
        <v/>
      </c>
      <c r="J727">
        <f>IFERROR(SEARCH(search!$B$6,samples!E264,1),0)</f>
        <v>0</v>
      </c>
      <c r="K727" t="str">
        <f>IF(samples!F264=0,"",samples!F264)</f>
        <v/>
      </c>
      <c r="L727">
        <f>IFERROR(SEARCH(search!$B$6,samples!F264,1),0)</f>
        <v>0</v>
      </c>
      <c r="M727" t="str">
        <f>IF(samples!G264=0,"",samples!G264)</f>
        <v/>
      </c>
      <c r="N727">
        <f>IFERROR(SEARCH(search!$B$6,samples!G264,1),0)</f>
        <v>0</v>
      </c>
      <c r="O727" t="str">
        <f>IF(samples!H264=0,"",samples!H264)</f>
        <v/>
      </c>
      <c r="P727">
        <f>IFERROR(SEARCH(search!$B$6,samples!H264,1),0)</f>
        <v>0</v>
      </c>
      <c r="Q727" t="str">
        <f>IF(samples!I264=0,"",samples!I264)</f>
        <v/>
      </c>
      <c r="R727">
        <f>IFERROR(SEARCH(search!$B$6,samples!I264,1),0)</f>
        <v>0</v>
      </c>
      <c r="S727" t="str">
        <f>IF(samples!J264=0,"",samples!J264)</f>
        <v/>
      </c>
      <c r="T727">
        <f>IFERROR(SEARCH(search!$B$6,samples!J264,1),0)</f>
        <v>0</v>
      </c>
      <c r="U727" t="str">
        <f>IF(samples!K264=0,"",samples!K264)</f>
        <v/>
      </c>
      <c r="V727">
        <f>IFERROR(SEARCH(search!$B$6,samples!K264,1),0)</f>
        <v>0</v>
      </c>
      <c r="W727" t="str">
        <f>IF(samples!L264=0,"",samples!L264)</f>
        <v/>
      </c>
      <c r="X727">
        <f>IFERROR(SEARCH(search!$B$6,samples!L264,1),0)</f>
        <v>0</v>
      </c>
      <c r="Y727" t="str">
        <f>IF(samples!M264=0,"",samples!M264)</f>
        <v/>
      </c>
      <c r="Z727">
        <f>IFERROR(SEARCH(search!$B$6,samples!M264,1),0)</f>
        <v>0</v>
      </c>
      <c r="AA727" t="str">
        <f>IF(samples!N264=0,"",samples!N264)</f>
        <v/>
      </c>
      <c r="AB727">
        <f>IFERROR(SEARCH(search!$B$6,samples!N264,1),0)</f>
        <v>0</v>
      </c>
      <c r="AC727" t="str">
        <f>IF(samples!O264=0,"",samples!O264)</f>
        <v/>
      </c>
      <c r="AD727">
        <f>IFERROR(SEARCH(search!$B$6,samples!O264,1),0)</f>
        <v>0</v>
      </c>
    </row>
    <row r="728" spans="1:30">
      <c r="A728">
        <f t="shared" si="11"/>
        <v>0</v>
      </c>
      <c r="B728">
        <f>IF(SUM(D728,F728,H728,J728,L728,N728,P728,R728,T728,V728,X728,Z728,AB728,AD728)&gt;0,SUM($A$2:A728),0)</f>
        <v>0</v>
      </c>
      <c r="C728">
        <f>samples!B265</f>
        <v>0</v>
      </c>
      <c r="D728">
        <f>IFERROR(SEARCH(search!$B$6,samples!B265,1),0)</f>
        <v>0</v>
      </c>
      <c r="E728" t="str">
        <f>IF(samples!C265=0,"",samples!C265)</f>
        <v/>
      </c>
      <c r="F728">
        <f>IFERROR(SEARCH(search!$B$6,samples!C265,1),0)</f>
        <v>0</v>
      </c>
      <c r="G728" t="str">
        <f>IF(samples!D265=0,"",samples!D265)</f>
        <v/>
      </c>
      <c r="H728">
        <f>IFERROR(SEARCH(search!$B$6,samples!D265,1),0)</f>
        <v>0</v>
      </c>
      <c r="I728" t="str">
        <f>IF(samples!E265=0,"",samples!E265)</f>
        <v/>
      </c>
      <c r="J728">
        <f>IFERROR(SEARCH(search!$B$6,samples!E265,1),0)</f>
        <v>0</v>
      </c>
      <c r="K728" t="str">
        <f>IF(samples!F265=0,"",samples!F265)</f>
        <v/>
      </c>
      <c r="L728">
        <f>IFERROR(SEARCH(search!$B$6,samples!F265,1),0)</f>
        <v>0</v>
      </c>
      <c r="M728" t="str">
        <f>IF(samples!G265=0,"",samples!G265)</f>
        <v/>
      </c>
      <c r="N728">
        <f>IFERROR(SEARCH(search!$B$6,samples!G265,1),0)</f>
        <v>0</v>
      </c>
      <c r="O728" t="str">
        <f>IF(samples!H265=0,"",samples!H265)</f>
        <v/>
      </c>
      <c r="P728">
        <f>IFERROR(SEARCH(search!$B$6,samples!H265,1),0)</f>
        <v>0</v>
      </c>
      <c r="Q728" t="str">
        <f>IF(samples!I265=0,"",samples!I265)</f>
        <v/>
      </c>
      <c r="R728">
        <f>IFERROR(SEARCH(search!$B$6,samples!I265,1),0)</f>
        <v>0</v>
      </c>
      <c r="S728" t="str">
        <f>IF(samples!J265=0,"",samples!J265)</f>
        <v/>
      </c>
      <c r="T728">
        <f>IFERROR(SEARCH(search!$B$6,samples!J265,1),0)</f>
        <v>0</v>
      </c>
      <c r="U728" t="str">
        <f>IF(samples!K265=0,"",samples!K265)</f>
        <v/>
      </c>
      <c r="V728">
        <f>IFERROR(SEARCH(search!$B$6,samples!K265,1),0)</f>
        <v>0</v>
      </c>
      <c r="W728" t="str">
        <f>IF(samples!L265=0,"",samples!L265)</f>
        <v/>
      </c>
      <c r="X728">
        <f>IFERROR(SEARCH(search!$B$6,samples!L265,1),0)</f>
        <v>0</v>
      </c>
      <c r="Y728" t="str">
        <f>IF(samples!M265=0,"",samples!M265)</f>
        <v/>
      </c>
      <c r="Z728">
        <f>IFERROR(SEARCH(search!$B$6,samples!M265,1),0)</f>
        <v>0</v>
      </c>
      <c r="AA728" t="str">
        <f>IF(samples!N265=0,"",samples!N265)</f>
        <v/>
      </c>
      <c r="AB728">
        <f>IFERROR(SEARCH(search!$B$6,samples!N265,1),0)</f>
        <v>0</v>
      </c>
      <c r="AC728" t="str">
        <f>IF(samples!O265=0,"",samples!O265)</f>
        <v/>
      </c>
      <c r="AD728">
        <f>IFERROR(SEARCH(search!$B$6,samples!O265,1),0)</f>
        <v>0</v>
      </c>
    </row>
    <row r="729" spans="1:30">
      <c r="A729">
        <f t="shared" si="11"/>
        <v>0</v>
      </c>
      <c r="B729">
        <f>IF(SUM(D729,F729,H729,J729,L729,N729,P729,R729,T729,V729,X729,Z729,AB729,AD729)&gt;0,SUM($A$2:A729),0)</f>
        <v>0</v>
      </c>
      <c r="C729">
        <f>samples!B266</f>
        <v>0</v>
      </c>
      <c r="D729">
        <f>IFERROR(SEARCH(search!$B$6,samples!B266,1),0)</f>
        <v>0</v>
      </c>
      <c r="E729" t="str">
        <f>IF(samples!C266=0,"",samples!C266)</f>
        <v/>
      </c>
      <c r="F729">
        <f>IFERROR(SEARCH(search!$B$6,samples!C266,1),0)</f>
        <v>0</v>
      </c>
      <c r="G729" t="str">
        <f>IF(samples!D266=0,"",samples!D266)</f>
        <v/>
      </c>
      <c r="H729">
        <f>IFERROR(SEARCH(search!$B$6,samples!D266,1),0)</f>
        <v>0</v>
      </c>
      <c r="I729" t="str">
        <f>IF(samples!E266=0,"",samples!E266)</f>
        <v/>
      </c>
      <c r="J729">
        <f>IFERROR(SEARCH(search!$B$6,samples!E266,1),0)</f>
        <v>0</v>
      </c>
      <c r="K729" t="str">
        <f>IF(samples!F266=0,"",samples!F266)</f>
        <v/>
      </c>
      <c r="L729">
        <f>IFERROR(SEARCH(search!$B$6,samples!F266,1),0)</f>
        <v>0</v>
      </c>
      <c r="M729" t="str">
        <f>IF(samples!G266=0,"",samples!G266)</f>
        <v/>
      </c>
      <c r="N729">
        <f>IFERROR(SEARCH(search!$B$6,samples!G266,1),0)</f>
        <v>0</v>
      </c>
      <c r="O729" t="str">
        <f>IF(samples!H266=0,"",samples!H266)</f>
        <v/>
      </c>
      <c r="P729">
        <f>IFERROR(SEARCH(search!$B$6,samples!H266,1),0)</f>
        <v>0</v>
      </c>
      <c r="Q729" t="str">
        <f>IF(samples!I266=0,"",samples!I266)</f>
        <v/>
      </c>
      <c r="R729">
        <f>IFERROR(SEARCH(search!$B$6,samples!I266,1),0)</f>
        <v>0</v>
      </c>
      <c r="S729" t="str">
        <f>IF(samples!J266=0,"",samples!J266)</f>
        <v/>
      </c>
      <c r="T729">
        <f>IFERROR(SEARCH(search!$B$6,samples!J266,1),0)</f>
        <v>0</v>
      </c>
      <c r="U729" t="str">
        <f>IF(samples!K266=0,"",samples!K266)</f>
        <v/>
      </c>
      <c r="V729">
        <f>IFERROR(SEARCH(search!$B$6,samples!K266,1),0)</f>
        <v>0</v>
      </c>
      <c r="W729" t="str">
        <f>IF(samples!L266=0,"",samples!L266)</f>
        <v/>
      </c>
      <c r="X729">
        <f>IFERROR(SEARCH(search!$B$6,samples!L266,1),0)</f>
        <v>0</v>
      </c>
      <c r="Y729" t="str">
        <f>IF(samples!M266=0,"",samples!M266)</f>
        <v/>
      </c>
      <c r="Z729">
        <f>IFERROR(SEARCH(search!$B$6,samples!M266,1),0)</f>
        <v>0</v>
      </c>
      <c r="AA729" t="str">
        <f>IF(samples!N266=0,"",samples!N266)</f>
        <v/>
      </c>
      <c r="AB729">
        <f>IFERROR(SEARCH(search!$B$6,samples!N266,1),0)</f>
        <v>0</v>
      </c>
      <c r="AC729" t="str">
        <f>IF(samples!O266=0,"",samples!O266)</f>
        <v/>
      </c>
      <c r="AD729">
        <f>IFERROR(SEARCH(search!$B$6,samples!O266,1),0)</f>
        <v>0</v>
      </c>
    </row>
    <row r="730" spans="1:30">
      <c r="A730">
        <f t="shared" si="11"/>
        <v>0</v>
      </c>
      <c r="B730">
        <f>IF(SUM(D730,F730,H730,J730,L730,N730,P730,R730,T730,V730,X730,Z730,AB730,AD730)&gt;0,SUM($A$2:A730),0)</f>
        <v>0</v>
      </c>
      <c r="C730">
        <f>samples!B267</f>
        <v>0</v>
      </c>
      <c r="D730">
        <f>IFERROR(SEARCH(search!$B$6,samples!B267,1),0)</f>
        <v>0</v>
      </c>
      <c r="E730" t="str">
        <f>IF(samples!C267=0,"",samples!C267)</f>
        <v/>
      </c>
      <c r="F730">
        <f>IFERROR(SEARCH(search!$B$6,samples!C267,1),0)</f>
        <v>0</v>
      </c>
      <c r="G730" t="str">
        <f>IF(samples!D267=0,"",samples!D267)</f>
        <v/>
      </c>
      <c r="H730">
        <f>IFERROR(SEARCH(search!$B$6,samples!D267,1),0)</f>
        <v>0</v>
      </c>
      <c r="I730" t="str">
        <f>IF(samples!E267=0,"",samples!E267)</f>
        <v/>
      </c>
      <c r="J730">
        <f>IFERROR(SEARCH(search!$B$6,samples!E267,1),0)</f>
        <v>0</v>
      </c>
      <c r="K730" t="str">
        <f>IF(samples!F267=0,"",samples!F267)</f>
        <v/>
      </c>
      <c r="L730">
        <f>IFERROR(SEARCH(search!$B$6,samples!F267,1),0)</f>
        <v>0</v>
      </c>
      <c r="M730" t="str">
        <f>IF(samples!G267=0,"",samples!G267)</f>
        <v/>
      </c>
      <c r="N730">
        <f>IFERROR(SEARCH(search!$B$6,samples!G267,1),0)</f>
        <v>0</v>
      </c>
      <c r="O730" t="str">
        <f>IF(samples!H267=0,"",samples!H267)</f>
        <v/>
      </c>
      <c r="P730">
        <f>IFERROR(SEARCH(search!$B$6,samples!H267,1),0)</f>
        <v>0</v>
      </c>
      <c r="Q730" t="str">
        <f>IF(samples!I267=0,"",samples!I267)</f>
        <v/>
      </c>
      <c r="R730">
        <f>IFERROR(SEARCH(search!$B$6,samples!I267,1),0)</f>
        <v>0</v>
      </c>
      <c r="S730" t="str">
        <f>IF(samples!J267=0,"",samples!J267)</f>
        <v/>
      </c>
      <c r="T730">
        <f>IFERROR(SEARCH(search!$B$6,samples!J267,1),0)</f>
        <v>0</v>
      </c>
      <c r="U730" t="str">
        <f>IF(samples!K267=0,"",samples!K267)</f>
        <v/>
      </c>
      <c r="V730">
        <f>IFERROR(SEARCH(search!$B$6,samples!K267,1),0)</f>
        <v>0</v>
      </c>
      <c r="W730" t="str">
        <f>IF(samples!L267=0,"",samples!L267)</f>
        <v/>
      </c>
      <c r="X730">
        <f>IFERROR(SEARCH(search!$B$6,samples!L267,1),0)</f>
        <v>0</v>
      </c>
      <c r="Y730" t="str">
        <f>IF(samples!M267=0,"",samples!M267)</f>
        <v/>
      </c>
      <c r="Z730">
        <f>IFERROR(SEARCH(search!$B$6,samples!M267,1),0)</f>
        <v>0</v>
      </c>
      <c r="AA730" t="str">
        <f>IF(samples!N267=0,"",samples!N267)</f>
        <v/>
      </c>
      <c r="AB730">
        <f>IFERROR(SEARCH(search!$B$6,samples!N267,1),0)</f>
        <v>0</v>
      </c>
      <c r="AC730" t="str">
        <f>IF(samples!O267=0,"",samples!O267)</f>
        <v/>
      </c>
      <c r="AD730">
        <f>IFERROR(SEARCH(search!$B$6,samples!O267,1),0)</f>
        <v>0</v>
      </c>
    </row>
    <row r="731" spans="1:30">
      <c r="A731">
        <f t="shared" si="11"/>
        <v>0</v>
      </c>
      <c r="B731">
        <f>IF(SUM(D731,F731,H731,J731,L731,N731,P731,R731,T731,V731,X731,Z731,AB731,AD731)&gt;0,SUM($A$2:A731),0)</f>
        <v>0</v>
      </c>
      <c r="C731">
        <f>samples!B268</f>
        <v>0</v>
      </c>
      <c r="D731">
        <f>IFERROR(SEARCH(search!$B$6,samples!B268,1),0)</f>
        <v>0</v>
      </c>
      <c r="E731" t="str">
        <f>IF(samples!C268=0,"",samples!C268)</f>
        <v/>
      </c>
      <c r="F731">
        <f>IFERROR(SEARCH(search!$B$6,samples!C268,1),0)</f>
        <v>0</v>
      </c>
      <c r="G731" t="str">
        <f>IF(samples!D268=0,"",samples!D268)</f>
        <v/>
      </c>
      <c r="H731">
        <f>IFERROR(SEARCH(search!$B$6,samples!D268,1),0)</f>
        <v>0</v>
      </c>
      <c r="I731" t="str">
        <f>IF(samples!E268=0,"",samples!E268)</f>
        <v/>
      </c>
      <c r="J731">
        <f>IFERROR(SEARCH(search!$B$6,samples!E268,1),0)</f>
        <v>0</v>
      </c>
      <c r="K731" t="str">
        <f>IF(samples!F268=0,"",samples!F268)</f>
        <v/>
      </c>
      <c r="L731">
        <f>IFERROR(SEARCH(search!$B$6,samples!F268,1),0)</f>
        <v>0</v>
      </c>
      <c r="M731" t="str">
        <f>IF(samples!G268=0,"",samples!G268)</f>
        <v/>
      </c>
      <c r="N731">
        <f>IFERROR(SEARCH(search!$B$6,samples!G268,1),0)</f>
        <v>0</v>
      </c>
      <c r="O731" t="str">
        <f>IF(samples!H268=0,"",samples!H268)</f>
        <v/>
      </c>
      <c r="P731">
        <f>IFERROR(SEARCH(search!$B$6,samples!H268,1),0)</f>
        <v>0</v>
      </c>
      <c r="Q731" t="str">
        <f>IF(samples!I268=0,"",samples!I268)</f>
        <v/>
      </c>
      <c r="R731">
        <f>IFERROR(SEARCH(search!$B$6,samples!I268,1),0)</f>
        <v>0</v>
      </c>
      <c r="S731" t="str">
        <f>IF(samples!J268=0,"",samples!J268)</f>
        <v/>
      </c>
      <c r="T731">
        <f>IFERROR(SEARCH(search!$B$6,samples!J268,1),0)</f>
        <v>0</v>
      </c>
      <c r="U731" t="str">
        <f>IF(samples!K268=0,"",samples!K268)</f>
        <v/>
      </c>
      <c r="V731">
        <f>IFERROR(SEARCH(search!$B$6,samples!K268,1),0)</f>
        <v>0</v>
      </c>
      <c r="W731" t="str">
        <f>IF(samples!L268=0,"",samples!L268)</f>
        <v/>
      </c>
      <c r="X731">
        <f>IFERROR(SEARCH(search!$B$6,samples!L268,1),0)</f>
        <v>0</v>
      </c>
      <c r="Y731" t="str">
        <f>IF(samples!M268=0,"",samples!M268)</f>
        <v/>
      </c>
      <c r="Z731">
        <f>IFERROR(SEARCH(search!$B$6,samples!M268,1),0)</f>
        <v>0</v>
      </c>
      <c r="AA731" t="str">
        <f>IF(samples!N268=0,"",samples!N268)</f>
        <v/>
      </c>
      <c r="AB731">
        <f>IFERROR(SEARCH(search!$B$6,samples!N268,1),0)</f>
        <v>0</v>
      </c>
      <c r="AC731" t="str">
        <f>IF(samples!O268=0,"",samples!O268)</f>
        <v/>
      </c>
      <c r="AD731">
        <f>IFERROR(SEARCH(search!$B$6,samples!O268,1),0)</f>
        <v>0</v>
      </c>
    </row>
    <row r="732" spans="1:30">
      <c r="A732">
        <f t="shared" si="11"/>
        <v>0</v>
      </c>
      <c r="B732">
        <f>IF(SUM(D732,F732,H732,J732,L732,N732,P732,R732,T732,V732,X732,Z732,AB732,AD732)&gt;0,SUM($A$2:A732),0)</f>
        <v>0</v>
      </c>
      <c r="C732">
        <f>samples!B269</f>
        <v>0</v>
      </c>
      <c r="D732">
        <f>IFERROR(SEARCH(search!$B$6,samples!B269,1),0)</f>
        <v>0</v>
      </c>
      <c r="E732" t="str">
        <f>IF(samples!C269=0,"",samples!C269)</f>
        <v/>
      </c>
      <c r="F732">
        <f>IFERROR(SEARCH(search!$B$6,samples!C269,1),0)</f>
        <v>0</v>
      </c>
      <c r="G732" t="str">
        <f>IF(samples!D269=0,"",samples!D269)</f>
        <v/>
      </c>
      <c r="H732">
        <f>IFERROR(SEARCH(search!$B$6,samples!D269,1),0)</f>
        <v>0</v>
      </c>
      <c r="I732" t="str">
        <f>IF(samples!E269=0,"",samples!E269)</f>
        <v/>
      </c>
      <c r="J732">
        <f>IFERROR(SEARCH(search!$B$6,samples!E269,1),0)</f>
        <v>0</v>
      </c>
      <c r="K732" t="str">
        <f>IF(samples!F269=0,"",samples!F269)</f>
        <v/>
      </c>
      <c r="L732">
        <f>IFERROR(SEARCH(search!$B$6,samples!F269,1),0)</f>
        <v>0</v>
      </c>
      <c r="M732" t="str">
        <f>IF(samples!G269=0,"",samples!G269)</f>
        <v/>
      </c>
      <c r="N732">
        <f>IFERROR(SEARCH(search!$B$6,samples!G269,1),0)</f>
        <v>0</v>
      </c>
      <c r="O732" t="str">
        <f>IF(samples!H269=0,"",samples!H269)</f>
        <v/>
      </c>
      <c r="P732">
        <f>IFERROR(SEARCH(search!$B$6,samples!H269,1),0)</f>
        <v>0</v>
      </c>
      <c r="Q732" t="str">
        <f>IF(samples!I269=0,"",samples!I269)</f>
        <v/>
      </c>
      <c r="R732">
        <f>IFERROR(SEARCH(search!$B$6,samples!I269,1),0)</f>
        <v>0</v>
      </c>
      <c r="S732" t="str">
        <f>IF(samples!J269=0,"",samples!J269)</f>
        <v/>
      </c>
      <c r="T732">
        <f>IFERROR(SEARCH(search!$B$6,samples!J269,1),0)</f>
        <v>0</v>
      </c>
      <c r="U732" t="str">
        <f>IF(samples!K269=0,"",samples!K269)</f>
        <v/>
      </c>
      <c r="V732">
        <f>IFERROR(SEARCH(search!$B$6,samples!K269,1),0)</f>
        <v>0</v>
      </c>
      <c r="W732" t="str">
        <f>IF(samples!L269=0,"",samples!L269)</f>
        <v/>
      </c>
      <c r="X732">
        <f>IFERROR(SEARCH(search!$B$6,samples!L269,1),0)</f>
        <v>0</v>
      </c>
      <c r="Y732" t="str">
        <f>IF(samples!M269=0,"",samples!M269)</f>
        <v/>
      </c>
      <c r="Z732">
        <f>IFERROR(SEARCH(search!$B$6,samples!M269,1),0)</f>
        <v>0</v>
      </c>
      <c r="AA732" t="str">
        <f>IF(samples!N269=0,"",samples!N269)</f>
        <v/>
      </c>
      <c r="AB732">
        <f>IFERROR(SEARCH(search!$B$6,samples!N269,1),0)</f>
        <v>0</v>
      </c>
      <c r="AC732" t="str">
        <f>IF(samples!O269=0,"",samples!O269)</f>
        <v/>
      </c>
      <c r="AD732">
        <f>IFERROR(SEARCH(search!$B$6,samples!O269,1),0)</f>
        <v>0</v>
      </c>
    </row>
    <row r="733" spans="1:30">
      <c r="A733">
        <f t="shared" si="11"/>
        <v>0</v>
      </c>
      <c r="B733">
        <f>IF(SUM(D733,F733,H733,J733,L733,N733,P733,R733,T733,V733,X733,Z733,AB733,AD733)&gt;0,SUM($A$2:A733),0)</f>
        <v>0</v>
      </c>
      <c r="C733">
        <f>samples!B270</f>
        <v>0</v>
      </c>
      <c r="D733">
        <f>IFERROR(SEARCH(search!$B$6,samples!B270,1),0)</f>
        <v>0</v>
      </c>
      <c r="E733" t="str">
        <f>IF(samples!C270=0,"",samples!C270)</f>
        <v/>
      </c>
      <c r="F733">
        <f>IFERROR(SEARCH(search!$B$6,samples!C270,1),0)</f>
        <v>0</v>
      </c>
      <c r="G733" t="str">
        <f>IF(samples!D270=0,"",samples!D270)</f>
        <v/>
      </c>
      <c r="H733">
        <f>IFERROR(SEARCH(search!$B$6,samples!D270,1),0)</f>
        <v>0</v>
      </c>
      <c r="I733" t="str">
        <f>IF(samples!E270=0,"",samples!E270)</f>
        <v/>
      </c>
      <c r="J733">
        <f>IFERROR(SEARCH(search!$B$6,samples!E270,1),0)</f>
        <v>0</v>
      </c>
      <c r="K733" t="str">
        <f>IF(samples!F270=0,"",samples!F270)</f>
        <v/>
      </c>
      <c r="L733">
        <f>IFERROR(SEARCH(search!$B$6,samples!F270,1),0)</f>
        <v>0</v>
      </c>
      <c r="M733" t="str">
        <f>IF(samples!G270=0,"",samples!G270)</f>
        <v/>
      </c>
      <c r="N733">
        <f>IFERROR(SEARCH(search!$B$6,samples!G270,1),0)</f>
        <v>0</v>
      </c>
      <c r="O733" t="str">
        <f>IF(samples!H270=0,"",samples!H270)</f>
        <v/>
      </c>
      <c r="P733">
        <f>IFERROR(SEARCH(search!$B$6,samples!H270,1),0)</f>
        <v>0</v>
      </c>
      <c r="Q733" t="str">
        <f>IF(samples!I270=0,"",samples!I270)</f>
        <v/>
      </c>
      <c r="R733">
        <f>IFERROR(SEARCH(search!$B$6,samples!I270,1),0)</f>
        <v>0</v>
      </c>
      <c r="S733" t="str">
        <f>IF(samples!J270=0,"",samples!J270)</f>
        <v/>
      </c>
      <c r="T733">
        <f>IFERROR(SEARCH(search!$B$6,samples!J270,1),0)</f>
        <v>0</v>
      </c>
      <c r="U733" t="str">
        <f>IF(samples!K270=0,"",samples!K270)</f>
        <v/>
      </c>
      <c r="V733">
        <f>IFERROR(SEARCH(search!$B$6,samples!K270,1),0)</f>
        <v>0</v>
      </c>
      <c r="W733" t="str">
        <f>IF(samples!L270=0,"",samples!L270)</f>
        <v/>
      </c>
      <c r="X733">
        <f>IFERROR(SEARCH(search!$B$6,samples!L270,1),0)</f>
        <v>0</v>
      </c>
      <c r="Y733" t="str">
        <f>IF(samples!M270=0,"",samples!M270)</f>
        <v/>
      </c>
      <c r="Z733">
        <f>IFERROR(SEARCH(search!$B$6,samples!M270,1),0)</f>
        <v>0</v>
      </c>
      <c r="AA733" t="str">
        <f>IF(samples!N270=0,"",samples!N270)</f>
        <v/>
      </c>
      <c r="AB733">
        <f>IFERROR(SEARCH(search!$B$6,samples!N270,1),0)</f>
        <v>0</v>
      </c>
      <c r="AC733" t="str">
        <f>IF(samples!O270=0,"",samples!O270)</f>
        <v/>
      </c>
      <c r="AD733">
        <f>IFERROR(SEARCH(search!$B$6,samples!O270,1),0)</f>
        <v>0</v>
      </c>
    </row>
    <row r="734" spans="1:30">
      <c r="A734">
        <f t="shared" si="11"/>
        <v>0</v>
      </c>
      <c r="B734">
        <f>IF(SUM(D734,F734,H734,J734,L734,N734,P734,R734,T734,V734,X734,Z734,AB734,AD734)&gt;0,SUM($A$2:A734),0)</f>
        <v>0</v>
      </c>
      <c r="C734">
        <f>samples!B271</f>
        <v>0</v>
      </c>
      <c r="D734">
        <f>IFERROR(SEARCH(search!$B$6,samples!B271,1),0)</f>
        <v>0</v>
      </c>
      <c r="E734" t="str">
        <f>IF(samples!C271=0,"",samples!C271)</f>
        <v/>
      </c>
      <c r="F734">
        <f>IFERROR(SEARCH(search!$B$6,samples!C271,1),0)</f>
        <v>0</v>
      </c>
      <c r="G734" t="str">
        <f>IF(samples!D271=0,"",samples!D271)</f>
        <v/>
      </c>
      <c r="H734">
        <f>IFERROR(SEARCH(search!$B$6,samples!D271,1),0)</f>
        <v>0</v>
      </c>
      <c r="I734" t="str">
        <f>IF(samples!E271=0,"",samples!E271)</f>
        <v/>
      </c>
      <c r="J734">
        <f>IFERROR(SEARCH(search!$B$6,samples!E271,1),0)</f>
        <v>0</v>
      </c>
      <c r="K734" t="str">
        <f>IF(samples!F271=0,"",samples!F271)</f>
        <v/>
      </c>
      <c r="L734">
        <f>IFERROR(SEARCH(search!$B$6,samples!F271,1),0)</f>
        <v>0</v>
      </c>
      <c r="M734" t="str">
        <f>IF(samples!G271=0,"",samples!G271)</f>
        <v/>
      </c>
      <c r="N734">
        <f>IFERROR(SEARCH(search!$B$6,samples!G271,1),0)</f>
        <v>0</v>
      </c>
      <c r="O734" t="str">
        <f>IF(samples!H271=0,"",samples!H271)</f>
        <v/>
      </c>
      <c r="P734">
        <f>IFERROR(SEARCH(search!$B$6,samples!H271,1),0)</f>
        <v>0</v>
      </c>
      <c r="Q734" t="str">
        <f>IF(samples!I271=0,"",samples!I271)</f>
        <v/>
      </c>
      <c r="R734">
        <f>IFERROR(SEARCH(search!$B$6,samples!I271,1),0)</f>
        <v>0</v>
      </c>
      <c r="S734" t="str">
        <f>IF(samples!J271=0,"",samples!J271)</f>
        <v/>
      </c>
      <c r="T734">
        <f>IFERROR(SEARCH(search!$B$6,samples!J271,1),0)</f>
        <v>0</v>
      </c>
      <c r="U734" t="str">
        <f>IF(samples!K271=0,"",samples!K271)</f>
        <v/>
      </c>
      <c r="V734">
        <f>IFERROR(SEARCH(search!$B$6,samples!K271,1),0)</f>
        <v>0</v>
      </c>
      <c r="W734" t="str">
        <f>IF(samples!L271=0,"",samples!L271)</f>
        <v/>
      </c>
      <c r="X734">
        <f>IFERROR(SEARCH(search!$B$6,samples!L271,1),0)</f>
        <v>0</v>
      </c>
      <c r="Y734" t="str">
        <f>IF(samples!M271=0,"",samples!M271)</f>
        <v/>
      </c>
      <c r="Z734">
        <f>IFERROR(SEARCH(search!$B$6,samples!M271,1),0)</f>
        <v>0</v>
      </c>
      <c r="AA734" t="str">
        <f>IF(samples!N271=0,"",samples!N271)</f>
        <v/>
      </c>
      <c r="AB734">
        <f>IFERROR(SEARCH(search!$B$6,samples!N271,1),0)</f>
        <v>0</v>
      </c>
      <c r="AC734" t="str">
        <f>IF(samples!O271=0,"",samples!O271)</f>
        <v/>
      </c>
      <c r="AD734">
        <f>IFERROR(SEARCH(search!$B$6,samples!O271,1),0)</f>
        <v>0</v>
      </c>
    </row>
    <row r="735" spans="1:30">
      <c r="A735">
        <f t="shared" si="11"/>
        <v>0</v>
      </c>
      <c r="B735">
        <f>IF(SUM(D735,F735,H735,J735,L735,N735,P735,R735,T735,V735,X735,Z735,AB735,AD735)&gt;0,SUM($A$2:A735),0)</f>
        <v>0</v>
      </c>
      <c r="C735">
        <f>samples!B272</f>
        <v>0</v>
      </c>
      <c r="D735">
        <f>IFERROR(SEARCH(search!$B$6,samples!B272,1),0)</f>
        <v>0</v>
      </c>
      <c r="E735" t="str">
        <f>IF(samples!C272=0,"",samples!C272)</f>
        <v/>
      </c>
      <c r="F735">
        <f>IFERROR(SEARCH(search!$B$6,samples!C272,1),0)</f>
        <v>0</v>
      </c>
      <c r="G735" t="str">
        <f>IF(samples!D272=0,"",samples!D272)</f>
        <v/>
      </c>
      <c r="H735">
        <f>IFERROR(SEARCH(search!$B$6,samples!D272,1),0)</f>
        <v>0</v>
      </c>
      <c r="I735" t="str">
        <f>IF(samples!E272=0,"",samples!E272)</f>
        <v/>
      </c>
      <c r="J735">
        <f>IFERROR(SEARCH(search!$B$6,samples!E272,1),0)</f>
        <v>0</v>
      </c>
      <c r="K735" t="str">
        <f>IF(samples!F272=0,"",samples!F272)</f>
        <v/>
      </c>
      <c r="L735">
        <f>IFERROR(SEARCH(search!$B$6,samples!F272,1),0)</f>
        <v>0</v>
      </c>
      <c r="M735" t="str">
        <f>IF(samples!G272=0,"",samples!G272)</f>
        <v/>
      </c>
      <c r="N735">
        <f>IFERROR(SEARCH(search!$B$6,samples!G272,1),0)</f>
        <v>0</v>
      </c>
      <c r="O735" t="str">
        <f>IF(samples!H272=0,"",samples!H272)</f>
        <v/>
      </c>
      <c r="P735">
        <f>IFERROR(SEARCH(search!$B$6,samples!H272,1),0)</f>
        <v>0</v>
      </c>
      <c r="Q735" t="str">
        <f>IF(samples!I272=0,"",samples!I272)</f>
        <v/>
      </c>
      <c r="R735">
        <f>IFERROR(SEARCH(search!$B$6,samples!I272,1),0)</f>
        <v>0</v>
      </c>
      <c r="S735" t="str">
        <f>IF(samples!J272=0,"",samples!J272)</f>
        <v/>
      </c>
      <c r="T735">
        <f>IFERROR(SEARCH(search!$B$6,samples!J272,1),0)</f>
        <v>0</v>
      </c>
      <c r="U735" t="str">
        <f>IF(samples!K272=0,"",samples!K272)</f>
        <v/>
      </c>
      <c r="V735">
        <f>IFERROR(SEARCH(search!$B$6,samples!K272,1),0)</f>
        <v>0</v>
      </c>
      <c r="W735" t="str">
        <f>IF(samples!L272=0,"",samples!L272)</f>
        <v/>
      </c>
      <c r="X735">
        <f>IFERROR(SEARCH(search!$B$6,samples!L272,1),0)</f>
        <v>0</v>
      </c>
      <c r="Y735" t="str">
        <f>IF(samples!M272=0,"",samples!M272)</f>
        <v/>
      </c>
      <c r="Z735">
        <f>IFERROR(SEARCH(search!$B$6,samples!M272,1),0)</f>
        <v>0</v>
      </c>
      <c r="AA735" t="str">
        <f>IF(samples!N272=0,"",samples!N272)</f>
        <v/>
      </c>
      <c r="AB735">
        <f>IFERROR(SEARCH(search!$B$6,samples!N272,1),0)</f>
        <v>0</v>
      </c>
      <c r="AC735" t="str">
        <f>IF(samples!O272=0,"",samples!O272)</f>
        <v/>
      </c>
      <c r="AD735">
        <f>IFERROR(SEARCH(search!$B$6,samples!O272,1),0)</f>
        <v>0</v>
      </c>
    </row>
    <row r="736" spans="1:30">
      <c r="A736">
        <f t="shared" si="11"/>
        <v>0</v>
      </c>
      <c r="B736">
        <f>IF(SUM(D736,F736,H736,J736,L736,N736,P736,R736,T736,V736,X736,Z736,AB736,AD736)&gt;0,SUM($A$2:A736),0)</f>
        <v>0</v>
      </c>
      <c r="C736">
        <f>samples!B273</f>
        <v>0</v>
      </c>
      <c r="D736">
        <f>IFERROR(SEARCH(search!$B$6,samples!B273,1),0)</f>
        <v>0</v>
      </c>
      <c r="E736" t="str">
        <f>IF(samples!C273=0,"",samples!C273)</f>
        <v/>
      </c>
      <c r="F736">
        <f>IFERROR(SEARCH(search!$B$6,samples!C273,1),0)</f>
        <v>0</v>
      </c>
      <c r="G736" t="str">
        <f>IF(samples!D273=0,"",samples!D273)</f>
        <v/>
      </c>
      <c r="H736">
        <f>IFERROR(SEARCH(search!$B$6,samples!D273,1),0)</f>
        <v>0</v>
      </c>
      <c r="I736" t="str">
        <f>IF(samples!E273=0,"",samples!E273)</f>
        <v/>
      </c>
      <c r="J736">
        <f>IFERROR(SEARCH(search!$B$6,samples!E273,1),0)</f>
        <v>0</v>
      </c>
      <c r="K736" t="str">
        <f>IF(samples!F273=0,"",samples!F273)</f>
        <v/>
      </c>
      <c r="L736">
        <f>IFERROR(SEARCH(search!$B$6,samples!F273,1),0)</f>
        <v>0</v>
      </c>
      <c r="M736" t="str">
        <f>IF(samples!G273=0,"",samples!G273)</f>
        <v/>
      </c>
      <c r="N736">
        <f>IFERROR(SEARCH(search!$B$6,samples!G273,1),0)</f>
        <v>0</v>
      </c>
      <c r="O736" t="str">
        <f>IF(samples!H273=0,"",samples!H273)</f>
        <v/>
      </c>
      <c r="P736">
        <f>IFERROR(SEARCH(search!$B$6,samples!H273,1),0)</f>
        <v>0</v>
      </c>
      <c r="Q736" t="str">
        <f>IF(samples!I273=0,"",samples!I273)</f>
        <v/>
      </c>
      <c r="R736">
        <f>IFERROR(SEARCH(search!$B$6,samples!I273,1),0)</f>
        <v>0</v>
      </c>
      <c r="S736" t="str">
        <f>IF(samples!J273=0,"",samples!J273)</f>
        <v/>
      </c>
      <c r="T736">
        <f>IFERROR(SEARCH(search!$B$6,samples!J273,1),0)</f>
        <v>0</v>
      </c>
      <c r="U736" t="str">
        <f>IF(samples!K273=0,"",samples!K273)</f>
        <v/>
      </c>
      <c r="V736">
        <f>IFERROR(SEARCH(search!$B$6,samples!K273,1),0)</f>
        <v>0</v>
      </c>
      <c r="W736" t="str">
        <f>IF(samples!L273=0,"",samples!L273)</f>
        <v/>
      </c>
      <c r="X736">
        <f>IFERROR(SEARCH(search!$B$6,samples!L273,1),0)</f>
        <v>0</v>
      </c>
      <c r="Y736" t="str">
        <f>IF(samples!M273=0,"",samples!M273)</f>
        <v/>
      </c>
      <c r="Z736">
        <f>IFERROR(SEARCH(search!$B$6,samples!M273,1),0)</f>
        <v>0</v>
      </c>
      <c r="AA736" t="str">
        <f>IF(samples!N273=0,"",samples!N273)</f>
        <v/>
      </c>
      <c r="AB736">
        <f>IFERROR(SEARCH(search!$B$6,samples!N273,1),0)</f>
        <v>0</v>
      </c>
      <c r="AC736" t="str">
        <f>IF(samples!O273=0,"",samples!O273)</f>
        <v/>
      </c>
      <c r="AD736">
        <f>IFERROR(SEARCH(search!$B$6,samples!O273,1),0)</f>
        <v>0</v>
      </c>
    </row>
    <row r="737" spans="1:30">
      <c r="A737">
        <f t="shared" si="11"/>
        <v>0</v>
      </c>
      <c r="B737">
        <f>IF(SUM(D737,F737,H737,J737,L737,N737,P737,R737,T737,V737,X737,Z737,AB737,AD737)&gt;0,SUM($A$2:A737),0)</f>
        <v>0</v>
      </c>
      <c r="C737">
        <f>samples!B274</f>
        <v>0</v>
      </c>
      <c r="D737">
        <f>IFERROR(SEARCH(search!$B$6,samples!B274,1),0)</f>
        <v>0</v>
      </c>
      <c r="E737" t="str">
        <f>IF(samples!C274=0,"",samples!C274)</f>
        <v/>
      </c>
      <c r="F737">
        <f>IFERROR(SEARCH(search!$B$6,samples!C274,1),0)</f>
        <v>0</v>
      </c>
      <c r="G737" t="str">
        <f>IF(samples!D274=0,"",samples!D274)</f>
        <v/>
      </c>
      <c r="H737">
        <f>IFERROR(SEARCH(search!$B$6,samples!D274,1),0)</f>
        <v>0</v>
      </c>
      <c r="I737" t="str">
        <f>IF(samples!E274=0,"",samples!E274)</f>
        <v/>
      </c>
      <c r="J737">
        <f>IFERROR(SEARCH(search!$B$6,samples!E274,1),0)</f>
        <v>0</v>
      </c>
      <c r="K737" t="str">
        <f>IF(samples!F274=0,"",samples!F274)</f>
        <v/>
      </c>
      <c r="L737">
        <f>IFERROR(SEARCH(search!$B$6,samples!F274,1),0)</f>
        <v>0</v>
      </c>
      <c r="M737" t="str">
        <f>IF(samples!G274=0,"",samples!G274)</f>
        <v/>
      </c>
      <c r="N737">
        <f>IFERROR(SEARCH(search!$B$6,samples!G274,1),0)</f>
        <v>0</v>
      </c>
      <c r="O737" t="str">
        <f>IF(samples!H274=0,"",samples!H274)</f>
        <v/>
      </c>
      <c r="P737">
        <f>IFERROR(SEARCH(search!$B$6,samples!H274,1),0)</f>
        <v>0</v>
      </c>
      <c r="Q737" t="str">
        <f>IF(samples!I274=0,"",samples!I274)</f>
        <v/>
      </c>
      <c r="R737">
        <f>IFERROR(SEARCH(search!$B$6,samples!I274,1),0)</f>
        <v>0</v>
      </c>
      <c r="S737" t="str">
        <f>IF(samples!J274=0,"",samples!J274)</f>
        <v/>
      </c>
      <c r="T737">
        <f>IFERROR(SEARCH(search!$B$6,samples!J274,1),0)</f>
        <v>0</v>
      </c>
      <c r="U737" t="str">
        <f>IF(samples!K274=0,"",samples!K274)</f>
        <v/>
      </c>
      <c r="V737">
        <f>IFERROR(SEARCH(search!$B$6,samples!K274,1),0)</f>
        <v>0</v>
      </c>
      <c r="W737" t="str">
        <f>IF(samples!L274=0,"",samples!L274)</f>
        <v/>
      </c>
      <c r="X737">
        <f>IFERROR(SEARCH(search!$B$6,samples!L274,1),0)</f>
        <v>0</v>
      </c>
      <c r="Y737" t="str">
        <f>IF(samples!M274=0,"",samples!M274)</f>
        <v/>
      </c>
      <c r="Z737">
        <f>IFERROR(SEARCH(search!$B$6,samples!M274,1),0)</f>
        <v>0</v>
      </c>
      <c r="AA737" t="str">
        <f>IF(samples!N274=0,"",samples!N274)</f>
        <v/>
      </c>
      <c r="AB737">
        <f>IFERROR(SEARCH(search!$B$6,samples!N274,1),0)</f>
        <v>0</v>
      </c>
      <c r="AC737" t="str">
        <f>IF(samples!O274=0,"",samples!O274)</f>
        <v/>
      </c>
      <c r="AD737">
        <f>IFERROR(SEARCH(search!$B$6,samples!O274,1),0)</f>
        <v>0</v>
      </c>
    </row>
    <row r="738" spans="1:30">
      <c r="A738">
        <f t="shared" si="11"/>
        <v>0</v>
      </c>
      <c r="B738">
        <f>IF(SUM(D738,F738,H738,J738,L738,N738,P738,R738,T738,V738,X738,Z738,AB738,AD738)&gt;0,SUM($A$2:A738),0)</f>
        <v>0</v>
      </c>
      <c r="C738">
        <f>samples!B275</f>
        <v>0</v>
      </c>
      <c r="D738">
        <f>IFERROR(SEARCH(search!$B$6,samples!B275,1),0)</f>
        <v>0</v>
      </c>
      <c r="E738" t="str">
        <f>IF(samples!C275=0,"",samples!C275)</f>
        <v/>
      </c>
      <c r="F738">
        <f>IFERROR(SEARCH(search!$B$6,samples!C275,1),0)</f>
        <v>0</v>
      </c>
      <c r="G738" t="str">
        <f>IF(samples!D275=0,"",samples!D275)</f>
        <v/>
      </c>
      <c r="H738">
        <f>IFERROR(SEARCH(search!$B$6,samples!D275,1),0)</f>
        <v>0</v>
      </c>
      <c r="I738" t="str">
        <f>IF(samples!E275=0,"",samples!E275)</f>
        <v/>
      </c>
      <c r="J738">
        <f>IFERROR(SEARCH(search!$B$6,samples!E275,1),0)</f>
        <v>0</v>
      </c>
      <c r="K738" t="str">
        <f>IF(samples!F275=0,"",samples!F275)</f>
        <v/>
      </c>
      <c r="L738">
        <f>IFERROR(SEARCH(search!$B$6,samples!F275,1),0)</f>
        <v>0</v>
      </c>
      <c r="M738" t="str">
        <f>IF(samples!G275=0,"",samples!G275)</f>
        <v/>
      </c>
      <c r="N738">
        <f>IFERROR(SEARCH(search!$B$6,samples!G275,1),0)</f>
        <v>0</v>
      </c>
      <c r="O738" t="str">
        <f>IF(samples!H275=0,"",samples!H275)</f>
        <v/>
      </c>
      <c r="P738">
        <f>IFERROR(SEARCH(search!$B$6,samples!H275,1),0)</f>
        <v>0</v>
      </c>
      <c r="Q738" t="str">
        <f>IF(samples!I275=0,"",samples!I275)</f>
        <v/>
      </c>
      <c r="R738">
        <f>IFERROR(SEARCH(search!$B$6,samples!I275,1),0)</f>
        <v>0</v>
      </c>
      <c r="S738" t="str">
        <f>IF(samples!J275=0,"",samples!J275)</f>
        <v/>
      </c>
      <c r="T738">
        <f>IFERROR(SEARCH(search!$B$6,samples!J275,1),0)</f>
        <v>0</v>
      </c>
      <c r="U738" t="str">
        <f>IF(samples!K275=0,"",samples!K275)</f>
        <v/>
      </c>
      <c r="V738">
        <f>IFERROR(SEARCH(search!$B$6,samples!K275,1),0)</f>
        <v>0</v>
      </c>
      <c r="W738" t="str">
        <f>IF(samples!L275=0,"",samples!L275)</f>
        <v/>
      </c>
      <c r="X738">
        <f>IFERROR(SEARCH(search!$B$6,samples!L275,1),0)</f>
        <v>0</v>
      </c>
      <c r="Y738" t="str">
        <f>IF(samples!M275=0,"",samples!M275)</f>
        <v/>
      </c>
      <c r="Z738">
        <f>IFERROR(SEARCH(search!$B$6,samples!M275,1),0)</f>
        <v>0</v>
      </c>
      <c r="AA738" t="str">
        <f>IF(samples!N275=0,"",samples!N275)</f>
        <v/>
      </c>
      <c r="AB738">
        <f>IFERROR(SEARCH(search!$B$6,samples!N275,1),0)</f>
        <v>0</v>
      </c>
      <c r="AC738" t="str">
        <f>IF(samples!O275=0,"",samples!O275)</f>
        <v/>
      </c>
      <c r="AD738">
        <f>IFERROR(SEARCH(search!$B$6,samples!O275,1),0)</f>
        <v>0</v>
      </c>
    </row>
    <row r="739" spans="1:30">
      <c r="A739">
        <f t="shared" si="11"/>
        <v>0</v>
      </c>
      <c r="B739">
        <f>IF(SUM(D739,F739,H739,J739,L739,N739,P739,R739,T739,V739,X739,Z739,AB739,AD739)&gt;0,SUM($A$2:A739),0)</f>
        <v>0</v>
      </c>
      <c r="C739">
        <f>samples!B276</f>
        <v>0</v>
      </c>
      <c r="D739">
        <f>IFERROR(SEARCH(search!$B$6,samples!B276,1),0)</f>
        <v>0</v>
      </c>
      <c r="E739" t="str">
        <f>IF(samples!C276=0,"",samples!C276)</f>
        <v/>
      </c>
      <c r="F739">
        <f>IFERROR(SEARCH(search!$B$6,samples!C276,1),0)</f>
        <v>0</v>
      </c>
      <c r="G739" t="str">
        <f>IF(samples!D276=0,"",samples!D276)</f>
        <v/>
      </c>
      <c r="H739">
        <f>IFERROR(SEARCH(search!$B$6,samples!D276,1),0)</f>
        <v>0</v>
      </c>
      <c r="I739" t="str">
        <f>IF(samples!E276=0,"",samples!E276)</f>
        <v/>
      </c>
      <c r="J739">
        <f>IFERROR(SEARCH(search!$B$6,samples!E276,1),0)</f>
        <v>0</v>
      </c>
      <c r="K739" t="str">
        <f>IF(samples!F276=0,"",samples!F276)</f>
        <v/>
      </c>
      <c r="L739">
        <f>IFERROR(SEARCH(search!$B$6,samples!F276,1),0)</f>
        <v>0</v>
      </c>
      <c r="M739" t="str">
        <f>IF(samples!G276=0,"",samples!G276)</f>
        <v/>
      </c>
      <c r="N739">
        <f>IFERROR(SEARCH(search!$B$6,samples!G276,1),0)</f>
        <v>0</v>
      </c>
      <c r="O739" t="str">
        <f>IF(samples!H276=0,"",samples!H276)</f>
        <v/>
      </c>
      <c r="P739">
        <f>IFERROR(SEARCH(search!$B$6,samples!H276,1),0)</f>
        <v>0</v>
      </c>
      <c r="Q739" t="str">
        <f>IF(samples!I276=0,"",samples!I276)</f>
        <v/>
      </c>
      <c r="R739">
        <f>IFERROR(SEARCH(search!$B$6,samples!I276,1),0)</f>
        <v>0</v>
      </c>
      <c r="S739" t="str">
        <f>IF(samples!J276=0,"",samples!J276)</f>
        <v/>
      </c>
      <c r="T739">
        <f>IFERROR(SEARCH(search!$B$6,samples!J276,1),0)</f>
        <v>0</v>
      </c>
      <c r="U739" t="str">
        <f>IF(samples!K276=0,"",samples!K276)</f>
        <v/>
      </c>
      <c r="V739">
        <f>IFERROR(SEARCH(search!$B$6,samples!K276,1),0)</f>
        <v>0</v>
      </c>
      <c r="W739" t="str">
        <f>IF(samples!L276=0,"",samples!L276)</f>
        <v/>
      </c>
      <c r="X739">
        <f>IFERROR(SEARCH(search!$B$6,samples!L276,1),0)</f>
        <v>0</v>
      </c>
      <c r="Y739" t="str">
        <f>IF(samples!M276=0,"",samples!M276)</f>
        <v/>
      </c>
      <c r="Z739">
        <f>IFERROR(SEARCH(search!$B$6,samples!M276,1),0)</f>
        <v>0</v>
      </c>
      <c r="AA739" t="str">
        <f>IF(samples!N276=0,"",samples!N276)</f>
        <v/>
      </c>
      <c r="AB739">
        <f>IFERROR(SEARCH(search!$B$6,samples!N276,1),0)</f>
        <v>0</v>
      </c>
      <c r="AC739" t="str">
        <f>IF(samples!O276=0,"",samples!O276)</f>
        <v/>
      </c>
      <c r="AD739">
        <f>IFERROR(SEARCH(search!$B$6,samples!O276,1),0)</f>
        <v>0</v>
      </c>
    </row>
    <row r="740" spans="1:30">
      <c r="A740">
        <f t="shared" si="11"/>
        <v>0</v>
      </c>
      <c r="B740">
        <f>IF(SUM(D740,F740,H740,J740,L740,N740,P740,R740,T740,V740,X740,Z740,AB740,AD740)&gt;0,SUM($A$2:A740),0)</f>
        <v>0</v>
      </c>
      <c r="C740">
        <f>samples!B277</f>
        <v>0</v>
      </c>
      <c r="D740">
        <f>IFERROR(SEARCH(search!$B$6,samples!B277,1),0)</f>
        <v>0</v>
      </c>
      <c r="E740" t="str">
        <f>IF(samples!C277=0,"",samples!C277)</f>
        <v/>
      </c>
      <c r="F740">
        <f>IFERROR(SEARCH(search!$B$6,samples!C277,1),0)</f>
        <v>0</v>
      </c>
      <c r="G740" t="str">
        <f>IF(samples!D277=0,"",samples!D277)</f>
        <v/>
      </c>
      <c r="H740">
        <f>IFERROR(SEARCH(search!$B$6,samples!D277,1),0)</f>
        <v>0</v>
      </c>
      <c r="I740" t="str">
        <f>IF(samples!E277=0,"",samples!E277)</f>
        <v/>
      </c>
      <c r="J740">
        <f>IFERROR(SEARCH(search!$B$6,samples!E277,1),0)</f>
        <v>0</v>
      </c>
      <c r="K740" t="str">
        <f>IF(samples!F277=0,"",samples!F277)</f>
        <v/>
      </c>
      <c r="L740">
        <f>IFERROR(SEARCH(search!$B$6,samples!F277,1),0)</f>
        <v>0</v>
      </c>
      <c r="M740" t="str">
        <f>IF(samples!G277=0,"",samples!G277)</f>
        <v/>
      </c>
      <c r="N740">
        <f>IFERROR(SEARCH(search!$B$6,samples!G277,1),0)</f>
        <v>0</v>
      </c>
      <c r="O740" t="str">
        <f>IF(samples!H277=0,"",samples!H277)</f>
        <v/>
      </c>
      <c r="P740">
        <f>IFERROR(SEARCH(search!$B$6,samples!H277,1),0)</f>
        <v>0</v>
      </c>
      <c r="Q740" t="str">
        <f>IF(samples!I277=0,"",samples!I277)</f>
        <v/>
      </c>
      <c r="R740">
        <f>IFERROR(SEARCH(search!$B$6,samples!I277,1),0)</f>
        <v>0</v>
      </c>
      <c r="S740" t="str">
        <f>IF(samples!J277=0,"",samples!J277)</f>
        <v/>
      </c>
      <c r="T740">
        <f>IFERROR(SEARCH(search!$B$6,samples!J277,1),0)</f>
        <v>0</v>
      </c>
      <c r="U740" t="str">
        <f>IF(samples!K277=0,"",samples!K277)</f>
        <v/>
      </c>
      <c r="V740">
        <f>IFERROR(SEARCH(search!$B$6,samples!K277,1),0)</f>
        <v>0</v>
      </c>
      <c r="W740" t="str">
        <f>IF(samples!L277=0,"",samples!L277)</f>
        <v/>
      </c>
      <c r="X740">
        <f>IFERROR(SEARCH(search!$B$6,samples!L277,1),0)</f>
        <v>0</v>
      </c>
      <c r="Y740" t="str">
        <f>IF(samples!M277=0,"",samples!M277)</f>
        <v/>
      </c>
      <c r="Z740">
        <f>IFERROR(SEARCH(search!$B$6,samples!M277,1),0)</f>
        <v>0</v>
      </c>
      <c r="AA740" t="str">
        <f>IF(samples!N277=0,"",samples!N277)</f>
        <v/>
      </c>
      <c r="AB740">
        <f>IFERROR(SEARCH(search!$B$6,samples!N277,1),0)</f>
        <v>0</v>
      </c>
      <c r="AC740" t="str">
        <f>IF(samples!O277=0,"",samples!O277)</f>
        <v/>
      </c>
      <c r="AD740">
        <f>IFERROR(SEARCH(search!$B$6,samples!O277,1),0)</f>
        <v>0</v>
      </c>
    </row>
    <row r="741" spans="1:30">
      <c r="A741">
        <f t="shared" si="11"/>
        <v>0</v>
      </c>
      <c r="B741">
        <f>IF(SUM(D741,F741,H741,J741,L741,N741,P741,R741,T741,V741,X741,Z741,AB741,AD741)&gt;0,SUM($A$2:A741),0)</f>
        <v>0</v>
      </c>
      <c r="C741">
        <f>samples!B278</f>
        <v>0</v>
      </c>
      <c r="D741">
        <f>IFERROR(SEARCH(search!$B$6,samples!B278,1),0)</f>
        <v>0</v>
      </c>
      <c r="E741" t="str">
        <f>IF(samples!C278=0,"",samples!C278)</f>
        <v/>
      </c>
      <c r="F741">
        <f>IFERROR(SEARCH(search!$B$6,samples!C278,1),0)</f>
        <v>0</v>
      </c>
      <c r="G741" t="str">
        <f>IF(samples!D278=0,"",samples!D278)</f>
        <v/>
      </c>
      <c r="H741">
        <f>IFERROR(SEARCH(search!$B$6,samples!D278,1),0)</f>
        <v>0</v>
      </c>
      <c r="I741" t="str">
        <f>IF(samples!E278=0,"",samples!E278)</f>
        <v/>
      </c>
      <c r="J741">
        <f>IFERROR(SEARCH(search!$B$6,samples!E278,1),0)</f>
        <v>0</v>
      </c>
      <c r="K741" t="str">
        <f>IF(samples!F278=0,"",samples!F278)</f>
        <v/>
      </c>
      <c r="L741">
        <f>IFERROR(SEARCH(search!$B$6,samples!F278,1),0)</f>
        <v>0</v>
      </c>
      <c r="M741" t="str">
        <f>IF(samples!G278=0,"",samples!G278)</f>
        <v/>
      </c>
      <c r="N741">
        <f>IFERROR(SEARCH(search!$B$6,samples!G278,1),0)</f>
        <v>0</v>
      </c>
      <c r="O741" t="str">
        <f>IF(samples!H278=0,"",samples!H278)</f>
        <v/>
      </c>
      <c r="P741">
        <f>IFERROR(SEARCH(search!$B$6,samples!H278,1),0)</f>
        <v>0</v>
      </c>
      <c r="Q741" t="str">
        <f>IF(samples!I278=0,"",samples!I278)</f>
        <v/>
      </c>
      <c r="R741">
        <f>IFERROR(SEARCH(search!$B$6,samples!I278,1),0)</f>
        <v>0</v>
      </c>
      <c r="S741" t="str">
        <f>IF(samples!J278=0,"",samples!J278)</f>
        <v/>
      </c>
      <c r="T741">
        <f>IFERROR(SEARCH(search!$B$6,samples!J278,1),0)</f>
        <v>0</v>
      </c>
      <c r="U741" t="str">
        <f>IF(samples!K278=0,"",samples!K278)</f>
        <v/>
      </c>
      <c r="V741">
        <f>IFERROR(SEARCH(search!$B$6,samples!K278,1),0)</f>
        <v>0</v>
      </c>
      <c r="W741" t="str">
        <f>IF(samples!L278=0,"",samples!L278)</f>
        <v/>
      </c>
      <c r="X741">
        <f>IFERROR(SEARCH(search!$B$6,samples!L278,1),0)</f>
        <v>0</v>
      </c>
      <c r="Y741" t="str">
        <f>IF(samples!M278=0,"",samples!M278)</f>
        <v/>
      </c>
      <c r="Z741">
        <f>IFERROR(SEARCH(search!$B$6,samples!M278,1),0)</f>
        <v>0</v>
      </c>
      <c r="AA741" t="str">
        <f>IF(samples!N278=0,"",samples!N278)</f>
        <v/>
      </c>
      <c r="AB741">
        <f>IFERROR(SEARCH(search!$B$6,samples!N278,1),0)</f>
        <v>0</v>
      </c>
      <c r="AC741" t="str">
        <f>IF(samples!O278=0,"",samples!O278)</f>
        <v/>
      </c>
      <c r="AD741">
        <f>IFERROR(SEARCH(search!$B$6,samples!O278,1),0)</f>
        <v>0</v>
      </c>
    </row>
    <row r="742" spans="1:30">
      <c r="A742">
        <f t="shared" si="11"/>
        <v>0</v>
      </c>
      <c r="B742">
        <f>IF(SUM(D742,F742,H742,J742,L742,N742,P742,R742,T742,V742,X742,Z742,AB742,AD742)&gt;0,SUM($A$2:A742),0)</f>
        <v>0</v>
      </c>
      <c r="C742">
        <f>samples!B279</f>
        <v>0</v>
      </c>
      <c r="D742">
        <f>IFERROR(SEARCH(search!$B$6,samples!B279,1),0)</f>
        <v>0</v>
      </c>
      <c r="E742" t="str">
        <f>IF(samples!C279=0,"",samples!C279)</f>
        <v/>
      </c>
      <c r="F742">
        <f>IFERROR(SEARCH(search!$B$6,samples!C279,1),0)</f>
        <v>0</v>
      </c>
      <c r="G742" t="str">
        <f>IF(samples!D279=0,"",samples!D279)</f>
        <v/>
      </c>
      <c r="H742">
        <f>IFERROR(SEARCH(search!$B$6,samples!D279,1),0)</f>
        <v>0</v>
      </c>
      <c r="I742" t="str">
        <f>IF(samples!E279=0,"",samples!E279)</f>
        <v/>
      </c>
      <c r="J742">
        <f>IFERROR(SEARCH(search!$B$6,samples!E279,1),0)</f>
        <v>0</v>
      </c>
      <c r="K742" t="str">
        <f>IF(samples!F279=0,"",samples!F279)</f>
        <v/>
      </c>
      <c r="L742">
        <f>IFERROR(SEARCH(search!$B$6,samples!F279,1),0)</f>
        <v>0</v>
      </c>
      <c r="M742" t="str">
        <f>IF(samples!G279=0,"",samples!G279)</f>
        <v/>
      </c>
      <c r="N742">
        <f>IFERROR(SEARCH(search!$B$6,samples!G279,1),0)</f>
        <v>0</v>
      </c>
      <c r="O742" t="str">
        <f>IF(samples!H279=0,"",samples!H279)</f>
        <v/>
      </c>
      <c r="P742">
        <f>IFERROR(SEARCH(search!$B$6,samples!H279,1),0)</f>
        <v>0</v>
      </c>
      <c r="Q742" t="str">
        <f>IF(samples!I279=0,"",samples!I279)</f>
        <v/>
      </c>
      <c r="R742">
        <f>IFERROR(SEARCH(search!$B$6,samples!I279,1),0)</f>
        <v>0</v>
      </c>
      <c r="S742" t="str">
        <f>IF(samples!J279=0,"",samples!J279)</f>
        <v/>
      </c>
      <c r="T742">
        <f>IFERROR(SEARCH(search!$B$6,samples!J279,1),0)</f>
        <v>0</v>
      </c>
      <c r="U742" t="str">
        <f>IF(samples!K279=0,"",samples!K279)</f>
        <v/>
      </c>
      <c r="V742">
        <f>IFERROR(SEARCH(search!$B$6,samples!K279,1),0)</f>
        <v>0</v>
      </c>
      <c r="W742" t="str">
        <f>IF(samples!L279=0,"",samples!L279)</f>
        <v/>
      </c>
      <c r="X742">
        <f>IFERROR(SEARCH(search!$B$6,samples!L279,1),0)</f>
        <v>0</v>
      </c>
      <c r="Y742" t="str">
        <f>IF(samples!M279=0,"",samples!M279)</f>
        <v/>
      </c>
      <c r="Z742">
        <f>IFERROR(SEARCH(search!$B$6,samples!M279,1),0)</f>
        <v>0</v>
      </c>
      <c r="AA742" t="str">
        <f>IF(samples!N279=0,"",samples!N279)</f>
        <v/>
      </c>
      <c r="AB742">
        <f>IFERROR(SEARCH(search!$B$6,samples!N279,1),0)</f>
        <v>0</v>
      </c>
      <c r="AC742" t="str">
        <f>IF(samples!O279=0,"",samples!O279)</f>
        <v/>
      </c>
      <c r="AD742">
        <f>IFERROR(SEARCH(search!$B$6,samples!O279,1),0)</f>
        <v>0</v>
      </c>
    </row>
    <row r="743" spans="1:30">
      <c r="A743">
        <f t="shared" si="11"/>
        <v>0</v>
      </c>
      <c r="B743">
        <f>IF(SUM(D743,F743,H743,J743,L743,N743,P743,R743,T743,V743,X743,Z743,AB743,AD743)&gt;0,SUM($A$2:A743),0)</f>
        <v>0</v>
      </c>
      <c r="C743">
        <f>samples!B280</f>
        <v>0</v>
      </c>
      <c r="D743">
        <f>IFERROR(SEARCH(search!$B$6,samples!B280,1),0)</f>
        <v>0</v>
      </c>
      <c r="E743" t="str">
        <f>IF(samples!C280=0,"",samples!C280)</f>
        <v/>
      </c>
      <c r="F743">
        <f>IFERROR(SEARCH(search!$B$6,samples!C280,1),0)</f>
        <v>0</v>
      </c>
      <c r="G743" t="str">
        <f>IF(samples!D280=0,"",samples!D280)</f>
        <v/>
      </c>
      <c r="H743">
        <f>IFERROR(SEARCH(search!$B$6,samples!D280,1),0)</f>
        <v>0</v>
      </c>
      <c r="I743" t="str">
        <f>IF(samples!E280=0,"",samples!E280)</f>
        <v/>
      </c>
      <c r="J743">
        <f>IFERROR(SEARCH(search!$B$6,samples!E280,1),0)</f>
        <v>0</v>
      </c>
      <c r="K743" t="str">
        <f>IF(samples!F280=0,"",samples!F280)</f>
        <v/>
      </c>
      <c r="L743">
        <f>IFERROR(SEARCH(search!$B$6,samples!F280,1),0)</f>
        <v>0</v>
      </c>
      <c r="M743" t="str">
        <f>IF(samples!G280=0,"",samples!G280)</f>
        <v/>
      </c>
      <c r="N743">
        <f>IFERROR(SEARCH(search!$B$6,samples!G280,1),0)</f>
        <v>0</v>
      </c>
      <c r="O743" t="str">
        <f>IF(samples!H280=0,"",samples!H280)</f>
        <v/>
      </c>
      <c r="P743">
        <f>IFERROR(SEARCH(search!$B$6,samples!H280,1),0)</f>
        <v>0</v>
      </c>
      <c r="Q743" t="str">
        <f>IF(samples!I280=0,"",samples!I280)</f>
        <v/>
      </c>
      <c r="R743">
        <f>IFERROR(SEARCH(search!$B$6,samples!I280,1),0)</f>
        <v>0</v>
      </c>
      <c r="S743" t="str">
        <f>IF(samples!J280=0,"",samples!J280)</f>
        <v/>
      </c>
      <c r="T743">
        <f>IFERROR(SEARCH(search!$B$6,samples!J280,1),0)</f>
        <v>0</v>
      </c>
      <c r="U743" t="str">
        <f>IF(samples!K280=0,"",samples!K280)</f>
        <v/>
      </c>
      <c r="V743">
        <f>IFERROR(SEARCH(search!$B$6,samples!K280,1),0)</f>
        <v>0</v>
      </c>
      <c r="W743" t="str">
        <f>IF(samples!L280=0,"",samples!L280)</f>
        <v/>
      </c>
      <c r="X743">
        <f>IFERROR(SEARCH(search!$B$6,samples!L280,1),0)</f>
        <v>0</v>
      </c>
      <c r="Y743" t="str">
        <f>IF(samples!M280=0,"",samples!M280)</f>
        <v/>
      </c>
      <c r="Z743">
        <f>IFERROR(SEARCH(search!$B$6,samples!M280,1),0)</f>
        <v>0</v>
      </c>
      <c r="AA743" t="str">
        <f>IF(samples!N280=0,"",samples!N280)</f>
        <v/>
      </c>
      <c r="AB743">
        <f>IFERROR(SEARCH(search!$B$6,samples!N280,1),0)</f>
        <v>0</v>
      </c>
      <c r="AC743" t="str">
        <f>IF(samples!O280=0,"",samples!O280)</f>
        <v/>
      </c>
      <c r="AD743">
        <f>IFERROR(SEARCH(search!$B$6,samples!O280,1),0)</f>
        <v>0</v>
      </c>
    </row>
    <row r="744" spans="1:30">
      <c r="A744">
        <f t="shared" si="11"/>
        <v>0</v>
      </c>
      <c r="B744">
        <f>IF(SUM(D744,F744,H744,J744,L744,N744,P744,R744,T744,V744,X744,Z744,AB744,AD744)&gt;0,SUM($A$2:A744),0)</f>
        <v>0</v>
      </c>
      <c r="C744">
        <f>samples!B281</f>
        <v>0</v>
      </c>
      <c r="D744">
        <f>IFERROR(SEARCH(search!$B$6,samples!B281,1),0)</f>
        <v>0</v>
      </c>
      <c r="E744" t="str">
        <f>IF(samples!C281=0,"",samples!C281)</f>
        <v/>
      </c>
      <c r="F744">
        <f>IFERROR(SEARCH(search!$B$6,samples!C281,1),0)</f>
        <v>0</v>
      </c>
      <c r="G744" t="str">
        <f>IF(samples!D281=0,"",samples!D281)</f>
        <v/>
      </c>
      <c r="H744">
        <f>IFERROR(SEARCH(search!$B$6,samples!D281,1),0)</f>
        <v>0</v>
      </c>
      <c r="I744" t="str">
        <f>IF(samples!E281=0,"",samples!E281)</f>
        <v/>
      </c>
      <c r="J744">
        <f>IFERROR(SEARCH(search!$B$6,samples!E281,1),0)</f>
        <v>0</v>
      </c>
      <c r="K744" t="str">
        <f>IF(samples!F281=0,"",samples!F281)</f>
        <v/>
      </c>
      <c r="L744">
        <f>IFERROR(SEARCH(search!$B$6,samples!F281,1),0)</f>
        <v>0</v>
      </c>
      <c r="M744" t="str">
        <f>IF(samples!G281=0,"",samples!G281)</f>
        <v/>
      </c>
      <c r="N744">
        <f>IFERROR(SEARCH(search!$B$6,samples!G281,1),0)</f>
        <v>0</v>
      </c>
      <c r="O744" t="str">
        <f>IF(samples!H281=0,"",samples!H281)</f>
        <v/>
      </c>
      <c r="P744">
        <f>IFERROR(SEARCH(search!$B$6,samples!H281,1),0)</f>
        <v>0</v>
      </c>
      <c r="Q744" t="str">
        <f>IF(samples!I281=0,"",samples!I281)</f>
        <v/>
      </c>
      <c r="R744">
        <f>IFERROR(SEARCH(search!$B$6,samples!I281,1),0)</f>
        <v>0</v>
      </c>
      <c r="S744" t="str">
        <f>IF(samples!J281=0,"",samples!J281)</f>
        <v/>
      </c>
      <c r="T744">
        <f>IFERROR(SEARCH(search!$B$6,samples!J281,1),0)</f>
        <v>0</v>
      </c>
      <c r="U744" t="str">
        <f>IF(samples!K281=0,"",samples!K281)</f>
        <v/>
      </c>
      <c r="V744">
        <f>IFERROR(SEARCH(search!$B$6,samples!K281,1),0)</f>
        <v>0</v>
      </c>
      <c r="W744" t="str">
        <f>IF(samples!L281=0,"",samples!L281)</f>
        <v/>
      </c>
      <c r="X744">
        <f>IFERROR(SEARCH(search!$B$6,samples!L281,1),0)</f>
        <v>0</v>
      </c>
      <c r="Y744" t="str">
        <f>IF(samples!M281=0,"",samples!M281)</f>
        <v/>
      </c>
      <c r="Z744">
        <f>IFERROR(SEARCH(search!$B$6,samples!M281,1),0)</f>
        <v>0</v>
      </c>
      <c r="AA744" t="str">
        <f>IF(samples!N281=0,"",samples!N281)</f>
        <v/>
      </c>
      <c r="AB744">
        <f>IFERROR(SEARCH(search!$B$6,samples!N281,1),0)</f>
        <v>0</v>
      </c>
      <c r="AC744" t="str">
        <f>IF(samples!O281=0,"",samples!O281)</f>
        <v/>
      </c>
      <c r="AD744">
        <f>IFERROR(SEARCH(search!$B$6,samples!O281,1),0)</f>
        <v>0</v>
      </c>
    </row>
    <row r="745" spans="1:30">
      <c r="A745">
        <f t="shared" si="11"/>
        <v>0</v>
      </c>
      <c r="B745">
        <f>IF(SUM(D745,F745,H745,J745,L745,N745,P745,R745,T745,V745,X745,Z745,AB745,AD745)&gt;0,SUM($A$2:A745),0)</f>
        <v>0</v>
      </c>
      <c r="C745">
        <f>samples!B282</f>
        <v>0</v>
      </c>
      <c r="D745">
        <f>IFERROR(SEARCH(search!$B$6,samples!B282,1),0)</f>
        <v>0</v>
      </c>
      <c r="E745" t="str">
        <f>IF(samples!C282=0,"",samples!C282)</f>
        <v/>
      </c>
      <c r="F745">
        <f>IFERROR(SEARCH(search!$B$6,samples!C282,1),0)</f>
        <v>0</v>
      </c>
      <c r="G745" t="str">
        <f>IF(samples!D282=0,"",samples!D282)</f>
        <v/>
      </c>
      <c r="H745">
        <f>IFERROR(SEARCH(search!$B$6,samples!D282,1),0)</f>
        <v>0</v>
      </c>
      <c r="I745" t="str">
        <f>IF(samples!E282=0,"",samples!E282)</f>
        <v/>
      </c>
      <c r="J745">
        <f>IFERROR(SEARCH(search!$B$6,samples!E282,1),0)</f>
        <v>0</v>
      </c>
      <c r="K745" t="str">
        <f>IF(samples!F282=0,"",samples!F282)</f>
        <v/>
      </c>
      <c r="L745">
        <f>IFERROR(SEARCH(search!$B$6,samples!F282,1),0)</f>
        <v>0</v>
      </c>
      <c r="M745" t="str">
        <f>IF(samples!G282=0,"",samples!G282)</f>
        <v/>
      </c>
      <c r="N745">
        <f>IFERROR(SEARCH(search!$B$6,samples!G282,1),0)</f>
        <v>0</v>
      </c>
      <c r="O745" t="str">
        <f>IF(samples!H282=0,"",samples!H282)</f>
        <v/>
      </c>
      <c r="P745">
        <f>IFERROR(SEARCH(search!$B$6,samples!H282,1),0)</f>
        <v>0</v>
      </c>
      <c r="Q745" t="str">
        <f>IF(samples!I282=0,"",samples!I282)</f>
        <v/>
      </c>
      <c r="R745">
        <f>IFERROR(SEARCH(search!$B$6,samples!I282,1),0)</f>
        <v>0</v>
      </c>
      <c r="S745" t="str">
        <f>IF(samples!J282=0,"",samples!J282)</f>
        <v/>
      </c>
      <c r="T745">
        <f>IFERROR(SEARCH(search!$B$6,samples!J282,1),0)</f>
        <v>0</v>
      </c>
      <c r="U745" t="str">
        <f>IF(samples!K282=0,"",samples!K282)</f>
        <v/>
      </c>
      <c r="V745">
        <f>IFERROR(SEARCH(search!$B$6,samples!K282,1),0)</f>
        <v>0</v>
      </c>
      <c r="W745" t="str">
        <f>IF(samples!L282=0,"",samples!L282)</f>
        <v/>
      </c>
      <c r="X745">
        <f>IFERROR(SEARCH(search!$B$6,samples!L282,1),0)</f>
        <v>0</v>
      </c>
      <c r="Y745" t="str">
        <f>IF(samples!M282=0,"",samples!M282)</f>
        <v/>
      </c>
      <c r="Z745">
        <f>IFERROR(SEARCH(search!$B$6,samples!M282,1),0)</f>
        <v>0</v>
      </c>
      <c r="AA745" t="str">
        <f>IF(samples!N282=0,"",samples!N282)</f>
        <v/>
      </c>
      <c r="AB745">
        <f>IFERROR(SEARCH(search!$B$6,samples!N282,1),0)</f>
        <v>0</v>
      </c>
      <c r="AC745" t="str">
        <f>IF(samples!O282=0,"",samples!O282)</f>
        <v/>
      </c>
      <c r="AD745">
        <f>IFERROR(SEARCH(search!$B$6,samples!O282,1),0)</f>
        <v>0</v>
      </c>
    </row>
    <row r="746" spans="1:30">
      <c r="A746">
        <f t="shared" si="11"/>
        <v>0</v>
      </c>
      <c r="B746">
        <f>IF(SUM(D746,F746,H746,J746,L746,N746,P746,R746,T746,V746,X746,Z746,AB746,AD746)&gt;0,SUM($A$2:A746),0)</f>
        <v>0</v>
      </c>
      <c r="C746">
        <f>samples!B283</f>
        <v>0</v>
      </c>
      <c r="D746">
        <f>IFERROR(SEARCH(search!$B$6,samples!B283,1),0)</f>
        <v>0</v>
      </c>
      <c r="E746" t="str">
        <f>IF(samples!C283=0,"",samples!C283)</f>
        <v/>
      </c>
      <c r="F746">
        <f>IFERROR(SEARCH(search!$B$6,samples!C283,1),0)</f>
        <v>0</v>
      </c>
      <c r="G746" t="str">
        <f>IF(samples!D283=0,"",samples!D283)</f>
        <v/>
      </c>
      <c r="H746">
        <f>IFERROR(SEARCH(search!$B$6,samples!D283,1),0)</f>
        <v>0</v>
      </c>
      <c r="I746" t="str">
        <f>IF(samples!E283=0,"",samples!E283)</f>
        <v/>
      </c>
      <c r="J746">
        <f>IFERROR(SEARCH(search!$B$6,samples!E283,1),0)</f>
        <v>0</v>
      </c>
      <c r="K746" t="str">
        <f>IF(samples!F283=0,"",samples!F283)</f>
        <v/>
      </c>
      <c r="L746">
        <f>IFERROR(SEARCH(search!$B$6,samples!F283,1),0)</f>
        <v>0</v>
      </c>
      <c r="M746" t="str">
        <f>IF(samples!G283=0,"",samples!G283)</f>
        <v/>
      </c>
      <c r="N746">
        <f>IFERROR(SEARCH(search!$B$6,samples!G283,1),0)</f>
        <v>0</v>
      </c>
      <c r="O746" t="str">
        <f>IF(samples!H283=0,"",samples!H283)</f>
        <v/>
      </c>
      <c r="P746">
        <f>IFERROR(SEARCH(search!$B$6,samples!H283,1),0)</f>
        <v>0</v>
      </c>
      <c r="Q746" t="str">
        <f>IF(samples!I283=0,"",samples!I283)</f>
        <v/>
      </c>
      <c r="R746">
        <f>IFERROR(SEARCH(search!$B$6,samples!I283,1),0)</f>
        <v>0</v>
      </c>
      <c r="S746" t="str">
        <f>IF(samples!J283=0,"",samples!J283)</f>
        <v/>
      </c>
      <c r="T746">
        <f>IFERROR(SEARCH(search!$B$6,samples!J283,1),0)</f>
        <v>0</v>
      </c>
      <c r="U746" t="str">
        <f>IF(samples!K283=0,"",samples!K283)</f>
        <v/>
      </c>
      <c r="V746">
        <f>IFERROR(SEARCH(search!$B$6,samples!K283,1),0)</f>
        <v>0</v>
      </c>
      <c r="W746" t="str">
        <f>IF(samples!L283=0,"",samples!L283)</f>
        <v/>
      </c>
      <c r="X746">
        <f>IFERROR(SEARCH(search!$B$6,samples!L283,1),0)</f>
        <v>0</v>
      </c>
      <c r="Y746" t="str">
        <f>IF(samples!M283=0,"",samples!M283)</f>
        <v/>
      </c>
      <c r="Z746">
        <f>IFERROR(SEARCH(search!$B$6,samples!M283,1),0)</f>
        <v>0</v>
      </c>
      <c r="AA746" t="str">
        <f>IF(samples!N283=0,"",samples!N283)</f>
        <v/>
      </c>
      <c r="AB746">
        <f>IFERROR(SEARCH(search!$B$6,samples!N283,1),0)</f>
        <v>0</v>
      </c>
      <c r="AC746" t="str">
        <f>IF(samples!O283=0,"",samples!O283)</f>
        <v/>
      </c>
      <c r="AD746">
        <f>IFERROR(SEARCH(search!$B$6,samples!O283,1),0)</f>
        <v>0</v>
      </c>
    </row>
    <row r="747" spans="1:30">
      <c r="A747">
        <f t="shared" si="11"/>
        <v>0</v>
      </c>
      <c r="B747">
        <f>IF(SUM(D747,F747,H747,J747,L747,N747,P747,R747,T747,V747,X747,Z747,AB747,AD747)&gt;0,SUM($A$2:A747),0)</f>
        <v>0</v>
      </c>
      <c r="C747">
        <f>samples!B284</f>
        <v>0</v>
      </c>
      <c r="D747">
        <f>IFERROR(SEARCH(search!$B$6,samples!B284,1),0)</f>
        <v>0</v>
      </c>
      <c r="E747" t="str">
        <f>IF(samples!C284=0,"",samples!C284)</f>
        <v/>
      </c>
      <c r="F747">
        <f>IFERROR(SEARCH(search!$B$6,samples!C284,1),0)</f>
        <v>0</v>
      </c>
      <c r="G747" t="str">
        <f>IF(samples!D284=0,"",samples!D284)</f>
        <v/>
      </c>
      <c r="H747">
        <f>IFERROR(SEARCH(search!$B$6,samples!D284,1),0)</f>
        <v>0</v>
      </c>
      <c r="I747" t="str">
        <f>IF(samples!E284=0,"",samples!E284)</f>
        <v/>
      </c>
      <c r="J747">
        <f>IFERROR(SEARCH(search!$B$6,samples!E284,1),0)</f>
        <v>0</v>
      </c>
      <c r="K747" t="str">
        <f>IF(samples!F284=0,"",samples!F284)</f>
        <v/>
      </c>
      <c r="L747">
        <f>IFERROR(SEARCH(search!$B$6,samples!F284,1),0)</f>
        <v>0</v>
      </c>
      <c r="M747" t="str">
        <f>IF(samples!G284=0,"",samples!G284)</f>
        <v/>
      </c>
      <c r="N747">
        <f>IFERROR(SEARCH(search!$B$6,samples!G284,1),0)</f>
        <v>0</v>
      </c>
      <c r="O747" t="str">
        <f>IF(samples!H284=0,"",samples!H284)</f>
        <v/>
      </c>
      <c r="P747">
        <f>IFERROR(SEARCH(search!$B$6,samples!H284,1),0)</f>
        <v>0</v>
      </c>
      <c r="Q747" t="str">
        <f>IF(samples!I284=0,"",samples!I284)</f>
        <v/>
      </c>
      <c r="R747">
        <f>IFERROR(SEARCH(search!$B$6,samples!I284,1),0)</f>
        <v>0</v>
      </c>
      <c r="S747" t="str">
        <f>IF(samples!J284=0,"",samples!J284)</f>
        <v/>
      </c>
      <c r="T747">
        <f>IFERROR(SEARCH(search!$B$6,samples!J284,1),0)</f>
        <v>0</v>
      </c>
      <c r="U747" t="str">
        <f>IF(samples!K284=0,"",samples!K284)</f>
        <v/>
      </c>
      <c r="V747">
        <f>IFERROR(SEARCH(search!$B$6,samples!K284,1),0)</f>
        <v>0</v>
      </c>
      <c r="W747" t="str">
        <f>IF(samples!L284=0,"",samples!L284)</f>
        <v/>
      </c>
      <c r="X747">
        <f>IFERROR(SEARCH(search!$B$6,samples!L284,1),0)</f>
        <v>0</v>
      </c>
      <c r="Y747" t="str">
        <f>IF(samples!M284=0,"",samples!M284)</f>
        <v/>
      </c>
      <c r="Z747">
        <f>IFERROR(SEARCH(search!$B$6,samples!M284,1),0)</f>
        <v>0</v>
      </c>
      <c r="AA747" t="str">
        <f>IF(samples!N284=0,"",samples!N284)</f>
        <v/>
      </c>
      <c r="AB747">
        <f>IFERROR(SEARCH(search!$B$6,samples!N284,1),0)</f>
        <v>0</v>
      </c>
      <c r="AC747" t="str">
        <f>IF(samples!O284=0,"",samples!O284)</f>
        <v/>
      </c>
      <c r="AD747">
        <f>IFERROR(SEARCH(search!$B$6,samples!O284,1),0)</f>
        <v>0</v>
      </c>
    </row>
    <row r="748" spans="1:30">
      <c r="A748">
        <f t="shared" si="11"/>
        <v>0</v>
      </c>
      <c r="B748">
        <f>IF(SUM(D748,F748,H748,J748,L748,N748,P748,R748,T748,V748,X748,Z748,AB748,AD748)&gt;0,SUM($A$2:A748),0)</f>
        <v>0</v>
      </c>
      <c r="C748">
        <f>samples!B285</f>
        <v>0</v>
      </c>
      <c r="D748">
        <f>IFERROR(SEARCH(search!$B$6,samples!B285,1),0)</f>
        <v>0</v>
      </c>
      <c r="E748" t="str">
        <f>IF(samples!C285=0,"",samples!C285)</f>
        <v/>
      </c>
      <c r="F748">
        <f>IFERROR(SEARCH(search!$B$6,samples!C285,1),0)</f>
        <v>0</v>
      </c>
      <c r="G748" t="str">
        <f>IF(samples!D285=0,"",samples!D285)</f>
        <v/>
      </c>
      <c r="H748">
        <f>IFERROR(SEARCH(search!$B$6,samples!D285,1),0)</f>
        <v>0</v>
      </c>
      <c r="I748" t="str">
        <f>IF(samples!E285=0,"",samples!E285)</f>
        <v/>
      </c>
      <c r="J748">
        <f>IFERROR(SEARCH(search!$B$6,samples!E285,1),0)</f>
        <v>0</v>
      </c>
      <c r="K748" t="str">
        <f>IF(samples!F285=0,"",samples!F285)</f>
        <v/>
      </c>
      <c r="L748">
        <f>IFERROR(SEARCH(search!$B$6,samples!F285,1),0)</f>
        <v>0</v>
      </c>
      <c r="M748" t="str">
        <f>IF(samples!G285=0,"",samples!G285)</f>
        <v/>
      </c>
      <c r="N748">
        <f>IFERROR(SEARCH(search!$B$6,samples!G285,1),0)</f>
        <v>0</v>
      </c>
      <c r="O748" t="str">
        <f>IF(samples!H285=0,"",samples!H285)</f>
        <v/>
      </c>
      <c r="P748">
        <f>IFERROR(SEARCH(search!$B$6,samples!H285,1),0)</f>
        <v>0</v>
      </c>
      <c r="Q748" t="str">
        <f>IF(samples!I285=0,"",samples!I285)</f>
        <v/>
      </c>
      <c r="R748">
        <f>IFERROR(SEARCH(search!$B$6,samples!I285,1),0)</f>
        <v>0</v>
      </c>
      <c r="S748" t="str">
        <f>IF(samples!J285=0,"",samples!J285)</f>
        <v/>
      </c>
      <c r="T748">
        <f>IFERROR(SEARCH(search!$B$6,samples!J285,1),0)</f>
        <v>0</v>
      </c>
      <c r="U748" t="str">
        <f>IF(samples!K285=0,"",samples!K285)</f>
        <v/>
      </c>
      <c r="V748">
        <f>IFERROR(SEARCH(search!$B$6,samples!K285,1),0)</f>
        <v>0</v>
      </c>
      <c r="W748" t="str">
        <f>IF(samples!L285=0,"",samples!L285)</f>
        <v/>
      </c>
      <c r="X748">
        <f>IFERROR(SEARCH(search!$B$6,samples!L285,1),0)</f>
        <v>0</v>
      </c>
      <c r="Y748" t="str">
        <f>IF(samples!M285=0,"",samples!M285)</f>
        <v/>
      </c>
      <c r="Z748">
        <f>IFERROR(SEARCH(search!$B$6,samples!M285,1),0)</f>
        <v>0</v>
      </c>
      <c r="AA748" t="str">
        <f>IF(samples!N285=0,"",samples!N285)</f>
        <v/>
      </c>
      <c r="AB748">
        <f>IFERROR(SEARCH(search!$B$6,samples!N285,1),0)</f>
        <v>0</v>
      </c>
      <c r="AC748" t="str">
        <f>IF(samples!O285=0,"",samples!O285)</f>
        <v/>
      </c>
      <c r="AD748">
        <f>IFERROR(SEARCH(search!$B$6,samples!O285,1),0)</f>
        <v>0</v>
      </c>
    </row>
    <row r="749" spans="1:30">
      <c r="A749">
        <f t="shared" si="11"/>
        <v>0</v>
      </c>
      <c r="B749">
        <f>IF(SUM(D749,F749,H749,J749,L749,N749,P749,R749,T749,V749,X749,Z749,AB749,AD749)&gt;0,SUM($A$2:A749),0)</f>
        <v>0</v>
      </c>
      <c r="C749">
        <f>samples!B286</f>
        <v>0</v>
      </c>
      <c r="D749">
        <f>IFERROR(SEARCH(search!$B$6,samples!B286,1),0)</f>
        <v>0</v>
      </c>
      <c r="E749" t="str">
        <f>IF(samples!C286=0,"",samples!C286)</f>
        <v/>
      </c>
      <c r="F749">
        <f>IFERROR(SEARCH(search!$B$6,samples!C286,1),0)</f>
        <v>0</v>
      </c>
      <c r="G749" t="str">
        <f>IF(samples!D286=0,"",samples!D286)</f>
        <v/>
      </c>
      <c r="H749">
        <f>IFERROR(SEARCH(search!$B$6,samples!D286,1),0)</f>
        <v>0</v>
      </c>
      <c r="I749" t="str">
        <f>IF(samples!E286=0,"",samples!E286)</f>
        <v/>
      </c>
      <c r="J749">
        <f>IFERROR(SEARCH(search!$B$6,samples!E286,1),0)</f>
        <v>0</v>
      </c>
      <c r="K749" t="str">
        <f>IF(samples!F286=0,"",samples!F286)</f>
        <v/>
      </c>
      <c r="L749">
        <f>IFERROR(SEARCH(search!$B$6,samples!F286,1),0)</f>
        <v>0</v>
      </c>
      <c r="M749" t="str">
        <f>IF(samples!G286=0,"",samples!G286)</f>
        <v/>
      </c>
      <c r="N749">
        <f>IFERROR(SEARCH(search!$B$6,samples!G286,1),0)</f>
        <v>0</v>
      </c>
      <c r="O749" t="str">
        <f>IF(samples!H286=0,"",samples!H286)</f>
        <v/>
      </c>
      <c r="P749">
        <f>IFERROR(SEARCH(search!$B$6,samples!H286,1),0)</f>
        <v>0</v>
      </c>
      <c r="Q749" t="str">
        <f>IF(samples!I286=0,"",samples!I286)</f>
        <v/>
      </c>
      <c r="R749">
        <f>IFERROR(SEARCH(search!$B$6,samples!I286,1),0)</f>
        <v>0</v>
      </c>
      <c r="S749" t="str">
        <f>IF(samples!J286=0,"",samples!J286)</f>
        <v/>
      </c>
      <c r="T749">
        <f>IFERROR(SEARCH(search!$B$6,samples!J286,1),0)</f>
        <v>0</v>
      </c>
      <c r="U749" t="str">
        <f>IF(samples!K286=0,"",samples!K286)</f>
        <v/>
      </c>
      <c r="V749">
        <f>IFERROR(SEARCH(search!$B$6,samples!K286,1),0)</f>
        <v>0</v>
      </c>
      <c r="W749" t="str">
        <f>IF(samples!L286=0,"",samples!L286)</f>
        <v/>
      </c>
      <c r="X749">
        <f>IFERROR(SEARCH(search!$B$6,samples!L286,1),0)</f>
        <v>0</v>
      </c>
      <c r="Y749" t="str">
        <f>IF(samples!M286=0,"",samples!M286)</f>
        <v/>
      </c>
      <c r="Z749">
        <f>IFERROR(SEARCH(search!$B$6,samples!M286,1),0)</f>
        <v>0</v>
      </c>
      <c r="AA749" t="str">
        <f>IF(samples!N286=0,"",samples!N286)</f>
        <v/>
      </c>
      <c r="AB749">
        <f>IFERROR(SEARCH(search!$B$6,samples!N286,1),0)</f>
        <v>0</v>
      </c>
      <c r="AC749" t="str">
        <f>IF(samples!O286=0,"",samples!O286)</f>
        <v/>
      </c>
      <c r="AD749">
        <f>IFERROR(SEARCH(search!$B$6,samples!O286,1),0)</f>
        <v>0</v>
      </c>
    </row>
    <row r="750" spans="1:30">
      <c r="A750">
        <f t="shared" si="11"/>
        <v>0</v>
      </c>
      <c r="B750">
        <f>IF(SUM(D750,F750,H750,J750,L750,N750,P750,R750,T750,V750,X750,Z750,AB750,AD750)&gt;0,SUM($A$2:A750),0)</f>
        <v>0</v>
      </c>
      <c r="C750">
        <f>samples!B287</f>
        <v>0</v>
      </c>
      <c r="D750">
        <f>IFERROR(SEARCH(search!$B$6,samples!B287,1),0)</f>
        <v>0</v>
      </c>
      <c r="E750" t="str">
        <f>IF(samples!C287=0,"",samples!C287)</f>
        <v/>
      </c>
      <c r="F750">
        <f>IFERROR(SEARCH(search!$B$6,samples!C287,1),0)</f>
        <v>0</v>
      </c>
      <c r="G750" t="str">
        <f>IF(samples!D287=0,"",samples!D287)</f>
        <v/>
      </c>
      <c r="H750">
        <f>IFERROR(SEARCH(search!$B$6,samples!D287,1),0)</f>
        <v>0</v>
      </c>
      <c r="I750" t="str">
        <f>IF(samples!E287=0,"",samples!E287)</f>
        <v/>
      </c>
      <c r="J750">
        <f>IFERROR(SEARCH(search!$B$6,samples!E287,1),0)</f>
        <v>0</v>
      </c>
      <c r="K750" t="str">
        <f>IF(samples!F287=0,"",samples!F287)</f>
        <v/>
      </c>
      <c r="L750">
        <f>IFERROR(SEARCH(search!$B$6,samples!F287,1),0)</f>
        <v>0</v>
      </c>
      <c r="M750" t="str">
        <f>IF(samples!G287=0,"",samples!G287)</f>
        <v/>
      </c>
      <c r="N750">
        <f>IFERROR(SEARCH(search!$B$6,samples!G287,1),0)</f>
        <v>0</v>
      </c>
      <c r="O750" t="str">
        <f>IF(samples!H287=0,"",samples!H287)</f>
        <v/>
      </c>
      <c r="P750">
        <f>IFERROR(SEARCH(search!$B$6,samples!H287,1),0)</f>
        <v>0</v>
      </c>
      <c r="Q750" t="str">
        <f>IF(samples!I287=0,"",samples!I287)</f>
        <v/>
      </c>
      <c r="R750">
        <f>IFERROR(SEARCH(search!$B$6,samples!I287,1),0)</f>
        <v>0</v>
      </c>
      <c r="S750" t="str">
        <f>IF(samples!J287=0,"",samples!J287)</f>
        <v/>
      </c>
      <c r="T750">
        <f>IFERROR(SEARCH(search!$B$6,samples!J287,1),0)</f>
        <v>0</v>
      </c>
      <c r="U750" t="str">
        <f>IF(samples!K287=0,"",samples!K287)</f>
        <v/>
      </c>
      <c r="V750">
        <f>IFERROR(SEARCH(search!$B$6,samples!K287,1),0)</f>
        <v>0</v>
      </c>
      <c r="W750" t="str">
        <f>IF(samples!L287=0,"",samples!L287)</f>
        <v/>
      </c>
      <c r="X750">
        <f>IFERROR(SEARCH(search!$B$6,samples!L287,1),0)</f>
        <v>0</v>
      </c>
      <c r="Y750" t="str">
        <f>IF(samples!M287=0,"",samples!M287)</f>
        <v/>
      </c>
      <c r="Z750">
        <f>IFERROR(SEARCH(search!$B$6,samples!M287,1),0)</f>
        <v>0</v>
      </c>
      <c r="AA750" t="str">
        <f>IF(samples!N287=0,"",samples!N287)</f>
        <v/>
      </c>
      <c r="AB750">
        <f>IFERROR(SEARCH(search!$B$6,samples!N287,1),0)</f>
        <v>0</v>
      </c>
      <c r="AC750" t="str">
        <f>IF(samples!O287=0,"",samples!O287)</f>
        <v/>
      </c>
      <c r="AD750">
        <f>IFERROR(SEARCH(search!$B$6,samples!O287,1),0)</f>
        <v>0</v>
      </c>
    </row>
    <row r="751" spans="1:30">
      <c r="A751">
        <f t="shared" si="11"/>
        <v>0</v>
      </c>
      <c r="B751">
        <f>IF(SUM(D751,F751,H751,J751,L751,N751,P751,R751,T751,V751,X751,Z751,AB751,AD751)&gt;0,SUM($A$2:A751),0)</f>
        <v>0</v>
      </c>
      <c r="C751">
        <f>samples!B288</f>
        <v>0</v>
      </c>
      <c r="D751">
        <f>IFERROR(SEARCH(search!$B$6,samples!B288,1),0)</f>
        <v>0</v>
      </c>
      <c r="E751" t="str">
        <f>IF(samples!C288=0,"",samples!C288)</f>
        <v/>
      </c>
      <c r="F751">
        <f>IFERROR(SEARCH(search!$B$6,samples!C288,1),0)</f>
        <v>0</v>
      </c>
      <c r="G751" t="str">
        <f>IF(samples!D288=0,"",samples!D288)</f>
        <v/>
      </c>
      <c r="H751">
        <f>IFERROR(SEARCH(search!$B$6,samples!D288,1),0)</f>
        <v>0</v>
      </c>
      <c r="I751" t="str">
        <f>IF(samples!E288=0,"",samples!E288)</f>
        <v/>
      </c>
      <c r="J751">
        <f>IFERROR(SEARCH(search!$B$6,samples!E288,1),0)</f>
        <v>0</v>
      </c>
      <c r="K751" t="str">
        <f>IF(samples!F288=0,"",samples!F288)</f>
        <v/>
      </c>
      <c r="L751">
        <f>IFERROR(SEARCH(search!$B$6,samples!F288,1),0)</f>
        <v>0</v>
      </c>
      <c r="M751" t="str">
        <f>IF(samples!G288=0,"",samples!G288)</f>
        <v/>
      </c>
      <c r="N751">
        <f>IFERROR(SEARCH(search!$B$6,samples!G288,1),0)</f>
        <v>0</v>
      </c>
      <c r="O751" t="str">
        <f>IF(samples!H288=0,"",samples!H288)</f>
        <v/>
      </c>
      <c r="P751">
        <f>IFERROR(SEARCH(search!$B$6,samples!H288,1),0)</f>
        <v>0</v>
      </c>
      <c r="Q751" t="str">
        <f>IF(samples!I288=0,"",samples!I288)</f>
        <v/>
      </c>
      <c r="R751">
        <f>IFERROR(SEARCH(search!$B$6,samples!I288,1),0)</f>
        <v>0</v>
      </c>
      <c r="S751" t="str">
        <f>IF(samples!J288=0,"",samples!J288)</f>
        <v/>
      </c>
      <c r="T751">
        <f>IFERROR(SEARCH(search!$B$6,samples!J288,1),0)</f>
        <v>0</v>
      </c>
      <c r="U751" t="str">
        <f>IF(samples!K288=0,"",samples!K288)</f>
        <v/>
      </c>
      <c r="V751">
        <f>IFERROR(SEARCH(search!$B$6,samples!K288,1),0)</f>
        <v>0</v>
      </c>
      <c r="W751" t="str">
        <f>IF(samples!L288=0,"",samples!L288)</f>
        <v/>
      </c>
      <c r="X751">
        <f>IFERROR(SEARCH(search!$B$6,samples!L288,1),0)</f>
        <v>0</v>
      </c>
      <c r="Y751" t="str">
        <f>IF(samples!M288=0,"",samples!M288)</f>
        <v/>
      </c>
      <c r="Z751">
        <f>IFERROR(SEARCH(search!$B$6,samples!M288,1),0)</f>
        <v>0</v>
      </c>
      <c r="AA751" t="str">
        <f>IF(samples!N288=0,"",samples!N288)</f>
        <v/>
      </c>
      <c r="AB751">
        <f>IFERROR(SEARCH(search!$B$6,samples!N288,1),0)</f>
        <v>0</v>
      </c>
      <c r="AC751" t="str">
        <f>IF(samples!O288=0,"",samples!O288)</f>
        <v/>
      </c>
      <c r="AD751">
        <f>IFERROR(SEARCH(search!$B$6,samples!O288,1),0)</f>
        <v>0</v>
      </c>
    </row>
    <row r="752" spans="1:30">
      <c r="A752">
        <f t="shared" si="11"/>
        <v>0</v>
      </c>
      <c r="B752">
        <f>IF(SUM(D752,F752,H752,J752,L752,N752,P752,R752,T752,V752,X752,Z752,AB752,AD752)&gt;0,SUM($A$2:A752),0)</f>
        <v>0</v>
      </c>
      <c r="C752">
        <f>samples!B289</f>
        <v>0</v>
      </c>
      <c r="D752">
        <f>IFERROR(SEARCH(search!$B$6,samples!B289,1),0)</f>
        <v>0</v>
      </c>
      <c r="E752" t="str">
        <f>IF(samples!C289=0,"",samples!C289)</f>
        <v/>
      </c>
      <c r="F752">
        <f>IFERROR(SEARCH(search!$B$6,samples!C289,1),0)</f>
        <v>0</v>
      </c>
      <c r="G752" t="str">
        <f>IF(samples!D289=0,"",samples!D289)</f>
        <v/>
      </c>
      <c r="H752">
        <f>IFERROR(SEARCH(search!$B$6,samples!D289,1),0)</f>
        <v>0</v>
      </c>
      <c r="I752" t="str">
        <f>IF(samples!E289=0,"",samples!E289)</f>
        <v/>
      </c>
      <c r="J752">
        <f>IFERROR(SEARCH(search!$B$6,samples!E289,1),0)</f>
        <v>0</v>
      </c>
      <c r="K752" t="str">
        <f>IF(samples!F289=0,"",samples!F289)</f>
        <v/>
      </c>
      <c r="L752">
        <f>IFERROR(SEARCH(search!$B$6,samples!F289,1),0)</f>
        <v>0</v>
      </c>
      <c r="M752" t="str">
        <f>IF(samples!G289=0,"",samples!G289)</f>
        <v/>
      </c>
      <c r="N752">
        <f>IFERROR(SEARCH(search!$B$6,samples!G289,1),0)</f>
        <v>0</v>
      </c>
      <c r="O752" t="str">
        <f>IF(samples!H289=0,"",samples!H289)</f>
        <v/>
      </c>
      <c r="P752">
        <f>IFERROR(SEARCH(search!$B$6,samples!H289,1),0)</f>
        <v>0</v>
      </c>
      <c r="Q752" t="str">
        <f>IF(samples!I289=0,"",samples!I289)</f>
        <v/>
      </c>
      <c r="R752">
        <f>IFERROR(SEARCH(search!$B$6,samples!I289,1),0)</f>
        <v>0</v>
      </c>
      <c r="S752" t="str">
        <f>IF(samples!J289=0,"",samples!J289)</f>
        <v/>
      </c>
      <c r="T752">
        <f>IFERROR(SEARCH(search!$B$6,samples!J289,1),0)</f>
        <v>0</v>
      </c>
      <c r="U752" t="str">
        <f>IF(samples!K289=0,"",samples!K289)</f>
        <v/>
      </c>
      <c r="V752">
        <f>IFERROR(SEARCH(search!$B$6,samples!K289,1),0)</f>
        <v>0</v>
      </c>
      <c r="W752" t="str">
        <f>IF(samples!L289=0,"",samples!L289)</f>
        <v/>
      </c>
      <c r="X752">
        <f>IFERROR(SEARCH(search!$B$6,samples!L289,1),0)</f>
        <v>0</v>
      </c>
      <c r="Y752" t="str">
        <f>IF(samples!M289=0,"",samples!M289)</f>
        <v/>
      </c>
      <c r="Z752">
        <f>IFERROR(SEARCH(search!$B$6,samples!M289,1),0)</f>
        <v>0</v>
      </c>
      <c r="AA752" t="str">
        <f>IF(samples!N289=0,"",samples!N289)</f>
        <v/>
      </c>
      <c r="AB752">
        <f>IFERROR(SEARCH(search!$B$6,samples!N289,1),0)</f>
        <v>0</v>
      </c>
      <c r="AC752" t="str">
        <f>IF(samples!O289=0,"",samples!O289)</f>
        <v/>
      </c>
      <c r="AD752">
        <f>IFERROR(SEARCH(search!$B$6,samples!O289,1),0)</f>
        <v>0</v>
      </c>
    </row>
    <row r="753" spans="1:30">
      <c r="A753">
        <f t="shared" si="11"/>
        <v>0</v>
      </c>
      <c r="B753">
        <f>IF(SUM(D753,F753,H753,J753,L753,N753,P753,R753,T753,V753,X753,Z753,AB753,AD753)&gt;0,SUM($A$2:A753),0)</f>
        <v>0</v>
      </c>
      <c r="C753">
        <f>samples!B290</f>
        <v>0</v>
      </c>
      <c r="D753">
        <f>IFERROR(SEARCH(search!$B$6,samples!B290,1),0)</f>
        <v>0</v>
      </c>
      <c r="E753" t="str">
        <f>IF(samples!C290=0,"",samples!C290)</f>
        <v/>
      </c>
      <c r="F753">
        <f>IFERROR(SEARCH(search!$B$6,samples!C290,1),0)</f>
        <v>0</v>
      </c>
      <c r="G753" t="str">
        <f>IF(samples!D290=0,"",samples!D290)</f>
        <v/>
      </c>
      <c r="H753">
        <f>IFERROR(SEARCH(search!$B$6,samples!D290,1),0)</f>
        <v>0</v>
      </c>
      <c r="I753" t="str">
        <f>IF(samples!E290=0,"",samples!E290)</f>
        <v/>
      </c>
      <c r="J753">
        <f>IFERROR(SEARCH(search!$B$6,samples!E290,1),0)</f>
        <v>0</v>
      </c>
      <c r="K753" t="str">
        <f>IF(samples!F290=0,"",samples!F290)</f>
        <v/>
      </c>
      <c r="L753">
        <f>IFERROR(SEARCH(search!$B$6,samples!F290,1),0)</f>
        <v>0</v>
      </c>
      <c r="M753" t="str">
        <f>IF(samples!G290=0,"",samples!G290)</f>
        <v/>
      </c>
      <c r="N753">
        <f>IFERROR(SEARCH(search!$B$6,samples!G290,1),0)</f>
        <v>0</v>
      </c>
      <c r="O753" t="str">
        <f>IF(samples!H290=0,"",samples!H290)</f>
        <v/>
      </c>
      <c r="P753">
        <f>IFERROR(SEARCH(search!$B$6,samples!H290,1),0)</f>
        <v>0</v>
      </c>
      <c r="Q753" t="str">
        <f>IF(samples!I290=0,"",samples!I290)</f>
        <v/>
      </c>
      <c r="R753">
        <f>IFERROR(SEARCH(search!$B$6,samples!I290,1),0)</f>
        <v>0</v>
      </c>
      <c r="S753" t="str">
        <f>IF(samples!J290=0,"",samples!J290)</f>
        <v/>
      </c>
      <c r="T753">
        <f>IFERROR(SEARCH(search!$B$6,samples!J290,1),0)</f>
        <v>0</v>
      </c>
      <c r="U753" t="str">
        <f>IF(samples!K290=0,"",samples!K290)</f>
        <v/>
      </c>
      <c r="V753">
        <f>IFERROR(SEARCH(search!$B$6,samples!K290,1),0)</f>
        <v>0</v>
      </c>
      <c r="W753" t="str">
        <f>IF(samples!L290=0,"",samples!L290)</f>
        <v/>
      </c>
      <c r="X753">
        <f>IFERROR(SEARCH(search!$B$6,samples!L290,1),0)</f>
        <v>0</v>
      </c>
      <c r="Y753" t="str">
        <f>IF(samples!M290=0,"",samples!M290)</f>
        <v/>
      </c>
      <c r="Z753">
        <f>IFERROR(SEARCH(search!$B$6,samples!M290,1),0)</f>
        <v>0</v>
      </c>
      <c r="AA753" t="str">
        <f>IF(samples!N290=0,"",samples!N290)</f>
        <v/>
      </c>
      <c r="AB753">
        <f>IFERROR(SEARCH(search!$B$6,samples!N290,1),0)</f>
        <v>0</v>
      </c>
      <c r="AC753" t="str">
        <f>IF(samples!O290=0,"",samples!O290)</f>
        <v/>
      </c>
      <c r="AD753">
        <f>IFERROR(SEARCH(search!$B$6,samples!O290,1),0)</f>
        <v>0</v>
      </c>
    </row>
    <row r="754" spans="1:30">
      <c r="A754">
        <f t="shared" si="11"/>
        <v>0</v>
      </c>
      <c r="B754">
        <f>IF(SUM(D754,F754,H754,J754,L754,N754,P754,R754,T754,V754,X754,Z754,AB754,AD754)&gt;0,SUM($A$2:A754),0)</f>
        <v>0</v>
      </c>
      <c r="C754">
        <f>samples!B291</f>
        <v>0</v>
      </c>
      <c r="D754">
        <f>IFERROR(SEARCH(search!$B$6,samples!B291,1),0)</f>
        <v>0</v>
      </c>
      <c r="E754" t="str">
        <f>IF(samples!C291=0,"",samples!C291)</f>
        <v/>
      </c>
      <c r="F754">
        <f>IFERROR(SEARCH(search!$B$6,samples!C291,1),0)</f>
        <v>0</v>
      </c>
      <c r="G754" t="str">
        <f>IF(samples!D291=0,"",samples!D291)</f>
        <v/>
      </c>
      <c r="H754">
        <f>IFERROR(SEARCH(search!$B$6,samples!D291,1),0)</f>
        <v>0</v>
      </c>
      <c r="I754" t="str">
        <f>IF(samples!E291=0,"",samples!E291)</f>
        <v/>
      </c>
      <c r="J754">
        <f>IFERROR(SEARCH(search!$B$6,samples!E291,1),0)</f>
        <v>0</v>
      </c>
      <c r="K754" t="str">
        <f>IF(samples!F291=0,"",samples!F291)</f>
        <v/>
      </c>
      <c r="L754">
        <f>IFERROR(SEARCH(search!$B$6,samples!F291,1),0)</f>
        <v>0</v>
      </c>
      <c r="M754" t="str">
        <f>IF(samples!G291=0,"",samples!G291)</f>
        <v/>
      </c>
      <c r="N754">
        <f>IFERROR(SEARCH(search!$B$6,samples!G291,1),0)</f>
        <v>0</v>
      </c>
      <c r="O754" t="str">
        <f>IF(samples!H291=0,"",samples!H291)</f>
        <v/>
      </c>
      <c r="P754">
        <f>IFERROR(SEARCH(search!$B$6,samples!H291,1),0)</f>
        <v>0</v>
      </c>
      <c r="Q754" t="str">
        <f>IF(samples!I291=0,"",samples!I291)</f>
        <v/>
      </c>
      <c r="R754">
        <f>IFERROR(SEARCH(search!$B$6,samples!I291,1),0)</f>
        <v>0</v>
      </c>
      <c r="S754" t="str">
        <f>IF(samples!J291=0,"",samples!J291)</f>
        <v/>
      </c>
      <c r="T754">
        <f>IFERROR(SEARCH(search!$B$6,samples!J291,1),0)</f>
        <v>0</v>
      </c>
      <c r="U754" t="str">
        <f>IF(samples!K291=0,"",samples!K291)</f>
        <v/>
      </c>
      <c r="V754">
        <f>IFERROR(SEARCH(search!$B$6,samples!K291,1),0)</f>
        <v>0</v>
      </c>
      <c r="W754" t="str">
        <f>IF(samples!L291=0,"",samples!L291)</f>
        <v/>
      </c>
      <c r="X754">
        <f>IFERROR(SEARCH(search!$B$6,samples!L291,1),0)</f>
        <v>0</v>
      </c>
      <c r="Y754" t="str">
        <f>IF(samples!M291=0,"",samples!M291)</f>
        <v/>
      </c>
      <c r="Z754">
        <f>IFERROR(SEARCH(search!$B$6,samples!M291,1),0)</f>
        <v>0</v>
      </c>
      <c r="AA754" t="str">
        <f>IF(samples!N291=0,"",samples!N291)</f>
        <v/>
      </c>
      <c r="AB754">
        <f>IFERROR(SEARCH(search!$B$6,samples!N291,1),0)</f>
        <v>0</v>
      </c>
      <c r="AC754" t="str">
        <f>IF(samples!O291=0,"",samples!O291)</f>
        <v/>
      </c>
      <c r="AD754">
        <f>IFERROR(SEARCH(search!$B$6,samples!O291,1),0)</f>
        <v>0</v>
      </c>
    </row>
    <row r="755" spans="1:30">
      <c r="A755">
        <f t="shared" si="11"/>
        <v>0</v>
      </c>
      <c r="B755">
        <f>IF(SUM(D755,F755,H755,J755,L755,N755,P755,R755,T755,V755,X755,Z755,AB755,AD755)&gt;0,SUM($A$2:A755),0)</f>
        <v>0</v>
      </c>
      <c r="C755">
        <f>samples!B292</f>
        <v>0</v>
      </c>
      <c r="D755">
        <f>IFERROR(SEARCH(search!$B$6,samples!B292,1),0)</f>
        <v>0</v>
      </c>
      <c r="E755" t="str">
        <f>IF(samples!C292=0,"",samples!C292)</f>
        <v/>
      </c>
      <c r="F755">
        <f>IFERROR(SEARCH(search!$B$6,samples!C292,1),0)</f>
        <v>0</v>
      </c>
      <c r="G755" t="str">
        <f>IF(samples!D292=0,"",samples!D292)</f>
        <v/>
      </c>
      <c r="H755">
        <f>IFERROR(SEARCH(search!$B$6,samples!D292,1),0)</f>
        <v>0</v>
      </c>
      <c r="I755" t="str">
        <f>IF(samples!E292=0,"",samples!E292)</f>
        <v/>
      </c>
      <c r="J755">
        <f>IFERROR(SEARCH(search!$B$6,samples!E292,1),0)</f>
        <v>0</v>
      </c>
      <c r="K755" t="str">
        <f>IF(samples!F292=0,"",samples!F292)</f>
        <v/>
      </c>
      <c r="L755">
        <f>IFERROR(SEARCH(search!$B$6,samples!F292,1),0)</f>
        <v>0</v>
      </c>
      <c r="M755" t="str">
        <f>IF(samples!G292=0,"",samples!G292)</f>
        <v/>
      </c>
      <c r="N755">
        <f>IFERROR(SEARCH(search!$B$6,samples!G292,1),0)</f>
        <v>0</v>
      </c>
      <c r="O755" t="str">
        <f>IF(samples!H292=0,"",samples!H292)</f>
        <v/>
      </c>
      <c r="P755">
        <f>IFERROR(SEARCH(search!$B$6,samples!H292,1),0)</f>
        <v>0</v>
      </c>
      <c r="Q755" t="str">
        <f>IF(samples!I292=0,"",samples!I292)</f>
        <v/>
      </c>
      <c r="R755">
        <f>IFERROR(SEARCH(search!$B$6,samples!I292,1),0)</f>
        <v>0</v>
      </c>
      <c r="S755" t="str">
        <f>IF(samples!J292=0,"",samples!J292)</f>
        <v/>
      </c>
      <c r="T755">
        <f>IFERROR(SEARCH(search!$B$6,samples!J292,1),0)</f>
        <v>0</v>
      </c>
      <c r="U755" t="str">
        <f>IF(samples!K292=0,"",samples!K292)</f>
        <v/>
      </c>
      <c r="V755">
        <f>IFERROR(SEARCH(search!$B$6,samples!K292,1),0)</f>
        <v>0</v>
      </c>
      <c r="W755" t="str">
        <f>IF(samples!L292=0,"",samples!L292)</f>
        <v/>
      </c>
      <c r="X755">
        <f>IFERROR(SEARCH(search!$B$6,samples!L292,1),0)</f>
        <v>0</v>
      </c>
      <c r="Y755" t="str">
        <f>IF(samples!M292=0,"",samples!M292)</f>
        <v/>
      </c>
      <c r="Z755">
        <f>IFERROR(SEARCH(search!$B$6,samples!M292,1),0)</f>
        <v>0</v>
      </c>
      <c r="AA755" t="str">
        <f>IF(samples!N292=0,"",samples!N292)</f>
        <v/>
      </c>
      <c r="AB755">
        <f>IFERROR(SEARCH(search!$B$6,samples!N292,1),0)</f>
        <v>0</v>
      </c>
      <c r="AC755" t="str">
        <f>IF(samples!O292=0,"",samples!O292)</f>
        <v/>
      </c>
      <c r="AD755">
        <f>IFERROR(SEARCH(search!$B$6,samples!O292,1),0)</f>
        <v>0</v>
      </c>
    </row>
    <row r="756" spans="1:30">
      <c r="A756">
        <f t="shared" si="11"/>
        <v>0</v>
      </c>
      <c r="B756">
        <f>IF(SUM(D756,F756,H756,J756,L756,N756,P756,R756,T756,V756,X756,Z756,AB756,AD756)&gt;0,SUM($A$2:A756),0)</f>
        <v>0</v>
      </c>
      <c r="C756">
        <f>samples!B293</f>
        <v>0</v>
      </c>
      <c r="D756">
        <f>IFERROR(SEARCH(search!$B$6,samples!B293,1),0)</f>
        <v>0</v>
      </c>
      <c r="E756" t="str">
        <f>IF(samples!C293=0,"",samples!C293)</f>
        <v/>
      </c>
      <c r="F756">
        <f>IFERROR(SEARCH(search!$B$6,samples!C293,1),0)</f>
        <v>0</v>
      </c>
      <c r="G756" t="str">
        <f>IF(samples!D293=0,"",samples!D293)</f>
        <v/>
      </c>
      <c r="H756">
        <f>IFERROR(SEARCH(search!$B$6,samples!D293,1),0)</f>
        <v>0</v>
      </c>
      <c r="I756" t="str">
        <f>IF(samples!E293=0,"",samples!E293)</f>
        <v/>
      </c>
      <c r="J756">
        <f>IFERROR(SEARCH(search!$B$6,samples!E293,1),0)</f>
        <v>0</v>
      </c>
      <c r="K756" t="str">
        <f>IF(samples!F293=0,"",samples!F293)</f>
        <v/>
      </c>
      <c r="L756">
        <f>IFERROR(SEARCH(search!$B$6,samples!F293,1),0)</f>
        <v>0</v>
      </c>
      <c r="M756" t="str">
        <f>IF(samples!G293=0,"",samples!G293)</f>
        <v/>
      </c>
      <c r="N756">
        <f>IFERROR(SEARCH(search!$B$6,samples!G293,1),0)</f>
        <v>0</v>
      </c>
      <c r="O756" t="str">
        <f>IF(samples!H293=0,"",samples!H293)</f>
        <v/>
      </c>
      <c r="P756">
        <f>IFERROR(SEARCH(search!$B$6,samples!H293,1),0)</f>
        <v>0</v>
      </c>
      <c r="Q756" t="str">
        <f>IF(samples!I293=0,"",samples!I293)</f>
        <v/>
      </c>
      <c r="R756">
        <f>IFERROR(SEARCH(search!$B$6,samples!I293,1),0)</f>
        <v>0</v>
      </c>
      <c r="S756" t="str">
        <f>IF(samples!J293=0,"",samples!J293)</f>
        <v/>
      </c>
      <c r="T756">
        <f>IFERROR(SEARCH(search!$B$6,samples!J293,1),0)</f>
        <v>0</v>
      </c>
      <c r="U756" t="str">
        <f>IF(samples!K293=0,"",samples!K293)</f>
        <v/>
      </c>
      <c r="V756">
        <f>IFERROR(SEARCH(search!$B$6,samples!K293,1),0)</f>
        <v>0</v>
      </c>
      <c r="W756" t="str">
        <f>IF(samples!L293=0,"",samples!L293)</f>
        <v/>
      </c>
      <c r="X756">
        <f>IFERROR(SEARCH(search!$B$6,samples!L293,1),0)</f>
        <v>0</v>
      </c>
      <c r="Y756" t="str">
        <f>IF(samples!M293=0,"",samples!M293)</f>
        <v/>
      </c>
      <c r="Z756">
        <f>IFERROR(SEARCH(search!$B$6,samples!M293,1),0)</f>
        <v>0</v>
      </c>
      <c r="AA756" t="str">
        <f>IF(samples!N293=0,"",samples!N293)</f>
        <v/>
      </c>
      <c r="AB756">
        <f>IFERROR(SEARCH(search!$B$6,samples!N293,1),0)</f>
        <v>0</v>
      </c>
      <c r="AC756" t="str">
        <f>IF(samples!O293=0,"",samples!O293)</f>
        <v/>
      </c>
      <c r="AD756">
        <f>IFERROR(SEARCH(search!$B$6,samples!O293,1),0)</f>
        <v>0</v>
      </c>
    </row>
    <row r="757" spans="1:30">
      <c r="A757">
        <f t="shared" si="11"/>
        <v>0</v>
      </c>
      <c r="B757">
        <f>IF(SUM(D757,F757,H757,J757,L757,N757,P757,R757,T757,V757,X757,Z757,AB757,AD757)&gt;0,SUM($A$2:A757),0)</f>
        <v>0</v>
      </c>
      <c r="C757">
        <f>samples!B294</f>
        <v>0</v>
      </c>
      <c r="D757">
        <f>IFERROR(SEARCH(search!$B$6,samples!B294,1),0)</f>
        <v>0</v>
      </c>
      <c r="E757" t="str">
        <f>IF(samples!C294=0,"",samples!C294)</f>
        <v/>
      </c>
      <c r="F757">
        <f>IFERROR(SEARCH(search!$B$6,samples!C294,1),0)</f>
        <v>0</v>
      </c>
      <c r="G757" t="str">
        <f>IF(samples!D294=0,"",samples!D294)</f>
        <v/>
      </c>
      <c r="H757">
        <f>IFERROR(SEARCH(search!$B$6,samples!D294,1),0)</f>
        <v>0</v>
      </c>
      <c r="I757" t="str">
        <f>IF(samples!E294=0,"",samples!E294)</f>
        <v/>
      </c>
      <c r="J757">
        <f>IFERROR(SEARCH(search!$B$6,samples!E294,1),0)</f>
        <v>0</v>
      </c>
      <c r="K757" t="str">
        <f>IF(samples!F294=0,"",samples!F294)</f>
        <v/>
      </c>
      <c r="L757">
        <f>IFERROR(SEARCH(search!$B$6,samples!F294,1),0)</f>
        <v>0</v>
      </c>
      <c r="M757" t="str">
        <f>IF(samples!G294=0,"",samples!G294)</f>
        <v/>
      </c>
      <c r="N757">
        <f>IFERROR(SEARCH(search!$B$6,samples!G294,1),0)</f>
        <v>0</v>
      </c>
      <c r="O757" t="str">
        <f>IF(samples!H294=0,"",samples!H294)</f>
        <v/>
      </c>
      <c r="P757">
        <f>IFERROR(SEARCH(search!$B$6,samples!H294,1),0)</f>
        <v>0</v>
      </c>
      <c r="Q757" t="str">
        <f>IF(samples!I294=0,"",samples!I294)</f>
        <v/>
      </c>
      <c r="R757">
        <f>IFERROR(SEARCH(search!$B$6,samples!I294,1),0)</f>
        <v>0</v>
      </c>
      <c r="S757" t="str">
        <f>IF(samples!J294=0,"",samples!J294)</f>
        <v/>
      </c>
      <c r="T757">
        <f>IFERROR(SEARCH(search!$B$6,samples!J294,1),0)</f>
        <v>0</v>
      </c>
      <c r="U757" t="str">
        <f>IF(samples!K294=0,"",samples!K294)</f>
        <v/>
      </c>
      <c r="V757">
        <f>IFERROR(SEARCH(search!$B$6,samples!K294,1),0)</f>
        <v>0</v>
      </c>
      <c r="W757" t="str">
        <f>IF(samples!L294=0,"",samples!L294)</f>
        <v/>
      </c>
      <c r="X757">
        <f>IFERROR(SEARCH(search!$B$6,samples!L294,1),0)</f>
        <v>0</v>
      </c>
      <c r="Y757" t="str">
        <f>IF(samples!M294=0,"",samples!M294)</f>
        <v/>
      </c>
      <c r="Z757">
        <f>IFERROR(SEARCH(search!$B$6,samples!M294,1),0)</f>
        <v>0</v>
      </c>
      <c r="AA757" t="str">
        <f>IF(samples!N294=0,"",samples!N294)</f>
        <v/>
      </c>
      <c r="AB757">
        <f>IFERROR(SEARCH(search!$B$6,samples!N294,1),0)</f>
        <v>0</v>
      </c>
      <c r="AC757" t="str">
        <f>IF(samples!O294=0,"",samples!O294)</f>
        <v/>
      </c>
      <c r="AD757">
        <f>IFERROR(SEARCH(search!$B$6,samples!O294,1),0)</f>
        <v>0</v>
      </c>
    </row>
    <row r="758" spans="1:30">
      <c r="A758">
        <f t="shared" si="11"/>
        <v>0</v>
      </c>
      <c r="B758">
        <f>IF(SUM(D758,F758,H758,J758,L758,N758,P758,R758,T758,V758,X758,Z758,AB758,AD758)&gt;0,SUM($A$2:A758),0)</f>
        <v>0</v>
      </c>
      <c r="C758">
        <f>samples!B295</f>
        <v>0</v>
      </c>
      <c r="D758">
        <f>IFERROR(SEARCH(search!$B$6,samples!B295,1),0)</f>
        <v>0</v>
      </c>
      <c r="E758" t="str">
        <f>IF(samples!C295=0,"",samples!C295)</f>
        <v/>
      </c>
      <c r="F758">
        <f>IFERROR(SEARCH(search!$B$6,samples!C295,1),0)</f>
        <v>0</v>
      </c>
      <c r="G758" t="str">
        <f>IF(samples!D295=0,"",samples!D295)</f>
        <v/>
      </c>
      <c r="H758">
        <f>IFERROR(SEARCH(search!$B$6,samples!D295,1),0)</f>
        <v>0</v>
      </c>
      <c r="I758" t="str">
        <f>IF(samples!E295=0,"",samples!E295)</f>
        <v/>
      </c>
      <c r="J758">
        <f>IFERROR(SEARCH(search!$B$6,samples!E295,1),0)</f>
        <v>0</v>
      </c>
      <c r="K758" t="str">
        <f>IF(samples!F295=0,"",samples!F295)</f>
        <v/>
      </c>
      <c r="L758">
        <f>IFERROR(SEARCH(search!$B$6,samples!F295,1),0)</f>
        <v>0</v>
      </c>
      <c r="M758" t="str">
        <f>IF(samples!G295=0,"",samples!G295)</f>
        <v/>
      </c>
      <c r="N758">
        <f>IFERROR(SEARCH(search!$B$6,samples!G295,1),0)</f>
        <v>0</v>
      </c>
      <c r="O758" t="str">
        <f>IF(samples!H295=0,"",samples!H295)</f>
        <v/>
      </c>
      <c r="P758">
        <f>IFERROR(SEARCH(search!$B$6,samples!H295,1),0)</f>
        <v>0</v>
      </c>
      <c r="Q758" t="str">
        <f>IF(samples!I295=0,"",samples!I295)</f>
        <v/>
      </c>
      <c r="R758">
        <f>IFERROR(SEARCH(search!$B$6,samples!I295,1),0)</f>
        <v>0</v>
      </c>
      <c r="S758" t="str">
        <f>IF(samples!J295=0,"",samples!J295)</f>
        <v/>
      </c>
      <c r="T758">
        <f>IFERROR(SEARCH(search!$B$6,samples!J295,1),0)</f>
        <v>0</v>
      </c>
      <c r="U758" t="str">
        <f>IF(samples!K295=0,"",samples!K295)</f>
        <v/>
      </c>
      <c r="V758">
        <f>IFERROR(SEARCH(search!$B$6,samples!K295,1),0)</f>
        <v>0</v>
      </c>
      <c r="W758" t="str">
        <f>IF(samples!L295=0,"",samples!L295)</f>
        <v/>
      </c>
      <c r="X758">
        <f>IFERROR(SEARCH(search!$B$6,samples!L295,1),0)</f>
        <v>0</v>
      </c>
      <c r="Y758" t="str">
        <f>IF(samples!M295=0,"",samples!M295)</f>
        <v/>
      </c>
      <c r="Z758">
        <f>IFERROR(SEARCH(search!$B$6,samples!M295,1),0)</f>
        <v>0</v>
      </c>
      <c r="AA758" t="str">
        <f>IF(samples!N295=0,"",samples!N295)</f>
        <v/>
      </c>
      <c r="AB758">
        <f>IFERROR(SEARCH(search!$B$6,samples!N295,1),0)</f>
        <v>0</v>
      </c>
      <c r="AC758" t="str">
        <f>IF(samples!O295=0,"",samples!O295)</f>
        <v/>
      </c>
      <c r="AD758">
        <f>IFERROR(SEARCH(search!$B$6,samples!O295,1),0)</f>
        <v>0</v>
      </c>
    </row>
    <row r="759" spans="1:30">
      <c r="A759">
        <f t="shared" si="11"/>
        <v>0</v>
      </c>
      <c r="B759">
        <f>IF(SUM(D759,F759,H759,J759,L759,N759,P759,R759,T759,V759,X759,Z759,AB759,AD759)&gt;0,SUM($A$2:A759),0)</f>
        <v>0</v>
      </c>
      <c r="C759">
        <f>samples!B296</f>
        <v>0</v>
      </c>
      <c r="D759">
        <f>IFERROR(SEARCH(search!$B$6,samples!B296,1),0)</f>
        <v>0</v>
      </c>
      <c r="E759" t="str">
        <f>IF(samples!C296=0,"",samples!C296)</f>
        <v/>
      </c>
      <c r="F759">
        <f>IFERROR(SEARCH(search!$B$6,samples!C296,1),0)</f>
        <v>0</v>
      </c>
      <c r="G759" t="str">
        <f>IF(samples!D296=0,"",samples!D296)</f>
        <v/>
      </c>
      <c r="H759">
        <f>IFERROR(SEARCH(search!$B$6,samples!D296,1),0)</f>
        <v>0</v>
      </c>
      <c r="I759" t="str">
        <f>IF(samples!E296=0,"",samples!E296)</f>
        <v/>
      </c>
      <c r="J759">
        <f>IFERROR(SEARCH(search!$B$6,samples!E296,1),0)</f>
        <v>0</v>
      </c>
      <c r="K759" t="str">
        <f>IF(samples!F296=0,"",samples!F296)</f>
        <v/>
      </c>
      <c r="L759">
        <f>IFERROR(SEARCH(search!$B$6,samples!F296,1),0)</f>
        <v>0</v>
      </c>
      <c r="M759" t="str">
        <f>IF(samples!G296=0,"",samples!G296)</f>
        <v/>
      </c>
      <c r="N759">
        <f>IFERROR(SEARCH(search!$B$6,samples!G296,1),0)</f>
        <v>0</v>
      </c>
      <c r="O759" t="str">
        <f>IF(samples!H296=0,"",samples!H296)</f>
        <v/>
      </c>
      <c r="P759">
        <f>IFERROR(SEARCH(search!$B$6,samples!H296,1),0)</f>
        <v>0</v>
      </c>
      <c r="Q759" t="str">
        <f>IF(samples!I296=0,"",samples!I296)</f>
        <v/>
      </c>
      <c r="R759">
        <f>IFERROR(SEARCH(search!$B$6,samples!I296,1),0)</f>
        <v>0</v>
      </c>
      <c r="S759" t="str">
        <f>IF(samples!J296=0,"",samples!J296)</f>
        <v/>
      </c>
      <c r="T759">
        <f>IFERROR(SEARCH(search!$B$6,samples!J296,1),0)</f>
        <v>0</v>
      </c>
      <c r="U759" t="str">
        <f>IF(samples!K296=0,"",samples!K296)</f>
        <v/>
      </c>
      <c r="V759">
        <f>IFERROR(SEARCH(search!$B$6,samples!K296,1),0)</f>
        <v>0</v>
      </c>
      <c r="W759" t="str">
        <f>IF(samples!L296=0,"",samples!L296)</f>
        <v/>
      </c>
      <c r="X759">
        <f>IFERROR(SEARCH(search!$B$6,samples!L296,1),0)</f>
        <v>0</v>
      </c>
      <c r="Y759" t="str">
        <f>IF(samples!M296=0,"",samples!M296)</f>
        <v/>
      </c>
      <c r="Z759">
        <f>IFERROR(SEARCH(search!$B$6,samples!M296,1),0)</f>
        <v>0</v>
      </c>
      <c r="AA759" t="str">
        <f>IF(samples!N296=0,"",samples!N296)</f>
        <v/>
      </c>
      <c r="AB759">
        <f>IFERROR(SEARCH(search!$B$6,samples!N296,1),0)</f>
        <v>0</v>
      </c>
      <c r="AC759" t="str">
        <f>IF(samples!O296=0,"",samples!O296)</f>
        <v/>
      </c>
      <c r="AD759">
        <f>IFERROR(SEARCH(search!$B$6,samples!O296,1),0)</f>
        <v>0</v>
      </c>
    </row>
    <row r="760" spans="1:30">
      <c r="A760">
        <f t="shared" si="11"/>
        <v>0</v>
      </c>
      <c r="B760">
        <f>IF(SUM(D760,F760,H760,J760,L760,N760,P760,R760,T760,V760,X760,Z760,AB760,AD760)&gt;0,SUM($A$2:A760),0)</f>
        <v>0</v>
      </c>
      <c r="C760">
        <f>samples!B297</f>
        <v>0</v>
      </c>
      <c r="D760">
        <f>IFERROR(SEARCH(search!$B$6,samples!B297,1),0)</f>
        <v>0</v>
      </c>
      <c r="E760" t="str">
        <f>IF(samples!C297=0,"",samples!C297)</f>
        <v/>
      </c>
      <c r="F760">
        <f>IFERROR(SEARCH(search!$B$6,samples!C297,1),0)</f>
        <v>0</v>
      </c>
      <c r="G760" t="str">
        <f>IF(samples!D297=0,"",samples!D297)</f>
        <v/>
      </c>
      <c r="H760">
        <f>IFERROR(SEARCH(search!$B$6,samples!D297,1),0)</f>
        <v>0</v>
      </c>
      <c r="I760" t="str">
        <f>IF(samples!E297=0,"",samples!E297)</f>
        <v/>
      </c>
      <c r="J760">
        <f>IFERROR(SEARCH(search!$B$6,samples!E297,1),0)</f>
        <v>0</v>
      </c>
      <c r="K760" t="str">
        <f>IF(samples!F297=0,"",samples!F297)</f>
        <v/>
      </c>
      <c r="L760">
        <f>IFERROR(SEARCH(search!$B$6,samples!F297,1),0)</f>
        <v>0</v>
      </c>
      <c r="M760" t="str">
        <f>IF(samples!G297=0,"",samples!G297)</f>
        <v/>
      </c>
      <c r="N760">
        <f>IFERROR(SEARCH(search!$B$6,samples!G297,1),0)</f>
        <v>0</v>
      </c>
      <c r="O760" t="str">
        <f>IF(samples!H297=0,"",samples!H297)</f>
        <v/>
      </c>
      <c r="P760">
        <f>IFERROR(SEARCH(search!$B$6,samples!H297,1),0)</f>
        <v>0</v>
      </c>
      <c r="Q760" t="str">
        <f>IF(samples!I297=0,"",samples!I297)</f>
        <v/>
      </c>
      <c r="R760">
        <f>IFERROR(SEARCH(search!$B$6,samples!I297,1),0)</f>
        <v>0</v>
      </c>
      <c r="S760" t="str">
        <f>IF(samples!J297=0,"",samples!J297)</f>
        <v/>
      </c>
      <c r="T760">
        <f>IFERROR(SEARCH(search!$B$6,samples!J297,1),0)</f>
        <v>0</v>
      </c>
      <c r="U760" t="str">
        <f>IF(samples!K297=0,"",samples!K297)</f>
        <v/>
      </c>
      <c r="V760">
        <f>IFERROR(SEARCH(search!$B$6,samples!K297,1),0)</f>
        <v>0</v>
      </c>
      <c r="W760" t="str">
        <f>IF(samples!L297=0,"",samples!L297)</f>
        <v/>
      </c>
      <c r="X760">
        <f>IFERROR(SEARCH(search!$B$6,samples!L297,1),0)</f>
        <v>0</v>
      </c>
      <c r="Y760" t="str">
        <f>IF(samples!M297=0,"",samples!M297)</f>
        <v/>
      </c>
      <c r="Z760">
        <f>IFERROR(SEARCH(search!$B$6,samples!M297,1),0)</f>
        <v>0</v>
      </c>
      <c r="AA760" t="str">
        <f>IF(samples!N297=0,"",samples!N297)</f>
        <v/>
      </c>
      <c r="AB760">
        <f>IFERROR(SEARCH(search!$B$6,samples!N297,1),0)</f>
        <v>0</v>
      </c>
      <c r="AC760" t="str">
        <f>IF(samples!O297=0,"",samples!O297)</f>
        <v/>
      </c>
      <c r="AD760">
        <f>IFERROR(SEARCH(search!$B$6,samples!O297,1),0)</f>
        <v>0</v>
      </c>
    </row>
    <row r="761" spans="1:30">
      <c r="A761">
        <f t="shared" si="11"/>
        <v>0</v>
      </c>
      <c r="B761">
        <f>IF(SUM(D761,F761,H761,J761,L761,N761,P761,R761,T761,V761,X761,Z761,AB761,AD761)&gt;0,SUM($A$2:A761),0)</f>
        <v>0</v>
      </c>
      <c r="C761">
        <f>samples!B298</f>
        <v>0</v>
      </c>
      <c r="D761">
        <f>IFERROR(SEARCH(search!$B$6,samples!B298,1),0)</f>
        <v>0</v>
      </c>
      <c r="E761" t="str">
        <f>IF(samples!C298=0,"",samples!C298)</f>
        <v/>
      </c>
      <c r="F761">
        <f>IFERROR(SEARCH(search!$B$6,samples!C298,1),0)</f>
        <v>0</v>
      </c>
      <c r="G761" t="str">
        <f>IF(samples!D298=0,"",samples!D298)</f>
        <v/>
      </c>
      <c r="H761">
        <f>IFERROR(SEARCH(search!$B$6,samples!D298,1),0)</f>
        <v>0</v>
      </c>
      <c r="I761" t="str">
        <f>IF(samples!E298=0,"",samples!E298)</f>
        <v/>
      </c>
      <c r="J761">
        <f>IFERROR(SEARCH(search!$B$6,samples!E298,1),0)</f>
        <v>0</v>
      </c>
      <c r="K761" t="str">
        <f>IF(samples!F298=0,"",samples!F298)</f>
        <v/>
      </c>
      <c r="L761">
        <f>IFERROR(SEARCH(search!$B$6,samples!F298,1),0)</f>
        <v>0</v>
      </c>
      <c r="M761" t="str">
        <f>IF(samples!G298=0,"",samples!G298)</f>
        <v/>
      </c>
      <c r="N761">
        <f>IFERROR(SEARCH(search!$B$6,samples!G298,1),0)</f>
        <v>0</v>
      </c>
      <c r="O761" t="str">
        <f>IF(samples!H298=0,"",samples!H298)</f>
        <v/>
      </c>
      <c r="P761">
        <f>IFERROR(SEARCH(search!$B$6,samples!H298,1),0)</f>
        <v>0</v>
      </c>
      <c r="Q761" t="str">
        <f>IF(samples!I298=0,"",samples!I298)</f>
        <v/>
      </c>
      <c r="R761">
        <f>IFERROR(SEARCH(search!$B$6,samples!I298,1),0)</f>
        <v>0</v>
      </c>
      <c r="S761" t="str">
        <f>IF(samples!J298=0,"",samples!J298)</f>
        <v/>
      </c>
      <c r="T761">
        <f>IFERROR(SEARCH(search!$B$6,samples!J298,1),0)</f>
        <v>0</v>
      </c>
      <c r="U761" t="str">
        <f>IF(samples!K298=0,"",samples!K298)</f>
        <v/>
      </c>
      <c r="V761">
        <f>IFERROR(SEARCH(search!$B$6,samples!K298,1),0)</f>
        <v>0</v>
      </c>
      <c r="W761" t="str">
        <f>IF(samples!L298=0,"",samples!L298)</f>
        <v/>
      </c>
      <c r="X761">
        <f>IFERROR(SEARCH(search!$B$6,samples!L298,1),0)</f>
        <v>0</v>
      </c>
      <c r="Y761" t="str">
        <f>IF(samples!M298=0,"",samples!M298)</f>
        <v/>
      </c>
      <c r="Z761">
        <f>IFERROR(SEARCH(search!$B$6,samples!M298,1),0)</f>
        <v>0</v>
      </c>
      <c r="AA761" t="str">
        <f>IF(samples!N298=0,"",samples!N298)</f>
        <v/>
      </c>
      <c r="AB761">
        <f>IFERROR(SEARCH(search!$B$6,samples!N298,1),0)</f>
        <v>0</v>
      </c>
      <c r="AC761" t="str">
        <f>IF(samples!O298=0,"",samples!O298)</f>
        <v/>
      </c>
      <c r="AD761">
        <f>IFERROR(SEARCH(search!$B$6,samples!O298,1),0)</f>
        <v>0</v>
      </c>
    </row>
    <row r="762" spans="1:30">
      <c r="A762">
        <f t="shared" si="11"/>
        <v>0</v>
      </c>
      <c r="B762">
        <f>IF(SUM(D762,F762,H762,J762,L762,N762,P762,R762,T762,V762,X762,Z762,AB762,AD762)&gt;0,SUM($A$2:A762),0)</f>
        <v>0</v>
      </c>
      <c r="C762">
        <f>samples!B299</f>
        <v>0</v>
      </c>
      <c r="D762">
        <f>IFERROR(SEARCH(search!$B$6,samples!B299,1),0)</f>
        <v>0</v>
      </c>
      <c r="E762" t="str">
        <f>IF(samples!C299=0,"",samples!C299)</f>
        <v/>
      </c>
      <c r="F762">
        <f>IFERROR(SEARCH(search!$B$6,samples!C299,1),0)</f>
        <v>0</v>
      </c>
      <c r="G762" t="str">
        <f>IF(samples!D299=0,"",samples!D299)</f>
        <v/>
      </c>
      <c r="H762">
        <f>IFERROR(SEARCH(search!$B$6,samples!D299,1),0)</f>
        <v>0</v>
      </c>
      <c r="I762" t="str">
        <f>IF(samples!E299=0,"",samples!E299)</f>
        <v/>
      </c>
      <c r="J762">
        <f>IFERROR(SEARCH(search!$B$6,samples!E299,1),0)</f>
        <v>0</v>
      </c>
      <c r="K762" t="str">
        <f>IF(samples!F299=0,"",samples!F299)</f>
        <v/>
      </c>
      <c r="L762">
        <f>IFERROR(SEARCH(search!$B$6,samples!F299,1),0)</f>
        <v>0</v>
      </c>
      <c r="M762" t="str">
        <f>IF(samples!G299=0,"",samples!G299)</f>
        <v/>
      </c>
      <c r="N762">
        <f>IFERROR(SEARCH(search!$B$6,samples!G299,1),0)</f>
        <v>0</v>
      </c>
      <c r="O762" t="str">
        <f>IF(samples!H299=0,"",samples!H299)</f>
        <v/>
      </c>
      <c r="P762">
        <f>IFERROR(SEARCH(search!$B$6,samples!H299,1),0)</f>
        <v>0</v>
      </c>
      <c r="Q762" t="str">
        <f>IF(samples!I299=0,"",samples!I299)</f>
        <v/>
      </c>
      <c r="R762">
        <f>IFERROR(SEARCH(search!$B$6,samples!I299,1),0)</f>
        <v>0</v>
      </c>
      <c r="S762" t="str">
        <f>IF(samples!J299=0,"",samples!J299)</f>
        <v/>
      </c>
      <c r="T762">
        <f>IFERROR(SEARCH(search!$B$6,samples!J299,1),0)</f>
        <v>0</v>
      </c>
      <c r="U762" t="str">
        <f>IF(samples!K299=0,"",samples!K299)</f>
        <v/>
      </c>
      <c r="V762">
        <f>IFERROR(SEARCH(search!$B$6,samples!K299,1),0)</f>
        <v>0</v>
      </c>
      <c r="W762" t="str">
        <f>IF(samples!L299=0,"",samples!L299)</f>
        <v/>
      </c>
      <c r="X762">
        <f>IFERROR(SEARCH(search!$B$6,samples!L299,1),0)</f>
        <v>0</v>
      </c>
      <c r="Y762" t="str">
        <f>IF(samples!M299=0,"",samples!M299)</f>
        <v/>
      </c>
      <c r="Z762">
        <f>IFERROR(SEARCH(search!$B$6,samples!M299,1),0)</f>
        <v>0</v>
      </c>
      <c r="AA762" t="str">
        <f>IF(samples!N299=0,"",samples!N299)</f>
        <v/>
      </c>
      <c r="AB762">
        <f>IFERROR(SEARCH(search!$B$6,samples!N299,1),0)</f>
        <v>0</v>
      </c>
      <c r="AC762" t="str">
        <f>IF(samples!O299=0,"",samples!O299)</f>
        <v/>
      </c>
      <c r="AD762">
        <f>IFERROR(SEARCH(search!$B$6,samples!O299,1),0)</f>
        <v>0</v>
      </c>
    </row>
    <row r="763" spans="1:30">
      <c r="A763">
        <f t="shared" si="11"/>
        <v>0</v>
      </c>
      <c r="B763">
        <f>IF(SUM(D763,F763,H763,J763,L763,N763,P763,R763,T763,V763,X763,Z763,AB763,AD763)&gt;0,SUM($A$2:A763),0)</f>
        <v>0</v>
      </c>
      <c r="C763">
        <f>samples!B300</f>
        <v>0</v>
      </c>
      <c r="D763">
        <f>IFERROR(SEARCH(search!$B$6,samples!B300,1),0)</f>
        <v>0</v>
      </c>
      <c r="E763" t="str">
        <f>IF(samples!C300=0,"",samples!C300)</f>
        <v/>
      </c>
      <c r="F763">
        <f>IFERROR(SEARCH(search!$B$6,samples!C300,1),0)</f>
        <v>0</v>
      </c>
      <c r="G763" t="str">
        <f>IF(samples!D300=0,"",samples!D300)</f>
        <v/>
      </c>
      <c r="H763">
        <f>IFERROR(SEARCH(search!$B$6,samples!D300,1),0)</f>
        <v>0</v>
      </c>
      <c r="I763" t="str">
        <f>IF(samples!E300=0,"",samples!E300)</f>
        <v/>
      </c>
      <c r="J763">
        <f>IFERROR(SEARCH(search!$B$6,samples!E300,1),0)</f>
        <v>0</v>
      </c>
      <c r="K763" t="str">
        <f>IF(samples!F300=0,"",samples!F300)</f>
        <v/>
      </c>
      <c r="L763">
        <f>IFERROR(SEARCH(search!$B$6,samples!F300,1),0)</f>
        <v>0</v>
      </c>
      <c r="M763" t="str">
        <f>IF(samples!G300=0,"",samples!G300)</f>
        <v/>
      </c>
      <c r="N763">
        <f>IFERROR(SEARCH(search!$B$6,samples!G300,1),0)</f>
        <v>0</v>
      </c>
      <c r="O763" t="str">
        <f>IF(samples!H300=0,"",samples!H300)</f>
        <v/>
      </c>
      <c r="P763">
        <f>IFERROR(SEARCH(search!$B$6,samples!H300,1),0)</f>
        <v>0</v>
      </c>
      <c r="Q763" t="str">
        <f>IF(samples!I300=0,"",samples!I300)</f>
        <v/>
      </c>
      <c r="R763">
        <f>IFERROR(SEARCH(search!$B$6,samples!I300,1),0)</f>
        <v>0</v>
      </c>
      <c r="S763" t="str">
        <f>IF(samples!J300=0,"",samples!J300)</f>
        <v/>
      </c>
      <c r="T763">
        <f>IFERROR(SEARCH(search!$B$6,samples!J300,1),0)</f>
        <v>0</v>
      </c>
      <c r="U763" t="str">
        <f>IF(samples!K300=0,"",samples!K300)</f>
        <v/>
      </c>
      <c r="V763">
        <f>IFERROR(SEARCH(search!$B$6,samples!K300,1),0)</f>
        <v>0</v>
      </c>
      <c r="W763" t="str">
        <f>IF(samples!L300=0,"",samples!L300)</f>
        <v/>
      </c>
      <c r="X763">
        <f>IFERROR(SEARCH(search!$B$6,samples!L300,1),0)</f>
        <v>0</v>
      </c>
      <c r="Y763" t="str">
        <f>IF(samples!M300=0,"",samples!M300)</f>
        <v/>
      </c>
      <c r="Z763">
        <f>IFERROR(SEARCH(search!$B$6,samples!M300,1),0)</f>
        <v>0</v>
      </c>
      <c r="AA763" t="str">
        <f>IF(samples!N300=0,"",samples!N300)</f>
        <v/>
      </c>
      <c r="AB763">
        <f>IFERROR(SEARCH(search!$B$6,samples!N300,1),0)</f>
        <v>0</v>
      </c>
      <c r="AC763" t="str">
        <f>IF(samples!O300=0,"",samples!O300)</f>
        <v/>
      </c>
      <c r="AD763">
        <f>IFERROR(SEARCH(search!$B$6,samples!O300,1),0)</f>
        <v>0</v>
      </c>
    </row>
    <row r="764" spans="1:30">
      <c r="A764">
        <f t="shared" si="11"/>
        <v>0</v>
      </c>
      <c r="B764">
        <f>IF(SUM(D764,F764,H764,J764,L764,N764,P764,R764,T764,V764,X764,Z764,AB764,AD764)&gt;0,SUM($A$2:A764),0)</f>
        <v>0</v>
      </c>
      <c r="C764">
        <f>samples!B301</f>
        <v>0</v>
      </c>
      <c r="D764">
        <f>IFERROR(SEARCH(search!$B$6,samples!B301,1),0)</f>
        <v>0</v>
      </c>
      <c r="E764" t="str">
        <f>IF(samples!C301=0,"",samples!C301)</f>
        <v/>
      </c>
      <c r="F764">
        <f>IFERROR(SEARCH(search!$B$6,samples!C301,1),0)</f>
        <v>0</v>
      </c>
      <c r="G764" t="str">
        <f>IF(samples!D301=0,"",samples!D301)</f>
        <v/>
      </c>
      <c r="H764">
        <f>IFERROR(SEARCH(search!$B$6,samples!D301,1),0)</f>
        <v>0</v>
      </c>
      <c r="I764" t="str">
        <f>IF(samples!E301=0,"",samples!E301)</f>
        <v/>
      </c>
      <c r="J764">
        <f>IFERROR(SEARCH(search!$B$6,samples!E301,1),0)</f>
        <v>0</v>
      </c>
      <c r="K764" t="str">
        <f>IF(samples!F301=0,"",samples!F301)</f>
        <v/>
      </c>
      <c r="L764">
        <f>IFERROR(SEARCH(search!$B$6,samples!F301,1),0)</f>
        <v>0</v>
      </c>
      <c r="M764" t="str">
        <f>IF(samples!G301=0,"",samples!G301)</f>
        <v/>
      </c>
      <c r="N764">
        <f>IFERROR(SEARCH(search!$B$6,samples!G301,1),0)</f>
        <v>0</v>
      </c>
      <c r="O764" t="str">
        <f>IF(samples!H301=0,"",samples!H301)</f>
        <v/>
      </c>
      <c r="P764">
        <f>IFERROR(SEARCH(search!$B$6,samples!H301,1),0)</f>
        <v>0</v>
      </c>
      <c r="Q764" t="str">
        <f>IF(samples!I301=0,"",samples!I301)</f>
        <v/>
      </c>
      <c r="R764">
        <f>IFERROR(SEARCH(search!$B$6,samples!I301,1),0)</f>
        <v>0</v>
      </c>
      <c r="S764" t="str">
        <f>IF(samples!J301=0,"",samples!J301)</f>
        <v/>
      </c>
      <c r="T764">
        <f>IFERROR(SEARCH(search!$B$6,samples!J301,1),0)</f>
        <v>0</v>
      </c>
      <c r="U764" t="str">
        <f>IF(samples!K301=0,"",samples!K301)</f>
        <v/>
      </c>
      <c r="V764">
        <f>IFERROR(SEARCH(search!$B$6,samples!K301,1),0)</f>
        <v>0</v>
      </c>
      <c r="W764" t="str">
        <f>IF(samples!L301=0,"",samples!L301)</f>
        <v/>
      </c>
      <c r="X764">
        <f>IFERROR(SEARCH(search!$B$6,samples!L301,1),0)</f>
        <v>0</v>
      </c>
      <c r="Y764" t="str">
        <f>IF(samples!M301=0,"",samples!M301)</f>
        <v/>
      </c>
      <c r="Z764">
        <f>IFERROR(SEARCH(search!$B$6,samples!M301,1),0)</f>
        <v>0</v>
      </c>
      <c r="AA764" t="str">
        <f>IF(samples!N301=0,"",samples!N301)</f>
        <v/>
      </c>
      <c r="AB764">
        <f>IFERROR(SEARCH(search!$B$6,samples!N301,1),0)</f>
        <v>0</v>
      </c>
      <c r="AC764" t="str">
        <f>IF(samples!O301=0,"",samples!O301)</f>
        <v/>
      </c>
      <c r="AD764">
        <f>IFERROR(SEARCH(search!$B$6,samples!O301,1),0)</f>
        <v>0</v>
      </c>
    </row>
    <row r="765" spans="1:30">
      <c r="A765">
        <f t="shared" si="11"/>
        <v>0</v>
      </c>
      <c r="B765">
        <f>IF(SUM(D765,F765,H765,J765,L765,N765,P765,R765,T765,V765,X765,Z765,AB765,AD765)&gt;0,SUM($A$2:A765),0)</f>
        <v>0</v>
      </c>
      <c r="C765">
        <f>samples!B302</f>
        <v>0</v>
      </c>
      <c r="D765">
        <f>IFERROR(SEARCH(search!$B$6,samples!B302,1),0)</f>
        <v>0</v>
      </c>
      <c r="E765" t="str">
        <f>IF(samples!C302=0,"",samples!C302)</f>
        <v/>
      </c>
      <c r="F765">
        <f>IFERROR(SEARCH(search!$B$6,samples!C302,1),0)</f>
        <v>0</v>
      </c>
      <c r="G765" t="str">
        <f>IF(samples!D302=0,"",samples!D302)</f>
        <v/>
      </c>
      <c r="H765">
        <f>IFERROR(SEARCH(search!$B$6,samples!D302,1),0)</f>
        <v>0</v>
      </c>
      <c r="I765" t="str">
        <f>IF(samples!E302=0,"",samples!E302)</f>
        <v/>
      </c>
      <c r="J765">
        <f>IFERROR(SEARCH(search!$B$6,samples!E302,1),0)</f>
        <v>0</v>
      </c>
      <c r="K765" t="str">
        <f>IF(samples!F302=0,"",samples!F302)</f>
        <v/>
      </c>
      <c r="L765">
        <f>IFERROR(SEARCH(search!$B$6,samples!F302,1),0)</f>
        <v>0</v>
      </c>
      <c r="M765" t="str">
        <f>IF(samples!G302=0,"",samples!G302)</f>
        <v/>
      </c>
      <c r="N765">
        <f>IFERROR(SEARCH(search!$B$6,samples!G302,1),0)</f>
        <v>0</v>
      </c>
      <c r="O765" t="str">
        <f>IF(samples!H302=0,"",samples!H302)</f>
        <v/>
      </c>
      <c r="P765">
        <f>IFERROR(SEARCH(search!$B$6,samples!H302,1),0)</f>
        <v>0</v>
      </c>
      <c r="Q765" t="str">
        <f>IF(samples!I302=0,"",samples!I302)</f>
        <v/>
      </c>
      <c r="R765">
        <f>IFERROR(SEARCH(search!$B$6,samples!I302,1),0)</f>
        <v>0</v>
      </c>
      <c r="S765" t="str">
        <f>IF(samples!J302=0,"",samples!J302)</f>
        <v/>
      </c>
      <c r="T765">
        <f>IFERROR(SEARCH(search!$B$6,samples!J302,1),0)</f>
        <v>0</v>
      </c>
      <c r="U765" t="str">
        <f>IF(samples!K302=0,"",samples!K302)</f>
        <v/>
      </c>
      <c r="V765">
        <f>IFERROR(SEARCH(search!$B$6,samples!K302,1),0)</f>
        <v>0</v>
      </c>
      <c r="W765" t="str">
        <f>IF(samples!L302=0,"",samples!L302)</f>
        <v/>
      </c>
      <c r="X765">
        <f>IFERROR(SEARCH(search!$B$6,samples!L302,1),0)</f>
        <v>0</v>
      </c>
      <c r="Y765" t="str">
        <f>IF(samples!M302=0,"",samples!M302)</f>
        <v/>
      </c>
      <c r="Z765">
        <f>IFERROR(SEARCH(search!$B$6,samples!M302,1),0)</f>
        <v>0</v>
      </c>
      <c r="AA765" t="str">
        <f>IF(samples!N302=0,"",samples!N302)</f>
        <v/>
      </c>
      <c r="AB765">
        <f>IFERROR(SEARCH(search!$B$6,samples!N302,1),0)</f>
        <v>0</v>
      </c>
      <c r="AC765" t="str">
        <f>IF(samples!O302=0,"",samples!O302)</f>
        <v/>
      </c>
      <c r="AD765">
        <f>IFERROR(SEARCH(search!$B$6,samples!O302,1),0)</f>
        <v>0</v>
      </c>
    </row>
    <row r="766" spans="1:30">
      <c r="A766">
        <f t="shared" si="11"/>
        <v>0</v>
      </c>
      <c r="B766">
        <f>IF(SUM(D766,F766,H766,J766,L766,N766,P766,R766,T766,V766,X766,Z766,AB766,AD766)&gt;0,SUM($A$2:A766),0)</f>
        <v>0</v>
      </c>
      <c r="C766">
        <f>samples!B303</f>
        <v>0</v>
      </c>
      <c r="D766">
        <f>IFERROR(SEARCH(search!$B$6,samples!B303,1),0)</f>
        <v>0</v>
      </c>
      <c r="E766" t="str">
        <f>IF(samples!C303=0,"",samples!C303)</f>
        <v/>
      </c>
      <c r="F766">
        <f>IFERROR(SEARCH(search!$B$6,samples!C303,1),0)</f>
        <v>0</v>
      </c>
      <c r="G766" t="str">
        <f>IF(samples!D303=0,"",samples!D303)</f>
        <v/>
      </c>
      <c r="H766">
        <f>IFERROR(SEARCH(search!$B$6,samples!D303,1),0)</f>
        <v>0</v>
      </c>
      <c r="I766" t="str">
        <f>IF(samples!E303=0,"",samples!E303)</f>
        <v/>
      </c>
      <c r="J766">
        <f>IFERROR(SEARCH(search!$B$6,samples!E303,1),0)</f>
        <v>0</v>
      </c>
      <c r="K766" t="str">
        <f>IF(samples!F303=0,"",samples!F303)</f>
        <v/>
      </c>
      <c r="L766">
        <f>IFERROR(SEARCH(search!$B$6,samples!F303,1),0)</f>
        <v>0</v>
      </c>
      <c r="M766" t="str">
        <f>IF(samples!G303=0,"",samples!G303)</f>
        <v/>
      </c>
      <c r="N766">
        <f>IFERROR(SEARCH(search!$B$6,samples!G303,1),0)</f>
        <v>0</v>
      </c>
      <c r="O766" t="str">
        <f>IF(samples!H303=0,"",samples!H303)</f>
        <v/>
      </c>
      <c r="P766">
        <f>IFERROR(SEARCH(search!$B$6,samples!H303,1),0)</f>
        <v>0</v>
      </c>
      <c r="Q766" t="str">
        <f>IF(samples!I303=0,"",samples!I303)</f>
        <v/>
      </c>
      <c r="R766">
        <f>IFERROR(SEARCH(search!$B$6,samples!I303,1),0)</f>
        <v>0</v>
      </c>
      <c r="S766" t="str">
        <f>IF(samples!J303=0,"",samples!J303)</f>
        <v/>
      </c>
      <c r="T766">
        <f>IFERROR(SEARCH(search!$B$6,samples!J303,1),0)</f>
        <v>0</v>
      </c>
      <c r="U766" t="str">
        <f>IF(samples!K303=0,"",samples!K303)</f>
        <v/>
      </c>
      <c r="V766">
        <f>IFERROR(SEARCH(search!$B$6,samples!K303,1),0)</f>
        <v>0</v>
      </c>
      <c r="W766" t="str">
        <f>IF(samples!L303=0,"",samples!L303)</f>
        <v/>
      </c>
      <c r="X766">
        <f>IFERROR(SEARCH(search!$B$6,samples!L303,1),0)</f>
        <v>0</v>
      </c>
      <c r="Y766" t="str">
        <f>IF(samples!M303=0,"",samples!M303)</f>
        <v/>
      </c>
      <c r="Z766">
        <f>IFERROR(SEARCH(search!$B$6,samples!M303,1),0)</f>
        <v>0</v>
      </c>
      <c r="AA766" t="str">
        <f>IF(samples!N303=0,"",samples!N303)</f>
        <v/>
      </c>
      <c r="AB766">
        <f>IFERROR(SEARCH(search!$B$6,samples!N303,1),0)</f>
        <v>0</v>
      </c>
      <c r="AC766" t="str">
        <f>IF(samples!O303=0,"",samples!O303)</f>
        <v/>
      </c>
      <c r="AD766">
        <f>IFERROR(SEARCH(search!$B$6,samples!O303,1),0)</f>
        <v>0</v>
      </c>
    </row>
    <row r="767" spans="1:30">
      <c r="A767">
        <f t="shared" si="11"/>
        <v>0</v>
      </c>
      <c r="B767">
        <f>IF(SUM(D767,F767,H767,J767,L767,N767,P767,R767,T767,V767,X767,Z767,AB767,AD767)&gt;0,SUM($A$2:A767),0)</f>
        <v>0</v>
      </c>
      <c r="C767">
        <f>samples!B304</f>
        <v>0</v>
      </c>
      <c r="D767">
        <f>IFERROR(SEARCH(search!$B$6,samples!B304,1),0)</f>
        <v>0</v>
      </c>
      <c r="E767" t="str">
        <f>IF(samples!C304=0,"",samples!C304)</f>
        <v/>
      </c>
      <c r="F767">
        <f>IFERROR(SEARCH(search!$B$6,samples!C304,1),0)</f>
        <v>0</v>
      </c>
      <c r="G767" t="str">
        <f>IF(samples!D304=0,"",samples!D304)</f>
        <v/>
      </c>
      <c r="H767">
        <f>IFERROR(SEARCH(search!$B$6,samples!D304,1),0)</f>
        <v>0</v>
      </c>
      <c r="I767" t="str">
        <f>IF(samples!E304=0,"",samples!E304)</f>
        <v/>
      </c>
      <c r="J767">
        <f>IFERROR(SEARCH(search!$B$6,samples!E304,1),0)</f>
        <v>0</v>
      </c>
      <c r="K767" t="str">
        <f>IF(samples!F304=0,"",samples!F304)</f>
        <v/>
      </c>
      <c r="L767">
        <f>IFERROR(SEARCH(search!$B$6,samples!F304,1),0)</f>
        <v>0</v>
      </c>
      <c r="M767" t="str">
        <f>IF(samples!G304=0,"",samples!G304)</f>
        <v/>
      </c>
      <c r="N767">
        <f>IFERROR(SEARCH(search!$B$6,samples!G304,1),0)</f>
        <v>0</v>
      </c>
      <c r="O767" t="str">
        <f>IF(samples!H304=0,"",samples!H304)</f>
        <v/>
      </c>
      <c r="P767">
        <f>IFERROR(SEARCH(search!$B$6,samples!H304,1),0)</f>
        <v>0</v>
      </c>
      <c r="Q767" t="str">
        <f>IF(samples!I304=0,"",samples!I304)</f>
        <v/>
      </c>
      <c r="R767">
        <f>IFERROR(SEARCH(search!$B$6,samples!I304,1),0)</f>
        <v>0</v>
      </c>
      <c r="S767" t="str">
        <f>IF(samples!J304=0,"",samples!J304)</f>
        <v/>
      </c>
      <c r="T767">
        <f>IFERROR(SEARCH(search!$B$6,samples!J304,1),0)</f>
        <v>0</v>
      </c>
      <c r="U767" t="str">
        <f>IF(samples!K304=0,"",samples!K304)</f>
        <v/>
      </c>
      <c r="V767">
        <f>IFERROR(SEARCH(search!$B$6,samples!K304,1),0)</f>
        <v>0</v>
      </c>
      <c r="W767" t="str">
        <f>IF(samples!L304=0,"",samples!L304)</f>
        <v/>
      </c>
      <c r="X767">
        <f>IFERROR(SEARCH(search!$B$6,samples!L304,1),0)</f>
        <v>0</v>
      </c>
      <c r="Y767" t="str">
        <f>IF(samples!M304=0,"",samples!M304)</f>
        <v/>
      </c>
      <c r="Z767">
        <f>IFERROR(SEARCH(search!$B$6,samples!M304,1),0)</f>
        <v>0</v>
      </c>
      <c r="AA767" t="str">
        <f>IF(samples!N304=0,"",samples!N304)</f>
        <v/>
      </c>
      <c r="AB767">
        <f>IFERROR(SEARCH(search!$B$6,samples!N304,1),0)</f>
        <v>0</v>
      </c>
      <c r="AC767" t="str">
        <f>IF(samples!O304=0,"",samples!O304)</f>
        <v/>
      </c>
      <c r="AD767">
        <f>IFERROR(SEARCH(search!$B$6,samples!O304,1),0)</f>
        <v>0</v>
      </c>
    </row>
    <row r="768" spans="1:30">
      <c r="A768">
        <f t="shared" si="11"/>
        <v>0</v>
      </c>
      <c r="B768">
        <f>IF(SUM(D768,F768,H768,J768,L768,N768,P768,R768,T768,V768,X768,Z768,AB768,AD768)&gt;0,SUM($A$2:A768),0)</f>
        <v>0</v>
      </c>
      <c r="C768">
        <f>samples!B305</f>
        <v>0</v>
      </c>
      <c r="D768">
        <f>IFERROR(SEARCH(search!$B$6,samples!B305,1),0)</f>
        <v>0</v>
      </c>
      <c r="E768" t="str">
        <f>IF(samples!C305=0,"",samples!C305)</f>
        <v/>
      </c>
      <c r="F768">
        <f>IFERROR(SEARCH(search!$B$6,samples!C305,1),0)</f>
        <v>0</v>
      </c>
      <c r="G768" t="str">
        <f>IF(samples!D305=0,"",samples!D305)</f>
        <v/>
      </c>
      <c r="H768">
        <f>IFERROR(SEARCH(search!$B$6,samples!D305,1),0)</f>
        <v>0</v>
      </c>
      <c r="I768" t="str">
        <f>IF(samples!E305=0,"",samples!E305)</f>
        <v/>
      </c>
      <c r="J768">
        <f>IFERROR(SEARCH(search!$B$6,samples!E305,1),0)</f>
        <v>0</v>
      </c>
      <c r="K768" t="str">
        <f>IF(samples!F305=0,"",samples!F305)</f>
        <v/>
      </c>
      <c r="L768">
        <f>IFERROR(SEARCH(search!$B$6,samples!F305,1),0)</f>
        <v>0</v>
      </c>
      <c r="M768" t="str">
        <f>IF(samples!G305=0,"",samples!G305)</f>
        <v/>
      </c>
      <c r="N768">
        <f>IFERROR(SEARCH(search!$B$6,samples!G305,1),0)</f>
        <v>0</v>
      </c>
      <c r="O768" t="str">
        <f>IF(samples!H305=0,"",samples!H305)</f>
        <v/>
      </c>
      <c r="P768">
        <f>IFERROR(SEARCH(search!$B$6,samples!H305,1),0)</f>
        <v>0</v>
      </c>
      <c r="Q768" t="str">
        <f>IF(samples!I305=0,"",samples!I305)</f>
        <v/>
      </c>
      <c r="R768">
        <f>IFERROR(SEARCH(search!$B$6,samples!I305,1),0)</f>
        <v>0</v>
      </c>
      <c r="S768" t="str">
        <f>IF(samples!J305=0,"",samples!J305)</f>
        <v/>
      </c>
      <c r="T768">
        <f>IFERROR(SEARCH(search!$B$6,samples!J305,1),0)</f>
        <v>0</v>
      </c>
      <c r="U768" t="str">
        <f>IF(samples!K305=0,"",samples!K305)</f>
        <v/>
      </c>
      <c r="V768">
        <f>IFERROR(SEARCH(search!$B$6,samples!K305,1),0)</f>
        <v>0</v>
      </c>
      <c r="W768" t="str">
        <f>IF(samples!L305=0,"",samples!L305)</f>
        <v/>
      </c>
      <c r="X768">
        <f>IFERROR(SEARCH(search!$B$6,samples!L305,1),0)</f>
        <v>0</v>
      </c>
      <c r="Y768" t="str">
        <f>IF(samples!M305=0,"",samples!M305)</f>
        <v/>
      </c>
      <c r="Z768">
        <f>IFERROR(SEARCH(search!$B$6,samples!M305,1),0)</f>
        <v>0</v>
      </c>
      <c r="AA768" t="str">
        <f>IF(samples!N305=0,"",samples!N305)</f>
        <v/>
      </c>
      <c r="AB768">
        <f>IFERROR(SEARCH(search!$B$6,samples!N305,1),0)</f>
        <v>0</v>
      </c>
      <c r="AC768" t="str">
        <f>IF(samples!O305=0,"",samples!O305)</f>
        <v/>
      </c>
      <c r="AD768">
        <f>IFERROR(SEARCH(search!$B$6,samples!O305,1),0)</f>
        <v>0</v>
      </c>
    </row>
    <row r="769" spans="1:30">
      <c r="A769">
        <f t="shared" si="11"/>
        <v>0</v>
      </c>
      <c r="B769">
        <f>IF(SUM(D769,F769,H769,J769,L769,N769,P769,R769,T769,V769,X769,Z769,AB769,AD769)&gt;0,SUM($A$2:A769),0)</f>
        <v>0</v>
      </c>
      <c r="C769">
        <f>samples!B306</f>
        <v>0</v>
      </c>
      <c r="D769">
        <f>IFERROR(SEARCH(search!$B$6,samples!B306,1),0)</f>
        <v>0</v>
      </c>
      <c r="E769" t="str">
        <f>IF(samples!C306=0,"",samples!C306)</f>
        <v/>
      </c>
      <c r="F769">
        <f>IFERROR(SEARCH(search!$B$6,samples!C306,1),0)</f>
        <v>0</v>
      </c>
      <c r="G769" t="str">
        <f>IF(samples!D306=0,"",samples!D306)</f>
        <v/>
      </c>
      <c r="H769">
        <f>IFERROR(SEARCH(search!$B$6,samples!D306,1),0)</f>
        <v>0</v>
      </c>
      <c r="I769" t="str">
        <f>IF(samples!E306=0,"",samples!E306)</f>
        <v/>
      </c>
      <c r="J769">
        <f>IFERROR(SEARCH(search!$B$6,samples!E306,1),0)</f>
        <v>0</v>
      </c>
      <c r="K769" t="str">
        <f>IF(samples!F306=0,"",samples!F306)</f>
        <v/>
      </c>
      <c r="L769">
        <f>IFERROR(SEARCH(search!$B$6,samples!F306,1),0)</f>
        <v>0</v>
      </c>
      <c r="M769" t="str">
        <f>IF(samples!G306=0,"",samples!G306)</f>
        <v/>
      </c>
      <c r="N769">
        <f>IFERROR(SEARCH(search!$B$6,samples!G306,1),0)</f>
        <v>0</v>
      </c>
      <c r="O769" t="str">
        <f>IF(samples!H306=0,"",samples!H306)</f>
        <v/>
      </c>
      <c r="P769">
        <f>IFERROR(SEARCH(search!$B$6,samples!H306,1),0)</f>
        <v>0</v>
      </c>
      <c r="Q769" t="str">
        <f>IF(samples!I306=0,"",samples!I306)</f>
        <v/>
      </c>
      <c r="R769">
        <f>IFERROR(SEARCH(search!$B$6,samples!I306,1),0)</f>
        <v>0</v>
      </c>
      <c r="S769" t="str">
        <f>IF(samples!J306=0,"",samples!J306)</f>
        <v/>
      </c>
      <c r="T769">
        <f>IFERROR(SEARCH(search!$B$6,samples!J306,1),0)</f>
        <v>0</v>
      </c>
      <c r="U769" t="str">
        <f>IF(samples!K306=0,"",samples!K306)</f>
        <v/>
      </c>
      <c r="V769">
        <f>IFERROR(SEARCH(search!$B$6,samples!K306,1),0)</f>
        <v>0</v>
      </c>
      <c r="W769" t="str">
        <f>IF(samples!L306=0,"",samples!L306)</f>
        <v/>
      </c>
      <c r="X769">
        <f>IFERROR(SEARCH(search!$B$6,samples!L306,1),0)</f>
        <v>0</v>
      </c>
      <c r="Y769" t="str">
        <f>IF(samples!M306=0,"",samples!M306)</f>
        <v/>
      </c>
      <c r="Z769">
        <f>IFERROR(SEARCH(search!$B$6,samples!M306,1),0)</f>
        <v>0</v>
      </c>
      <c r="AA769" t="str">
        <f>IF(samples!N306=0,"",samples!N306)</f>
        <v/>
      </c>
      <c r="AB769">
        <f>IFERROR(SEARCH(search!$B$6,samples!N306,1),0)</f>
        <v>0</v>
      </c>
      <c r="AC769" t="str">
        <f>IF(samples!O306=0,"",samples!O306)</f>
        <v/>
      </c>
      <c r="AD769">
        <f>IFERROR(SEARCH(search!$B$6,samples!O306,1),0)</f>
        <v>0</v>
      </c>
    </row>
    <row r="770" spans="1:30">
      <c r="A770">
        <f t="shared" si="11"/>
        <v>0</v>
      </c>
      <c r="B770">
        <f>IF(SUM(D770,F770,H770,J770,L770,N770,P770,R770,T770,V770,X770,Z770,AB770,AD770)&gt;0,SUM($A$2:A770),0)</f>
        <v>0</v>
      </c>
      <c r="C770">
        <f>samples!B307</f>
        <v>0</v>
      </c>
      <c r="D770">
        <f>IFERROR(SEARCH(search!$B$6,samples!B307,1),0)</f>
        <v>0</v>
      </c>
      <c r="E770" t="str">
        <f>IF(samples!C307=0,"",samples!C307)</f>
        <v/>
      </c>
      <c r="F770">
        <f>IFERROR(SEARCH(search!$B$6,samples!C307,1),0)</f>
        <v>0</v>
      </c>
      <c r="G770" t="str">
        <f>IF(samples!D307=0,"",samples!D307)</f>
        <v/>
      </c>
      <c r="H770">
        <f>IFERROR(SEARCH(search!$B$6,samples!D307,1),0)</f>
        <v>0</v>
      </c>
      <c r="I770" t="str">
        <f>IF(samples!E307=0,"",samples!E307)</f>
        <v/>
      </c>
      <c r="J770">
        <f>IFERROR(SEARCH(search!$B$6,samples!E307,1),0)</f>
        <v>0</v>
      </c>
      <c r="K770" t="str">
        <f>IF(samples!F307=0,"",samples!F307)</f>
        <v/>
      </c>
      <c r="L770">
        <f>IFERROR(SEARCH(search!$B$6,samples!F307,1),0)</f>
        <v>0</v>
      </c>
      <c r="M770" t="str">
        <f>IF(samples!G307=0,"",samples!G307)</f>
        <v/>
      </c>
      <c r="N770">
        <f>IFERROR(SEARCH(search!$B$6,samples!G307,1),0)</f>
        <v>0</v>
      </c>
      <c r="O770" t="str">
        <f>IF(samples!H307=0,"",samples!H307)</f>
        <v/>
      </c>
      <c r="P770">
        <f>IFERROR(SEARCH(search!$B$6,samples!H307,1),0)</f>
        <v>0</v>
      </c>
      <c r="Q770" t="str">
        <f>IF(samples!I307=0,"",samples!I307)</f>
        <v/>
      </c>
      <c r="R770">
        <f>IFERROR(SEARCH(search!$B$6,samples!I307,1),0)</f>
        <v>0</v>
      </c>
      <c r="S770" t="str">
        <f>IF(samples!J307=0,"",samples!J307)</f>
        <v/>
      </c>
      <c r="T770">
        <f>IFERROR(SEARCH(search!$B$6,samples!J307,1),0)</f>
        <v>0</v>
      </c>
      <c r="U770" t="str">
        <f>IF(samples!K307=0,"",samples!K307)</f>
        <v/>
      </c>
      <c r="V770">
        <f>IFERROR(SEARCH(search!$B$6,samples!K307,1),0)</f>
        <v>0</v>
      </c>
      <c r="W770" t="str">
        <f>IF(samples!L307=0,"",samples!L307)</f>
        <v/>
      </c>
      <c r="X770">
        <f>IFERROR(SEARCH(search!$B$6,samples!L307,1),0)</f>
        <v>0</v>
      </c>
      <c r="Y770" t="str">
        <f>IF(samples!M307=0,"",samples!M307)</f>
        <v/>
      </c>
      <c r="Z770">
        <f>IFERROR(SEARCH(search!$B$6,samples!M307,1),0)</f>
        <v>0</v>
      </c>
      <c r="AA770" t="str">
        <f>IF(samples!N307=0,"",samples!N307)</f>
        <v/>
      </c>
      <c r="AB770">
        <f>IFERROR(SEARCH(search!$B$6,samples!N307,1),0)</f>
        <v>0</v>
      </c>
      <c r="AC770" t="str">
        <f>IF(samples!O307=0,"",samples!O307)</f>
        <v/>
      </c>
      <c r="AD770">
        <f>IFERROR(SEARCH(search!$B$6,samples!O307,1),0)</f>
        <v>0</v>
      </c>
    </row>
    <row r="771" spans="1:30">
      <c r="A771">
        <f t="shared" ref="A771:A834" si="12">IF(SUM(D771,F771,H771,J771,L771,N771,P771,R771,T771,V771,X771,Z771,AB771,AD771)&gt;0,1,0)</f>
        <v>0</v>
      </c>
      <c r="B771">
        <f>IF(SUM(D771,F771,H771,J771,L771,N771,P771,R771,T771,V771,X771,Z771,AB771,AD771)&gt;0,SUM($A$2:A771),0)</f>
        <v>0</v>
      </c>
      <c r="C771">
        <f>samples!B308</f>
        <v>0</v>
      </c>
      <c r="D771">
        <f>IFERROR(SEARCH(search!$B$6,samples!B308,1),0)</f>
        <v>0</v>
      </c>
      <c r="E771" t="str">
        <f>IF(samples!C308=0,"",samples!C308)</f>
        <v/>
      </c>
      <c r="F771">
        <f>IFERROR(SEARCH(search!$B$6,samples!C308,1),0)</f>
        <v>0</v>
      </c>
      <c r="G771" t="str">
        <f>IF(samples!D308=0,"",samples!D308)</f>
        <v/>
      </c>
      <c r="H771">
        <f>IFERROR(SEARCH(search!$B$6,samples!D308,1),0)</f>
        <v>0</v>
      </c>
      <c r="I771" t="str">
        <f>IF(samples!E308=0,"",samples!E308)</f>
        <v/>
      </c>
      <c r="J771">
        <f>IFERROR(SEARCH(search!$B$6,samples!E308,1),0)</f>
        <v>0</v>
      </c>
      <c r="K771" t="str">
        <f>IF(samples!F308=0,"",samples!F308)</f>
        <v/>
      </c>
      <c r="L771">
        <f>IFERROR(SEARCH(search!$B$6,samples!F308,1),0)</f>
        <v>0</v>
      </c>
      <c r="M771" t="str">
        <f>IF(samples!G308=0,"",samples!G308)</f>
        <v/>
      </c>
      <c r="N771">
        <f>IFERROR(SEARCH(search!$B$6,samples!G308,1),0)</f>
        <v>0</v>
      </c>
      <c r="O771" t="str">
        <f>IF(samples!H308=0,"",samples!H308)</f>
        <v/>
      </c>
      <c r="P771">
        <f>IFERROR(SEARCH(search!$B$6,samples!H308,1),0)</f>
        <v>0</v>
      </c>
      <c r="Q771" t="str">
        <f>IF(samples!I308=0,"",samples!I308)</f>
        <v/>
      </c>
      <c r="R771">
        <f>IFERROR(SEARCH(search!$B$6,samples!I308,1),0)</f>
        <v>0</v>
      </c>
      <c r="S771" t="str">
        <f>IF(samples!J308=0,"",samples!J308)</f>
        <v/>
      </c>
      <c r="T771">
        <f>IFERROR(SEARCH(search!$B$6,samples!J308,1),0)</f>
        <v>0</v>
      </c>
      <c r="U771" t="str">
        <f>IF(samples!K308=0,"",samples!K308)</f>
        <v/>
      </c>
      <c r="V771">
        <f>IFERROR(SEARCH(search!$B$6,samples!K308,1),0)</f>
        <v>0</v>
      </c>
      <c r="W771" t="str">
        <f>IF(samples!L308=0,"",samples!L308)</f>
        <v/>
      </c>
      <c r="X771">
        <f>IFERROR(SEARCH(search!$B$6,samples!L308,1),0)</f>
        <v>0</v>
      </c>
      <c r="Y771" t="str">
        <f>IF(samples!M308=0,"",samples!M308)</f>
        <v/>
      </c>
      <c r="Z771">
        <f>IFERROR(SEARCH(search!$B$6,samples!M308,1),0)</f>
        <v>0</v>
      </c>
      <c r="AA771" t="str">
        <f>IF(samples!N308=0,"",samples!N308)</f>
        <v/>
      </c>
      <c r="AB771">
        <f>IFERROR(SEARCH(search!$B$6,samples!N308,1),0)</f>
        <v>0</v>
      </c>
      <c r="AC771" t="str">
        <f>IF(samples!O308=0,"",samples!O308)</f>
        <v/>
      </c>
      <c r="AD771">
        <f>IFERROR(SEARCH(search!$B$6,samples!O308,1),0)</f>
        <v>0</v>
      </c>
    </row>
    <row r="772" spans="1:30">
      <c r="A772">
        <f t="shared" si="12"/>
        <v>0</v>
      </c>
      <c r="B772">
        <f>IF(SUM(D772,F772,H772,J772,L772,N772,P772,R772,T772,V772,X772,Z772,AB772,AD772)&gt;0,SUM($A$2:A772),0)</f>
        <v>0</v>
      </c>
      <c r="C772">
        <f>samples!B309</f>
        <v>0</v>
      </c>
      <c r="D772">
        <f>IFERROR(SEARCH(search!$B$6,samples!B309,1),0)</f>
        <v>0</v>
      </c>
      <c r="E772" t="str">
        <f>IF(samples!C309=0,"",samples!C309)</f>
        <v/>
      </c>
      <c r="F772">
        <f>IFERROR(SEARCH(search!$B$6,samples!C309,1),0)</f>
        <v>0</v>
      </c>
      <c r="G772" t="str">
        <f>IF(samples!D309=0,"",samples!D309)</f>
        <v/>
      </c>
      <c r="H772">
        <f>IFERROR(SEARCH(search!$B$6,samples!D309,1),0)</f>
        <v>0</v>
      </c>
      <c r="I772" t="str">
        <f>IF(samples!E309=0,"",samples!E309)</f>
        <v/>
      </c>
      <c r="J772">
        <f>IFERROR(SEARCH(search!$B$6,samples!E309,1),0)</f>
        <v>0</v>
      </c>
      <c r="K772" t="str">
        <f>IF(samples!F309=0,"",samples!F309)</f>
        <v/>
      </c>
      <c r="L772">
        <f>IFERROR(SEARCH(search!$B$6,samples!F309,1),0)</f>
        <v>0</v>
      </c>
      <c r="M772" t="str">
        <f>IF(samples!G309=0,"",samples!G309)</f>
        <v/>
      </c>
      <c r="N772">
        <f>IFERROR(SEARCH(search!$B$6,samples!G309,1),0)</f>
        <v>0</v>
      </c>
      <c r="O772" t="str">
        <f>IF(samples!H309=0,"",samples!H309)</f>
        <v/>
      </c>
      <c r="P772">
        <f>IFERROR(SEARCH(search!$B$6,samples!H309,1),0)</f>
        <v>0</v>
      </c>
      <c r="Q772" t="str">
        <f>IF(samples!I309=0,"",samples!I309)</f>
        <v/>
      </c>
      <c r="R772">
        <f>IFERROR(SEARCH(search!$B$6,samples!I309,1),0)</f>
        <v>0</v>
      </c>
      <c r="S772" t="str">
        <f>IF(samples!J309=0,"",samples!J309)</f>
        <v/>
      </c>
      <c r="T772">
        <f>IFERROR(SEARCH(search!$B$6,samples!J309,1),0)</f>
        <v>0</v>
      </c>
      <c r="U772" t="str">
        <f>IF(samples!K309=0,"",samples!K309)</f>
        <v/>
      </c>
      <c r="V772">
        <f>IFERROR(SEARCH(search!$B$6,samples!K309,1),0)</f>
        <v>0</v>
      </c>
      <c r="W772" t="str">
        <f>IF(samples!L309=0,"",samples!L309)</f>
        <v/>
      </c>
      <c r="X772">
        <f>IFERROR(SEARCH(search!$B$6,samples!L309,1),0)</f>
        <v>0</v>
      </c>
      <c r="Y772" t="str">
        <f>IF(samples!M309=0,"",samples!M309)</f>
        <v/>
      </c>
      <c r="Z772">
        <f>IFERROR(SEARCH(search!$B$6,samples!M309,1),0)</f>
        <v>0</v>
      </c>
      <c r="AA772" t="str">
        <f>IF(samples!N309=0,"",samples!N309)</f>
        <v/>
      </c>
      <c r="AB772">
        <f>IFERROR(SEARCH(search!$B$6,samples!N309,1),0)</f>
        <v>0</v>
      </c>
      <c r="AC772" t="str">
        <f>IF(samples!O309=0,"",samples!O309)</f>
        <v/>
      </c>
      <c r="AD772">
        <f>IFERROR(SEARCH(search!$B$6,samples!O309,1),0)</f>
        <v>0</v>
      </c>
    </row>
    <row r="773" spans="1:30">
      <c r="A773">
        <f t="shared" si="12"/>
        <v>0</v>
      </c>
      <c r="B773">
        <f>IF(SUM(D773,F773,H773,J773,L773,N773,P773,R773,T773,V773,X773,Z773,AB773,AD773)&gt;0,SUM($A$2:A773),0)</f>
        <v>0</v>
      </c>
      <c r="C773">
        <f>samples!B310</f>
        <v>0</v>
      </c>
      <c r="D773">
        <f>IFERROR(SEARCH(search!$B$6,samples!B310,1),0)</f>
        <v>0</v>
      </c>
      <c r="E773" t="str">
        <f>IF(samples!C310=0,"",samples!C310)</f>
        <v/>
      </c>
      <c r="F773">
        <f>IFERROR(SEARCH(search!$B$6,samples!C310,1),0)</f>
        <v>0</v>
      </c>
      <c r="G773" t="str">
        <f>IF(samples!D310=0,"",samples!D310)</f>
        <v/>
      </c>
      <c r="H773">
        <f>IFERROR(SEARCH(search!$B$6,samples!D310,1),0)</f>
        <v>0</v>
      </c>
      <c r="I773" t="str">
        <f>IF(samples!E310=0,"",samples!E310)</f>
        <v/>
      </c>
      <c r="J773">
        <f>IFERROR(SEARCH(search!$B$6,samples!E310,1),0)</f>
        <v>0</v>
      </c>
      <c r="K773" t="str">
        <f>IF(samples!F310=0,"",samples!F310)</f>
        <v/>
      </c>
      <c r="L773">
        <f>IFERROR(SEARCH(search!$B$6,samples!F310,1),0)</f>
        <v>0</v>
      </c>
      <c r="M773" t="str">
        <f>IF(samples!G310=0,"",samples!G310)</f>
        <v/>
      </c>
      <c r="N773">
        <f>IFERROR(SEARCH(search!$B$6,samples!G310,1),0)</f>
        <v>0</v>
      </c>
      <c r="O773" t="str">
        <f>IF(samples!H310=0,"",samples!H310)</f>
        <v/>
      </c>
      <c r="P773">
        <f>IFERROR(SEARCH(search!$B$6,samples!H310,1),0)</f>
        <v>0</v>
      </c>
      <c r="Q773" t="str">
        <f>IF(samples!I310=0,"",samples!I310)</f>
        <v/>
      </c>
      <c r="R773">
        <f>IFERROR(SEARCH(search!$B$6,samples!I310,1),0)</f>
        <v>0</v>
      </c>
      <c r="S773" t="str">
        <f>IF(samples!J310=0,"",samples!J310)</f>
        <v/>
      </c>
      <c r="T773">
        <f>IFERROR(SEARCH(search!$B$6,samples!J310,1),0)</f>
        <v>0</v>
      </c>
      <c r="U773" t="str">
        <f>IF(samples!K310=0,"",samples!K310)</f>
        <v/>
      </c>
      <c r="V773">
        <f>IFERROR(SEARCH(search!$B$6,samples!K310,1),0)</f>
        <v>0</v>
      </c>
      <c r="W773" t="str">
        <f>IF(samples!L310=0,"",samples!L310)</f>
        <v/>
      </c>
      <c r="X773">
        <f>IFERROR(SEARCH(search!$B$6,samples!L310,1),0)</f>
        <v>0</v>
      </c>
      <c r="Y773" t="str">
        <f>IF(samples!M310=0,"",samples!M310)</f>
        <v/>
      </c>
      <c r="Z773">
        <f>IFERROR(SEARCH(search!$B$6,samples!M310,1),0)</f>
        <v>0</v>
      </c>
      <c r="AA773" t="str">
        <f>IF(samples!N310=0,"",samples!N310)</f>
        <v/>
      </c>
      <c r="AB773">
        <f>IFERROR(SEARCH(search!$B$6,samples!N310,1),0)</f>
        <v>0</v>
      </c>
      <c r="AC773" t="str">
        <f>IF(samples!O310=0,"",samples!O310)</f>
        <v/>
      </c>
      <c r="AD773">
        <f>IFERROR(SEARCH(search!$B$6,samples!O310,1),0)</f>
        <v>0</v>
      </c>
    </row>
    <row r="774" spans="1:30">
      <c r="A774">
        <f t="shared" si="12"/>
        <v>0</v>
      </c>
      <c r="B774">
        <f>IF(SUM(D774,F774,H774,J774,L774,N774,P774,R774,T774,V774,X774,Z774,AB774,AD774)&gt;0,SUM($A$2:A774),0)</f>
        <v>0</v>
      </c>
      <c r="C774">
        <f>samples!B311</f>
        <v>0</v>
      </c>
      <c r="D774">
        <f>IFERROR(SEARCH(search!$B$6,samples!B311,1),0)</f>
        <v>0</v>
      </c>
      <c r="E774" t="str">
        <f>IF(samples!C311=0,"",samples!C311)</f>
        <v/>
      </c>
      <c r="F774">
        <f>IFERROR(SEARCH(search!$B$6,samples!C311,1),0)</f>
        <v>0</v>
      </c>
      <c r="G774" t="str">
        <f>IF(samples!D311=0,"",samples!D311)</f>
        <v/>
      </c>
      <c r="H774">
        <f>IFERROR(SEARCH(search!$B$6,samples!D311,1),0)</f>
        <v>0</v>
      </c>
      <c r="I774" t="str">
        <f>IF(samples!E311=0,"",samples!E311)</f>
        <v/>
      </c>
      <c r="J774">
        <f>IFERROR(SEARCH(search!$B$6,samples!E311,1),0)</f>
        <v>0</v>
      </c>
      <c r="K774" t="str">
        <f>IF(samples!F311=0,"",samples!F311)</f>
        <v/>
      </c>
      <c r="L774">
        <f>IFERROR(SEARCH(search!$B$6,samples!F311,1),0)</f>
        <v>0</v>
      </c>
      <c r="M774" t="str">
        <f>IF(samples!G311=0,"",samples!G311)</f>
        <v/>
      </c>
      <c r="N774">
        <f>IFERROR(SEARCH(search!$B$6,samples!G311,1),0)</f>
        <v>0</v>
      </c>
      <c r="O774" t="str">
        <f>IF(samples!H311=0,"",samples!H311)</f>
        <v/>
      </c>
      <c r="P774">
        <f>IFERROR(SEARCH(search!$B$6,samples!H311,1),0)</f>
        <v>0</v>
      </c>
      <c r="Q774" t="str">
        <f>IF(samples!I311=0,"",samples!I311)</f>
        <v/>
      </c>
      <c r="R774">
        <f>IFERROR(SEARCH(search!$B$6,samples!I311,1),0)</f>
        <v>0</v>
      </c>
      <c r="S774" t="str">
        <f>IF(samples!J311=0,"",samples!J311)</f>
        <v/>
      </c>
      <c r="T774">
        <f>IFERROR(SEARCH(search!$B$6,samples!J311,1),0)</f>
        <v>0</v>
      </c>
      <c r="U774" t="str">
        <f>IF(samples!K311=0,"",samples!K311)</f>
        <v/>
      </c>
      <c r="V774">
        <f>IFERROR(SEARCH(search!$B$6,samples!K311,1),0)</f>
        <v>0</v>
      </c>
      <c r="W774" t="str">
        <f>IF(samples!L311=0,"",samples!L311)</f>
        <v/>
      </c>
      <c r="X774">
        <f>IFERROR(SEARCH(search!$B$6,samples!L311,1),0)</f>
        <v>0</v>
      </c>
      <c r="Y774" t="str">
        <f>IF(samples!M311=0,"",samples!M311)</f>
        <v/>
      </c>
      <c r="Z774">
        <f>IFERROR(SEARCH(search!$B$6,samples!M311,1),0)</f>
        <v>0</v>
      </c>
      <c r="AA774" t="str">
        <f>IF(samples!N311=0,"",samples!N311)</f>
        <v/>
      </c>
      <c r="AB774">
        <f>IFERROR(SEARCH(search!$B$6,samples!N311,1),0)</f>
        <v>0</v>
      </c>
      <c r="AC774" t="str">
        <f>IF(samples!O311=0,"",samples!O311)</f>
        <v/>
      </c>
      <c r="AD774">
        <f>IFERROR(SEARCH(search!$B$6,samples!O311,1),0)</f>
        <v>0</v>
      </c>
    </row>
    <row r="775" spans="1:30">
      <c r="A775">
        <f t="shared" si="12"/>
        <v>0</v>
      </c>
      <c r="B775">
        <f>IF(SUM(D775,F775,H775,J775,L775,N775,P775,R775,T775,V775,X775,Z775,AB775,AD775)&gt;0,SUM($A$2:A775),0)</f>
        <v>0</v>
      </c>
      <c r="C775">
        <f>samples!B312</f>
        <v>0</v>
      </c>
      <c r="D775">
        <f>IFERROR(SEARCH(search!$B$6,samples!B312,1),0)</f>
        <v>0</v>
      </c>
      <c r="E775" t="str">
        <f>IF(samples!C312=0,"",samples!C312)</f>
        <v/>
      </c>
      <c r="F775">
        <f>IFERROR(SEARCH(search!$B$6,samples!C312,1),0)</f>
        <v>0</v>
      </c>
      <c r="G775" t="str">
        <f>IF(samples!D312=0,"",samples!D312)</f>
        <v/>
      </c>
      <c r="H775">
        <f>IFERROR(SEARCH(search!$B$6,samples!D312,1),0)</f>
        <v>0</v>
      </c>
      <c r="I775" t="str">
        <f>IF(samples!E312=0,"",samples!E312)</f>
        <v/>
      </c>
      <c r="J775">
        <f>IFERROR(SEARCH(search!$B$6,samples!E312,1),0)</f>
        <v>0</v>
      </c>
      <c r="K775" t="str">
        <f>IF(samples!F312=0,"",samples!F312)</f>
        <v/>
      </c>
      <c r="L775">
        <f>IFERROR(SEARCH(search!$B$6,samples!F312,1),0)</f>
        <v>0</v>
      </c>
      <c r="M775" t="str">
        <f>IF(samples!G312=0,"",samples!G312)</f>
        <v/>
      </c>
      <c r="N775">
        <f>IFERROR(SEARCH(search!$B$6,samples!G312,1),0)</f>
        <v>0</v>
      </c>
      <c r="O775" t="str">
        <f>IF(samples!H312=0,"",samples!H312)</f>
        <v/>
      </c>
      <c r="P775">
        <f>IFERROR(SEARCH(search!$B$6,samples!H312,1),0)</f>
        <v>0</v>
      </c>
      <c r="Q775" t="str">
        <f>IF(samples!I312=0,"",samples!I312)</f>
        <v/>
      </c>
      <c r="R775">
        <f>IFERROR(SEARCH(search!$B$6,samples!I312,1),0)</f>
        <v>0</v>
      </c>
      <c r="S775" t="str">
        <f>IF(samples!J312=0,"",samples!J312)</f>
        <v/>
      </c>
      <c r="T775">
        <f>IFERROR(SEARCH(search!$B$6,samples!J312,1),0)</f>
        <v>0</v>
      </c>
      <c r="U775" t="str">
        <f>IF(samples!K312=0,"",samples!K312)</f>
        <v/>
      </c>
      <c r="V775">
        <f>IFERROR(SEARCH(search!$B$6,samples!K312,1),0)</f>
        <v>0</v>
      </c>
      <c r="W775" t="str">
        <f>IF(samples!L312=0,"",samples!L312)</f>
        <v/>
      </c>
      <c r="X775">
        <f>IFERROR(SEARCH(search!$B$6,samples!L312,1),0)</f>
        <v>0</v>
      </c>
      <c r="Y775" t="str">
        <f>IF(samples!M312=0,"",samples!M312)</f>
        <v/>
      </c>
      <c r="Z775">
        <f>IFERROR(SEARCH(search!$B$6,samples!M312,1),0)</f>
        <v>0</v>
      </c>
      <c r="AA775" t="str">
        <f>IF(samples!N312=0,"",samples!N312)</f>
        <v/>
      </c>
      <c r="AB775">
        <f>IFERROR(SEARCH(search!$B$6,samples!N312,1),0)</f>
        <v>0</v>
      </c>
      <c r="AC775" t="str">
        <f>IF(samples!O312=0,"",samples!O312)</f>
        <v/>
      </c>
      <c r="AD775">
        <f>IFERROR(SEARCH(search!$B$6,samples!O312,1),0)</f>
        <v>0</v>
      </c>
    </row>
    <row r="776" spans="1:30">
      <c r="A776">
        <f t="shared" si="12"/>
        <v>0</v>
      </c>
      <c r="B776">
        <f>IF(SUM(D776,F776,H776,J776,L776,N776,P776,R776,T776,V776,X776,Z776,AB776,AD776)&gt;0,SUM($A$2:A776),0)</f>
        <v>0</v>
      </c>
      <c r="C776">
        <f>samples!B313</f>
        <v>0</v>
      </c>
      <c r="D776">
        <f>IFERROR(SEARCH(search!$B$6,samples!B313,1),0)</f>
        <v>0</v>
      </c>
      <c r="E776" t="str">
        <f>IF(samples!C313=0,"",samples!C313)</f>
        <v/>
      </c>
      <c r="F776">
        <f>IFERROR(SEARCH(search!$B$6,samples!C313,1),0)</f>
        <v>0</v>
      </c>
      <c r="G776" t="str">
        <f>IF(samples!D313=0,"",samples!D313)</f>
        <v/>
      </c>
      <c r="H776">
        <f>IFERROR(SEARCH(search!$B$6,samples!D313,1),0)</f>
        <v>0</v>
      </c>
      <c r="I776" t="str">
        <f>IF(samples!E313=0,"",samples!E313)</f>
        <v/>
      </c>
      <c r="J776">
        <f>IFERROR(SEARCH(search!$B$6,samples!E313,1),0)</f>
        <v>0</v>
      </c>
      <c r="K776" t="str">
        <f>IF(samples!F313=0,"",samples!F313)</f>
        <v/>
      </c>
      <c r="L776">
        <f>IFERROR(SEARCH(search!$B$6,samples!F313,1),0)</f>
        <v>0</v>
      </c>
      <c r="M776" t="str">
        <f>IF(samples!G313=0,"",samples!G313)</f>
        <v/>
      </c>
      <c r="N776">
        <f>IFERROR(SEARCH(search!$B$6,samples!G313,1),0)</f>
        <v>0</v>
      </c>
      <c r="O776" t="str">
        <f>IF(samples!H313=0,"",samples!H313)</f>
        <v/>
      </c>
      <c r="P776">
        <f>IFERROR(SEARCH(search!$B$6,samples!H313,1),0)</f>
        <v>0</v>
      </c>
      <c r="Q776" t="str">
        <f>IF(samples!I313=0,"",samples!I313)</f>
        <v/>
      </c>
      <c r="R776">
        <f>IFERROR(SEARCH(search!$B$6,samples!I313,1),0)</f>
        <v>0</v>
      </c>
      <c r="S776" t="str">
        <f>IF(samples!J313=0,"",samples!J313)</f>
        <v/>
      </c>
      <c r="T776">
        <f>IFERROR(SEARCH(search!$B$6,samples!J313,1),0)</f>
        <v>0</v>
      </c>
      <c r="U776" t="str">
        <f>IF(samples!K313=0,"",samples!K313)</f>
        <v/>
      </c>
      <c r="V776">
        <f>IFERROR(SEARCH(search!$B$6,samples!K313,1),0)</f>
        <v>0</v>
      </c>
      <c r="W776" t="str">
        <f>IF(samples!L313=0,"",samples!L313)</f>
        <v/>
      </c>
      <c r="X776">
        <f>IFERROR(SEARCH(search!$B$6,samples!L313,1),0)</f>
        <v>0</v>
      </c>
      <c r="Y776" t="str">
        <f>IF(samples!M313=0,"",samples!M313)</f>
        <v/>
      </c>
      <c r="Z776">
        <f>IFERROR(SEARCH(search!$B$6,samples!M313,1),0)</f>
        <v>0</v>
      </c>
      <c r="AA776" t="str">
        <f>IF(samples!N313=0,"",samples!N313)</f>
        <v/>
      </c>
      <c r="AB776">
        <f>IFERROR(SEARCH(search!$B$6,samples!N313,1),0)</f>
        <v>0</v>
      </c>
      <c r="AC776" t="str">
        <f>IF(samples!O313=0,"",samples!O313)</f>
        <v/>
      </c>
      <c r="AD776">
        <f>IFERROR(SEARCH(search!$B$6,samples!O313,1),0)</f>
        <v>0</v>
      </c>
    </row>
    <row r="777" spans="1:30">
      <c r="A777">
        <f t="shared" si="12"/>
        <v>0</v>
      </c>
      <c r="B777">
        <f>IF(SUM(D777,F777,H777,J777,L777,N777,P777,R777,T777,V777,X777,Z777,AB777,AD777)&gt;0,SUM($A$2:A777),0)</f>
        <v>0</v>
      </c>
      <c r="C777">
        <f>samples!B314</f>
        <v>0</v>
      </c>
      <c r="D777">
        <f>IFERROR(SEARCH(search!$B$6,samples!B314,1),0)</f>
        <v>0</v>
      </c>
      <c r="E777" t="str">
        <f>IF(samples!C314=0,"",samples!C314)</f>
        <v/>
      </c>
      <c r="F777">
        <f>IFERROR(SEARCH(search!$B$6,samples!C314,1),0)</f>
        <v>0</v>
      </c>
      <c r="G777" t="str">
        <f>IF(samples!D314=0,"",samples!D314)</f>
        <v/>
      </c>
      <c r="H777">
        <f>IFERROR(SEARCH(search!$B$6,samples!D314,1),0)</f>
        <v>0</v>
      </c>
      <c r="I777" t="str">
        <f>IF(samples!E314=0,"",samples!E314)</f>
        <v/>
      </c>
      <c r="J777">
        <f>IFERROR(SEARCH(search!$B$6,samples!E314,1),0)</f>
        <v>0</v>
      </c>
      <c r="K777" t="str">
        <f>IF(samples!F314=0,"",samples!F314)</f>
        <v/>
      </c>
      <c r="L777">
        <f>IFERROR(SEARCH(search!$B$6,samples!F314,1),0)</f>
        <v>0</v>
      </c>
      <c r="M777" t="str">
        <f>IF(samples!G314=0,"",samples!G314)</f>
        <v/>
      </c>
      <c r="N777">
        <f>IFERROR(SEARCH(search!$B$6,samples!G314,1),0)</f>
        <v>0</v>
      </c>
      <c r="O777" t="str">
        <f>IF(samples!H314=0,"",samples!H314)</f>
        <v/>
      </c>
      <c r="P777">
        <f>IFERROR(SEARCH(search!$B$6,samples!H314,1),0)</f>
        <v>0</v>
      </c>
      <c r="Q777" t="str">
        <f>IF(samples!I314=0,"",samples!I314)</f>
        <v/>
      </c>
      <c r="R777">
        <f>IFERROR(SEARCH(search!$B$6,samples!I314,1),0)</f>
        <v>0</v>
      </c>
      <c r="S777" t="str">
        <f>IF(samples!J314=0,"",samples!J314)</f>
        <v/>
      </c>
      <c r="T777">
        <f>IFERROR(SEARCH(search!$B$6,samples!J314,1),0)</f>
        <v>0</v>
      </c>
      <c r="U777" t="str">
        <f>IF(samples!K314=0,"",samples!K314)</f>
        <v/>
      </c>
      <c r="V777">
        <f>IFERROR(SEARCH(search!$B$6,samples!K314,1),0)</f>
        <v>0</v>
      </c>
      <c r="W777" t="str">
        <f>IF(samples!L314=0,"",samples!L314)</f>
        <v/>
      </c>
      <c r="X777">
        <f>IFERROR(SEARCH(search!$B$6,samples!L314,1),0)</f>
        <v>0</v>
      </c>
      <c r="Y777" t="str">
        <f>IF(samples!M314=0,"",samples!M314)</f>
        <v/>
      </c>
      <c r="Z777">
        <f>IFERROR(SEARCH(search!$B$6,samples!M314,1),0)</f>
        <v>0</v>
      </c>
      <c r="AA777" t="str">
        <f>IF(samples!N314=0,"",samples!N314)</f>
        <v/>
      </c>
      <c r="AB777">
        <f>IFERROR(SEARCH(search!$B$6,samples!N314,1),0)</f>
        <v>0</v>
      </c>
      <c r="AC777" t="str">
        <f>IF(samples!O314=0,"",samples!O314)</f>
        <v/>
      </c>
      <c r="AD777">
        <f>IFERROR(SEARCH(search!$B$6,samples!O314,1),0)</f>
        <v>0</v>
      </c>
    </row>
    <row r="778" spans="1:30">
      <c r="A778">
        <f t="shared" si="12"/>
        <v>0</v>
      </c>
      <c r="B778">
        <f>IF(SUM(D778,F778,H778,J778,L778,N778,P778,R778,T778,V778,X778,Z778,AB778,AD778)&gt;0,SUM($A$2:A778),0)</f>
        <v>0</v>
      </c>
      <c r="C778">
        <f>samples!B315</f>
        <v>0</v>
      </c>
      <c r="D778">
        <f>IFERROR(SEARCH(search!$B$6,samples!B315,1),0)</f>
        <v>0</v>
      </c>
      <c r="E778" t="str">
        <f>IF(samples!C315=0,"",samples!C315)</f>
        <v/>
      </c>
      <c r="F778">
        <f>IFERROR(SEARCH(search!$B$6,samples!C315,1),0)</f>
        <v>0</v>
      </c>
      <c r="G778" t="str">
        <f>IF(samples!D315=0,"",samples!D315)</f>
        <v/>
      </c>
      <c r="H778">
        <f>IFERROR(SEARCH(search!$B$6,samples!D315,1),0)</f>
        <v>0</v>
      </c>
      <c r="I778" t="str">
        <f>IF(samples!E315=0,"",samples!E315)</f>
        <v/>
      </c>
      <c r="J778">
        <f>IFERROR(SEARCH(search!$B$6,samples!E315,1),0)</f>
        <v>0</v>
      </c>
      <c r="K778" t="str">
        <f>IF(samples!F315=0,"",samples!F315)</f>
        <v/>
      </c>
      <c r="L778">
        <f>IFERROR(SEARCH(search!$B$6,samples!F315,1),0)</f>
        <v>0</v>
      </c>
      <c r="M778" t="str">
        <f>IF(samples!G315=0,"",samples!G315)</f>
        <v/>
      </c>
      <c r="N778">
        <f>IFERROR(SEARCH(search!$B$6,samples!G315,1),0)</f>
        <v>0</v>
      </c>
      <c r="O778" t="str">
        <f>IF(samples!H315=0,"",samples!H315)</f>
        <v/>
      </c>
      <c r="P778">
        <f>IFERROR(SEARCH(search!$B$6,samples!H315,1),0)</f>
        <v>0</v>
      </c>
      <c r="Q778" t="str">
        <f>IF(samples!I315=0,"",samples!I315)</f>
        <v/>
      </c>
      <c r="R778">
        <f>IFERROR(SEARCH(search!$B$6,samples!I315,1),0)</f>
        <v>0</v>
      </c>
      <c r="S778" t="str">
        <f>IF(samples!J315=0,"",samples!J315)</f>
        <v/>
      </c>
      <c r="T778">
        <f>IFERROR(SEARCH(search!$B$6,samples!J315,1),0)</f>
        <v>0</v>
      </c>
      <c r="U778" t="str">
        <f>IF(samples!K315=0,"",samples!K315)</f>
        <v/>
      </c>
      <c r="V778">
        <f>IFERROR(SEARCH(search!$B$6,samples!K315,1),0)</f>
        <v>0</v>
      </c>
      <c r="W778" t="str">
        <f>IF(samples!L315=0,"",samples!L315)</f>
        <v/>
      </c>
      <c r="X778">
        <f>IFERROR(SEARCH(search!$B$6,samples!L315,1),0)</f>
        <v>0</v>
      </c>
      <c r="Y778" t="str">
        <f>IF(samples!M315=0,"",samples!M315)</f>
        <v/>
      </c>
      <c r="Z778">
        <f>IFERROR(SEARCH(search!$B$6,samples!M315,1),0)</f>
        <v>0</v>
      </c>
      <c r="AA778" t="str">
        <f>IF(samples!N315=0,"",samples!N315)</f>
        <v/>
      </c>
      <c r="AB778">
        <f>IFERROR(SEARCH(search!$B$6,samples!N315,1),0)</f>
        <v>0</v>
      </c>
      <c r="AC778" t="str">
        <f>IF(samples!O315=0,"",samples!O315)</f>
        <v/>
      </c>
      <c r="AD778">
        <f>IFERROR(SEARCH(search!$B$6,samples!O315,1),0)</f>
        <v>0</v>
      </c>
    </row>
    <row r="779" spans="1:30">
      <c r="A779">
        <f t="shared" si="12"/>
        <v>0</v>
      </c>
      <c r="B779">
        <f>IF(SUM(D779,F779,H779,J779,L779,N779,P779,R779,T779,V779,X779,Z779,AB779,AD779)&gt;0,SUM($A$2:A779),0)</f>
        <v>0</v>
      </c>
      <c r="C779">
        <f>samples!B316</f>
        <v>0</v>
      </c>
      <c r="D779">
        <f>IFERROR(SEARCH(search!$B$6,samples!B316,1),0)</f>
        <v>0</v>
      </c>
      <c r="E779" t="str">
        <f>IF(samples!C316=0,"",samples!C316)</f>
        <v/>
      </c>
      <c r="F779">
        <f>IFERROR(SEARCH(search!$B$6,samples!C316,1),0)</f>
        <v>0</v>
      </c>
      <c r="G779" t="str">
        <f>IF(samples!D316=0,"",samples!D316)</f>
        <v/>
      </c>
      <c r="H779">
        <f>IFERROR(SEARCH(search!$B$6,samples!D316,1),0)</f>
        <v>0</v>
      </c>
      <c r="I779" t="str">
        <f>IF(samples!E316=0,"",samples!E316)</f>
        <v/>
      </c>
      <c r="J779">
        <f>IFERROR(SEARCH(search!$B$6,samples!E316,1),0)</f>
        <v>0</v>
      </c>
      <c r="K779" t="str">
        <f>IF(samples!F316=0,"",samples!F316)</f>
        <v/>
      </c>
      <c r="L779">
        <f>IFERROR(SEARCH(search!$B$6,samples!F316,1),0)</f>
        <v>0</v>
      </c>
      <c r="M779" t="str">
        <f>IF(samples!G316=0,"",samples!G316)</f>
        <v/>
      </c>
      <c r="N779">
        <f>IFERROR(SEARCH(search!$B$6,samples!G316,1),0)</f>
        <v>0</v>
      </c>
      <c r="O779" t="str">
        <f>IF(samples!H316=0,"",samples!H316)</f>
        <v/>
      </c>
      <c r="P779">
        <f>IFERROR(SEARCH(search!$B$6,samples!H316,1),0)</f>
        <v>0</v>
      </c>
      <c r="Q779" t="str">
        <f>IF(samples!I316=0,"",samples!I316)</f>
        <v/>
      </c>
      <c r="R779">
        <f>IFERROR(SEARCH(search!$B$6,samples!I316,1),0)</f>
        <v>0</v>
      </c>
      <c r="S779" t="str">
        <f>IF(samples!J316=0,"",samples!J316)</f>
        <v/>
      </c>
      <c r="T779">
        <f>IFERROR(SEARCH(search!$B$6,samples!J316,1),0)</f>
        <v>0</v>
      </c>
      <c r="U779" t="str">
        <f>IF(samples!K316=0,"",samples!K316)</f>
        <v/>
      </c>
      <c r="V779">
        <f>IFERROR(SEARCH(search!$B$6,samples!K316,1),0)</f>
        <v>0</v>
      </c>
      <c r="W779" t="str">
        <f>IF(samples!L316=0,"",samples!L316)</f>
        <v/>
      </c>
      <c r="X779">
        <f>IFERROR(SEARCH(search!$B$6,samples!L316,1),0)</f>
        <v>0</v>
      </c>
      <c r="Y779" t="str">
        <f>IF(samples!M316=0,"",samples!M316)</f>
        <v/>
      </c>
      <c r="Z779">
        <f>IFERROR(SEARCH(search!$B$6,samples!M316,1),0)</f>
        <v>0</v>
      </c>
      <c r="AA779" t="str">
        <f>IF(samples!N316=0,"",samples!N316)</f>
        <v/>
      </c>
      <c r="AB779">
        <f>IFERROR(SEARCH(search!$B$6,samples!N316,1),0)</f>
        <v>0</v>
      </c>
      <c r="AC779" t="str">
        <f>IF(samples!O316=0,"",samples!O316)</f>
        <v/>
      </c>
      <c r="AD779">
        <f>IFERROR(SEARCH(search!$B$6,samples!O316,1),0)</f>
        <v>0</v>
      </c>
    </row>
    <row r="780" spans="1:30">
      <c r="A780">
        <f t="shared" si="12"/>
        <v>0</v>
      </c>
      <c r="B780">
        <f>IF(SUM(D780,F780,H780,J780,L780,N780,P780,R780,T780,V780,X780,Z780,AB780,AD780)&gt;0,SUM($A$2:A780),0)</f>
        <v>0</v>
      </c>
      <c r="C780">
        <f>samples!B317</f>
        <v>0</v>
      </c>
      <c r="D780">
        <f>IFERROR(SEARCH(search!$B$6,samples!B317,1),0)</f>
        <v>0</v>
      </c>
      <c r="E780" t="str">
        <f>IF(samples!C317=0,"",samples!C317)</f>
        <v/>
      </c>
      <c r="F780">
        <f>IFERROR(SEARCH(search!$B$6,samples!C317,1),0)</f>
        <v>0</v>
      </c>
      <c r="G780" t="str">
        <f>IF(samples!D317=0,"",samples!D317)</f>
        <v/>
      </c>
      <c r="H780">
        <f>IFERROR(SEARCH(search!$B$6,samples!D317,1),0)</f>
        <v>0</v>
      </c>
      <c r="I780" t="str">
        <f>IF(samples!E317=0,"",samples!E317)</f>
        <v/>
      </c>
      <c r="J780">
        <f>IFERROR(SEARCH(search!$B$6,samples!E317,1),0)</f>
        <v>0</v>
      </c>
      <c r="K780" t="str">
        <f>IF(samples!F317=0,"",samples!F317)</f>
        <v/>
      </c>
      <c r="L780">
        <f>IFERROR(SEARCH(search!$B$6,samples!F317,1),0)</f>
        <v>0</v>
      </c>
      <c r="M780" t="str">
        <f>IF(samples!G317=0,"",samples!G317)</f>
        <v/>
      </c>
      <c r="N780">
        <f>IFERROR(SEARCH(search!$B$6,samples!G317,1),0)</f>
        <v>0</v>
      </c>
      <c r="O780" t="str">
        <f>IF(samples!H317=0,"",samples!H317)</f>
        <v/>
      </c>
      <c r="P780">
        <f>IFERROR(SEARCH(search!$B$6,samples!H317,1),0)</f>
        <v>0</v>
      </c>
      <c r="Q780" t="str">
        <f>IF(samples!I317=0,"",samples!I317)</f>
        <v/>
      </c>
      <c r="R780">
        <f>IFERROR(SEARCH(search!$B$6,samples!I317,1),0)</f>
        <v>0</v>
      </c>
      <c r="S780" t="str">
        <f>IF(samples!J317=0,"",samples!J317)</f>
        <v/>
      </c>
      <c r="T780">
        <f>IFERROR(SEARCH(search!$B$6,samples!J317,1),0)</f>
        <v>0</v>
      </c>
      <c r="U780" t="str">
        <f>IF(samples!K317=0,"",samples!K317)</f>
        <v/>
      </c>
      <c r="V780">
        <f>IFERROR(SEARCH(search!$B$6,samples!K317,1),0)</f>
        <v>0</v>
      </c>
      <c r="W780" t="str">
        <f>IF(samples!L317=0,"",samples!L317)</f>
        <v/>
      </c>
      <c r="X780">
        <f>IFERROR(SEARCH(search!$B$6,samples!L317,1),0)</f>
        <v>0</v>
      </c>
      <c r="Y780" t="str">
        <f>IF(samples!M317=0,"",samples!M317)</f>
        <v/>
      </c>
      <c r="Z780">
        <f>IFERROR(SEARCH(search!$B$6,samples!M317,1),0)</f>
        <v>0</v>
      </c>
      <c r="AA780" t="str">
        <f>IF(samples!N317=0,"",samples!N317)</f>
        <v/>
      </c>
      <c r="AB780">
        <f>IFERROR(SEARCH(search!$B$6,samples!N317,1),0)</f>
        <v>0</v>
      </c>
      <c r="AC780" t="str">
        <f>IF(samples!O317=0,"",samples!O317)</f>
        <v/>
      </c>
      <c r="AD780">
        <f>IFERROR(SEARCH(search!$B$6,samples!O317,1),0)</f>
        <v>0</v>
      </c>
    </row>
    <row r="781" spans="1:30">
      <c r="A781">
        <f t="shared" si="12"/>
        <v>0</v>
      </c>
      <c r="B781">
        <f>IF(SUM(D781,F781,H781,J781,L781,N781,P781,R781,T781,V781,X781,Z781,AB781,AD781)&gt;0,SUM($A$2:A781),0)</f>
        <v>0</v>
      </c>
      <c r="C781">
        <f>samples!B318</f>
        <v>0</v>
      </c>
      <c r="D781">
        <f>IFERROR(SEARCH(search!$B$6,samples!B318,1),0)</f>
        <v>0</v>
      </c>
      <c r="E781" t="str">
        <f>IF(samples!C318=0,"",samples!C318)</f>
        <v/>
      </c>
      <c r="F781">
        <f>IFERROR(SEARCH(search!$B$6,samples!C318,1),0)</f>
        <v>0</v>
      </c>
      <c r="G781" t="str">
        <f>IF(samples!D318=0,"",samples!D318)</f>
        <v/>
      </c>
      <c r="H781">
        <f>IFERROR(SEARCH(search!$B$6,samples!D318,1),0)</f>
        <v>0</v>
      </c>
      <c r="I781" t="str">
        <f>IF(samples!E318=0,"",samples!E318)</f>
        <v/>
      </c>
      <c r="J781">
        <f>IFERROR(SEARCH(search!$B$6,samples!E318,1),0)</f>
        <v>0</v>
      </c>
      <c r="K781" t="str">
        <f>IF(samples!F318=0,"",samples!F318)</f>
        <v/>
      </c>
      <c r="L781">
        <f>IFERROR(SEARCH(search!$B$6,samples!F318,1),0)</f>
        <v>0</v>
      </c>
      <c r="M781" t="str">
        <f>IF(samples!G318=0,"",samples!G318)</f>
        <v/>
      </c>
      <c r="N781">
        <f>IFERROR(SEARCH(search!$B$6,samples!G318,1),0)</f>
        <v>0</v>
      </c>
      <c r="O781" t="str">
        <f>IF(samples!H318=0,"",samples!H318)</f>
        <v/>
      </c>
      <c r="P781">
        <f>IFERROR(SEARCH(search!$B$6,samples!H318,1),0)</f>
        <v>0</v>
      </c>
      <c r="Q781" t="str">
        <f>IF(samples!I318=0,"",samples!I318)</f>
        <v/>
      </c>
      <c r="R781">
        <f>IFERROR(SEARCH(search!$B$6,samples!I318,1),0)</f>
        <v>0</v>
      </c>
      <c r="S781" t="str">
        <f>IF(samples!J318=0,"",samples!J318)</f>
        <v/>
      </c>
      <c r="T781">
        <f>IFERROR(SEARCH(search!$B$6,samples!J318,1),0)</f>
        <v>0</v>
      </c>
      <c r="U781" t="str">
        <f>IF(samples!K318=0,"",samples!K318)</f>
        <v/>
      </c>
      <c r="V781">
        <f>IFERROR(SEARCH(search!$B$6,samples!K318,1),0)</f>
        <v>0</v>
      </c>
      <c r="W781" t="str">
        <f>IF(samples!L318=0,"",samples!L318)</f>
        <v/>
      </c>
      <c r="X781">
        <f>IFERROR(SEARCH(search!$B$6,samples!L318,1),0)</f>
        <v>0</v>
      </c>
      <c r="Y781" t="str">
        <f>IF(samples!M318=0,"",samples!M318)</f>
        <v/>
      </c>
      <c r="Z781">
        <f>IFERROR(SEARCH(search!$B$6,samples!M318,1),0)</f>
        <v>0</v>
      </c>
      <c r="AA781" t="str">
        <f>IF(samples!N318=0,"",samples!N318)</f>
        <v/>
      </c>
      <c r="AB781">
        <f>IFERROR(SEARCH(search!$B$6,samples!N318,1),0)</f>
        <v>0</v>
      </c>
      <c r="AC781" t="str">
        <f>IF(samples!O318=0,"",samples!O318)</f>
        <v/>
      </c>
      <c r="AD781">
        <f>IFERROR(SEARCH(search!$B$6,samples!O318,1),0)</f>
        <v>0</v>
      </c>
    </row>
    <row r="782" spans="1:30">
      <c r="A782">
        <f t="shared" si="12"/>
        <v>0</v>
      </c>
      <c r="B782">
        <f>IF(SUM(D782,F782,H782,J782,L782,N782,P782,R782,T782,V782,X782,Z782,AB782,AD782)&gt;0,SUM($A$2:A782),0)</f>
        <v>0</v>
      </c>
      <c r="C782">
        <f>samples!B319</f>
        <v>0</v>
      </c>
      <c r="D782">
        <f>IFERROR(SEARCH(search!$B$6,samples!B319,1),0)</f>
        <v>0</v>
      </c>
      <c r="E782" t="str">
        <f>IF(samples!C319=0,"",samples!C319)</f>
        <v/>
      </c>
      <c r="F782">
        <f>IFERROR(SEARCH(search!$B$6,samples!C319,1),0)</f>
        <v>0</v>
      </c>
      <c r="G782" t="str">
        <f>IF(samples!D319=0,"",samples!D319)</f>
        <v/>
      </c>
      <c r="H782">
        <f>IFERROR(SEARCH(search!$B$6,samples!D319,1),0)</f>
        <v>0</v>
      </c>
      <c r="I782" t="str">
        <f>IF(samples!E319=0,"",samples!E319)</f>
        <v/>
      </c>
      <c r="J782">
        <f>IFERROR(SEARCH(search!$B$6,samples!E319,1),0)</f>
        <v>0</v>
      </c>
      <c r="K782" t="str">
        <f>IF(samples!F319=0,"",samples!F319)</f>
        <v/>
      </c>
      <c r="L782">
        <f>IFERROR(SEARCH(search!$B$6,samples!F319,1),0)</f>
        <v>0</v>
      </c>
      <c r="M782" t="str">
        <f>IF(samples!G319=0,"",samples!G319)</f>
        <v/>
      </c>
      <c r="N782">
        <f>IFERROR(SEARCH(search!$B$6,samples!G319,1),0)</f>
        <v>0</v>
      </c>
      <c r="O782" t="str">
        <f>IF(samples!H319=0,"",samples!H319)</f>
        <v/>
      </c>
      <c r="P782">
        <f>IFERROR(SEARCH(search!$B$6,samples!H319,1),0)</f>
        <v>0</v>
      </c>
      <c r="Q782" t="str">
        <f>IF(samples!I319=0,"",samples!I319)</f>
        <v/>
      </c>
      <c r="R782">
        <f>IFERROR(SEARCH(search!$B$6,samples!I319,1),0)</f>
        <v>0</v>
      </c>
      <c r="S782" t="str">
        <f>IF(samples!J319=0,"",samples!J319)</f>
        <v/>
      </c>
      <c r="T782">
        <f>IFERROR(SEARCH(search!$B$6,samples!J319,1),0)</f>
        <v>0</v>
      </c>
      <c r="U782" t="str">
        <f>IF(samples!K319=0,"",samples!K319)</f>
        <v/>
      </c>
      <c r="V782">
        <f>IFERROR(SEARCH(search!$B$6,samples!K319,1),0)</f>
        <v>0</v>
      </c>
      <c r="W782" t="str">
        <f>IF(samples!L319=0,"",samples!L319)</f>
        <v/>
      </c>
      <c r="X782">
        <f>IFERROR(SEARCH(search!$B$6,samples!L319,1),0)</f>
        <v>0</v>
      </c>
      <c r="Y782" t="str">
        <f>IF(samples!M319=0,"",samples!M319)</f>
        <v/>
      </c>
      <c r="Z782">
        <f>IFERROR(SEARCH(search!$B$6,samples!M319,1),0)</f>
        <v>0</v>
      </c>
      <c r="AA782" t="str">
        <f>IF(samples!N319=0,"",samples!N319)</f>
        <v/>
      </c>
      <c r="AB782">
        <f>IFERROR(SEARCH(search!$B$6,samples!N319,1),0)</f>
        <v>0</v>
      </c>
      <c r="AC782" t="str">
        <f>IF(samples!O319=0,"",samples!O319)</f>
        <v/>
      </c>
      <c r="AD782">
        <f>IFERROR(SEARCH(search!$B$6,samples!O319,1),0)</f>
        <v>0</v>
      </c>
    </row>
    <row r="783" spans="1:30">
      <c r="A783">
        <f t="shared" si="12"/>
        <v>0</v>
      </c>
      <c r="B783">
        <f>IF(SUM(D783,F783,H783,J783,L783,N783,P783,R783,T783,V783,X783,Z783,AB783,AD783)&gt;0,SUM($A$2:A783),0)</f>
        <v>0</v>
      </c>
      <c r="C783">
        <f>samples!B320</f>
        <v>0</v>
      </c>
      <c r="D783">
        <f>IFERROR(SEARCH(search!$B$6,samples!B320,1),0)</f>
        <v>0</v>
      </c>
      <c r="E783" t="str">
        <f>IF(samples!C320=0,"",samples!C320)</f>
        <v/>
      </c>
      <c r="F783">
        <f>IFERROR(SEARCH(search!$B$6,samples!C320,1),0)</f>
        <v>0</v>
      </c>
      <c r="G783" t="str">
        <f>IF(samples!D320=0,"",samples!D320)</f>
        <v/>
      </c>
      <c r="H783">
        <f>IFERROR(SEARCH(search!$B$6,samples!D320,1),0)</f>
        <v>0</v>
      </c>
      <c r="I783" t="str">
        <f>IF(samples!E320=0,"",samples!E320)</f>
        <v/>
      </c>
      <c r="J783">
        <f>IFERROR(SEARCH(search!$B$6,samples!E320,1),0)</f>
        <v>0</v>
      </c>
      <c r="K783" t="str">
        <f>IF(samples!F320=0,"",samples!F320)</f>
        <v/>
      </c>
      <c r="L783">
        <f>IFERROR(SEARCH(search!$B$6,samples!F320,1),0)</f>
        <v>0</v>
      </c>
      <c r="M783" t="str">
        <f>IF(samples!G320=0,"",samples!G320)</f>
        <v/>
      </c>
      <c r="N783">
        <f>IFERROR(SEARCH(search!$B$6,samples!G320,1),0)</f>
        <v>0</v>
      </c>
      <c r="O783" t="str">
        <f>IF(samples!H320=0,"",samples!H320)</f>
        <v/>
      </c>
      <c r="P783">
        <f>IFERROR(SEARCH(search!$B$6,samples!H320,1),0)</f>
        <v>0</v>
      </c>
      <c r="Q783" t="str">
        <f>IF(samples!I320=0,"",samples!I320)</f>
        <v/>
      </c>
      <c r="R783">
        <f>IFERROR(SEARCH(search!$B$6,samples!I320,1),0)</f>
        <v>0</v>
      </c>
      <c r="S783" t="str">
        <f>IF(samples!J320=0,"",samples!J320)</f>
        <v/>
      </c>
      <c r="T783">
        <f>IFERROR(SEARCH(search!$B$6,samples!J320,1),0)</f>
        <v>0</v>
      </c>
      <c r="U783" t="str">
        <f>IF(samples!K320=0,"",samples!K320)</f>
        <v/>
      </c>
      <c r="V783">
        <f>IFERROR(SEARCH(search!$B$6,samples!K320,1),0)</f>
        <v>0</v>
      </c>
      <c r="W783" t="str">
        <f>IF(samples!L320=0,"",samples!L320)</f>
        <v/>
      </c>
      <c r="X783">
        <f>IFERROR(SEARCH(search!$B$6,samples!L320,1),0)</f>
        <v>0</v>
      </c>
      <c r="Y783" t="str">
        <f>IF(samples!M320=0,"",samples!M320)</f>
        <v/>
      </c>
      <c r="Z783">
        <f>IFERROR(SEARCH(search!$B$6,samples!M320,1),0)</f>
        <v>0</v>
      </c>
      <c r="AA783" t="str">
        <f>IF(samples!N320=0,"",samples!N320)</f>
        <v/>
      </c>
      <c r="AB783">
        <f>IFERROR(SEARCH(search!$B$6,samples!N320,1),0)</f>
        <v>0</v>
      </c>
      <c r="AC783" t="str">
        <f>IF(samples!O320=0,"",samples!O320)</f>
        <v/>
      </c>
      <c r="AD783">
        <f>IFERROR(SEARCH(search!$B$6,samples!O320,1),0)</f>
        <v>0</v>
      </c>
    </row>
    <row r="784" spans="1:30">
      <c r="A784">
        <f t="shared" si="12"/>
        <v>0</v>
      </c>
      <c r="B784">
        <f>IF(SUM(D784,F784,H784,J784,L784,N784,P784,R784,T784,V784,X784,Z784,AB784,AD784)&gt;0,SUM($A$2:A784),0)</f>
        <v>0</v>
      </c>
      <c r="C784">
        <f>samples!B321</f>
        <v>0</v>
      </c>
      <c r="D784">
        <f>IFERROR(SEARCH(search!$B$6,samples!B321,1),0)</f>
        <v>0</v>
      </c>
      <c r="E784" t="str">
        <f>IF(samples!C321=0,"",samples!C321)</f>
        <v/>
      </c>
      <c r="F784">
        <f>IFERROR(SEARCH(search!$B$6,samples!C321,1),0)</f>
        <v>0</v>
      </c>
      <c r="G784" t="str">
        <f>IF(samples!D321=0,"",samples!D321)</f>
        <v/>
      </c>
      <c r="H784">
        <f>IFERROR(SEARCH(search!$B$6,samples!D321,1),0)</f>
        <v>0</v>
      </c>
      <c r="I784" t="str">
        <f>IF(samples!E321=0,"",samples!E321)</f>
        <v/>
      </c>
      <c r="J784">
        <f>IFERROR(SEARCH(search!$B$6,samples!E321,1),0)</f>
        <v>0</v>
      </c>
      <c r="K784" t="str">
        <f>IF(samples!F321=0,"",samples!F321)</f>
        <v/>
      </c>
      <c r="L784">
        <f>IFERROR(SEARCH(search!$B$6,samples!F321,1),0)</f>
        <v>0</v>
      </c>
      <c r="M784" t="str">
        <f>IF(samples!G321=0,"",samples!G321)</f>
        <v/>
      </c>
      <c r="N784">
        <f>IFERROR(SEARCH(search!$B$6,samples!G321,1),0)</f>
        <v>0</v>
      </c>
      <c r="O784" t="str">
        <f>IF(samples!H321=0,"",samples!H321)</f>
        <v/>
      </c>
      <c r="P784">
        <f>IFERROR(SEARCH(search!$B$6,samples!H321,1),0)</f>
        <v>0</v>
      </c>
      <c r="Q784" t="str">
        <f>IF(samples!I321=0,"",samples!I321)</f>
        <v/>
      </c>
      <c r="R784">
        <f>IFERROR(SEARCH(search!$B$6,samples!I321,1),0)</f>
        <v>0</v>
      </c>
      <c r="S784" t="str">
        <f>IF(samples!J321=0,"",samples!J321)</f>
        <v/>
      </c>
      <c r="T784">
        <f>IFERROR(SEARCH(search!$B$6,samples!J321,1),0)</f>
        <v>0</v>
      </c>
      <c r="U784" t="str">
        <f>IF(samples!K321=0,"",samples!K321)</f>
        <v/>
      </c>
      <c r="V784">
        <f>IFERROR(SEARCH(search!$B$6,samples!K321,1),0)</f>
        <v>0</v>
      </c>
      <c r="W784" t="str">
        <f>IF(samples!L321=0,"",samples!L321)</f>
        <v/>
      </c>
      <c r="X784">
        <f>IFERROR(SEARCH(search!$B$6,samples!L321,1),0)</f>
        <v>0</v>
      </c>
      <c r="Y784" t="str">
        <f>IF(samples!M321=0,"",samples!M321)</f>
        <v/>
      </c>
      <c r="Z784">
        <f>IFERROR(SEARCH(search!$B$6,samples!M321,1),0)</f>
        <v>0</v>
      </c>
      <c r="AA784" t="str">
        <f>IF(samples!N321=0,"",samples!N321)</f>
        <v/>
      </c>
      <c r="AB784">
        <f>IFERROR(SEARCH(search!$B$6,samples!N321,1),0)</f>
        <v>0</v>
      </c>
      <c r="AC784" t="str">
        <f>IF(samples!O321=0,"",samples!O321)</f>
        <v/>
      </c>
      <c r="AD784">
        <f>IFERROR(SEARCH(search!$B$6,samples!O321,1),0)</f>
        <v>0</v>
      </c>
    </row>
    <row r="785" spans="1:30">
      <c r="A785">
        <f t="shared" si="12"/>
        <v>0</v>
      </c>
      <c r="B785">
        <f>IF(SUM(D785,F785,H785,J785,L785,N785,P785,R785,T785,V785,X785,Z785,AB785,AD785)&gt;0,SUM($A$2:A785),0)</f>
        <v>0</v>
      </c>
      <c r="C785">
        <f>samples!B322</f>
        <v>0</v>
      </c>
      <c r="D785">
        <f>IFERROR(SEARCH(search!$B$6,samples!B322,1),0)</f>
        <v>0</v>
      </c>
      <c r="E785" t="str">
        <f>IF(samples!C322=0,"",samples!C322)</f>
        <v/>
      </c>
      <c r="F785">
        <f>IFERROR(SEARCH(search!$B$6,samples!C322,1),0)</f>
        <v>0</v>
      </c>
      <c r="G785" t="str">
        <f>IF(samples!D322=0,"",samples!D322)</f>
        <v/>
      </c>
      <c r="H785">
        <f>IFERROR(SEARCH(search!$B$6,samples!D322,1),0)</f>
        <v>0</v>
      </c>
      <c r="I785" t="str">
        <f>IF(samples!E322=0,"",samples!E322)</f>
        <v/>
      </c>
      <c r="J785">
        <f>IFERROR(SEARCH(search!$B$6,samples!E322,1),0)</f>
        <v>0</v>
      </c>
      <c r="K785" t="str">
        <f>IF(samples!F322=0,"",samples!F322)</f>
        <v/>
      </c>
      <c r="L785">
        <f>IFERROR(SEARCH(search!$B$6,samples!F322,1),0)</f>
        <v>0</v>
      </c>
      <c r="M785" t="str">
        <f>IF(samples!G322=0,"",samples!G322)</f>
        <v/>
      </c>
      <c r="N785">
        <f>IFERROR(SEARCH(search!$B$6,samples!G322,1),0)</f>
        <v>0</v>
      </c>
      <c r="O785" t="str">
        <f>IF(samples!H322=0,"",samples!H322)</f>
        <v/>
      </c>
      <c r="P785">
        <f>IFERROR(SEARCH(search!$B$6,samples!H322,1),0)</f>
        <v>0</v>
      </c>
      <c r="Q785" t="str">
        <f>IF(samples!I322=0,"",samples!I322)</f>
        <v/>
      </c>
      <c r="R785">
        <f>IFERROR(SEARCH(search!$B$6,samples!I322,1),0)</f>
        <v>0</v>
      </c>
      <c r="S785" t="str">
        <f>IF(samples!J322=0,"",samples!J322)</f>
        <v/>
      </c>
      <c r="T785">
        <f>IFERROR(SEARCH(search!$B$6,samples!J322,1),0)</f>
        <v>0</v>
      </c>
      <c r="U785" t="str">
        <f>IF(samples!K322=0,"",samples!K322)</f>
        <v/>
      </c>
      <c r="V785">
        <f>IFERROR(SEARCH(search!$B$6,samples!K322,1),0)</f>
        <v>0</v>
      </c>
      <c r="W785" t="str">
        <f>IF(samples!L322=0,"",samples!L322)</f>
        <v/>
      </c>
      <c r="X785">
        <f>IFERROR(SEARCH(search!$B$6,samples!L322,1),0)</f>
        <v>0</v>
      </c>
      <c r="Y785" t="str">
        <f>IF(samples!M322=0,"",samples!M322)</f>
        <v/>
      </c>
      <c r="Z785">
        <f>IFERROR(SEARCH(search!$B$6,samples!M322,1),0)</f>
        <v>0</v>
      </c>
      <c r="AA785" t="str">
        <f>IF(samples!N322=0,"",samples!N322)</f>
        <v/>
      </c>
      <c r="AB785">
        <f>IFERROR(SEARCH(search!$B$6,samples!N322,1),0)</f>
        <v>0</v>
      </c>
      <c r="AC785" t="str">
        <f>IF(samples!O322=0,"",samples!O322)</f>
        <v/>
      </c>
      <c r="AD785">
        <f>IFERROR(SEARCH(search!$B$6,samples!O322,1),0)</f>
        <v>0</v>
      </c>
    </row>
    <row r="786" spans="1:30">
      <c r="A786">
        <f t="shared" si="12"/>
        <v>0</v>
      </c>
      <c r="B786">
        <f>IF(SUM(D786,F786,H786,J786,L786,N786,P786,R786,T786,V786,X786,Z786,AB786,AD786)&gt;0,SUM($A$2:A786),0)</f>
        <v>0</v>
      </c>
      <c r="C786">
        <f>samples!B323</f>
        <v>0</v>
      </c>
      <c r="D786">
        <f>IFERROR(SEARCH(search!$B$6,samples!B323,1),0)</f>
        <v>0</v>
      </c>
      <c r="E786" t="str">
        <f>IF(samples!C323=0,"",samples!C323)</f>
        <v/>
      </c>
      <c r="F786">
        <f>IFERROR(SEARCH(search!$B$6,samples!C323,1),0)</f>
        <v>0</v>
      </c>
      <c r="G786" t="str">
        <f>IF(samples!D323=0,"",samples!D323)</f>
        <v/>
      </c>
      <c r="H786">
        <f>IFERROR(SEARCH(search!$B$6,samples!D323,1),0)</f>
        <v>0</v>
      </c>
      <c r="I786" t="str">
        <f>IF(samples!E323=0,"",samples!E323)</f>
        <v/>
      </c>
      <c r="J786">
        <f>IFERROR(SEARCH(search!$B$6,samples!E323,1),0)</f>
        <v>0</v>
      </c>
      <c r="K786" t="str">
        <f>IF(samples!F323=0,"",samples!F323)</f>
        <v/>
      </c>
      <c r="L786">
        <f>IFERROR(SEARCH(search!$B$6,samples!F323,1),0)</f>
        <v>0</v>
      </c>
      <c r="M786" t="str">
        <f>IF(samples!G323=0,"",samples!G323)</f>
        <v/>
      </c>
      <c r="N786">
        <f>IFERROR(SEARCH(search!$B$6,samples!G323,1),0)</f>
        <v>0</v>
      </c>
      <c r="O786" t="str">
        <f>IF(samples!H323=0,"",samples!H323)</f>
        <v/>
      </c>
      <c r="P786">
        <f>IFERROR(SEARCH(search!$B$6,samples!H323,1),0)</f>
        <v>0</v>
      </c>
      <c r="Q786" t="str">
        <f>IF(samples!I323=0,"",samples!I323)</f>
        <v/>
      </c>
      <c r="R786">
        <f>IFERROR(SEARCH(search!$B$6,samples!I323,1),0)</f>
        <v>0</v>
      </c>
      <c r="S786" t="str">
        <f>IF(samples!J323=0,"",samples!J323)</f>
        <v/>
      </c>
      <c r="T786">
        <f>IFERROR(SEARCH(search!$B$6,samples!J323,1),0)</f>
        <v>0</v>
      </c>
      <c r="U786" t="str">
        <f>IF(samples!K323=0,"",samples!K323)</f>
        <v/>
      </c>
      <c r="V786">
        <f>IFERROR(SEARCH(search!$B$6,samples!K323,1),0)</f>
        <v>0</v>
      </c>
      <c r="W786" t="str">
        <f>IF(samples!L323=0,"",samples!L323)</f>
        <v/>
      </c>
      <c r="X786">
        <f>IFERROR(SEARCH(search!$B$6,samples!L323,1),0)</f>
        <v>0</v>
      </c>
      <c r="Y786" t="str">
        <f>IF(samples!M323=0,"",samples!M323)</f>
        <v/>
      </c>
      <c r="Z786">
        <f>IFERROR(SEARCH(search!$B$6,samples!M323,1),0)</f>
        <v>0</v>
      </c>
      <c r="AA786" t="str">
        <f>IF(samples!N323=0,"",samples!N323)</f>
        <v/>
      </c>
      <c r="AB786">
        <f>IFERROR(SEARCH(search!$B$6,samples!N323,1),0)</f>
        <v>0</v>
      </c>
      <c r="AC786" t="str">
        <f>IF(samples!O323=0,"",samples!O323)</f>
        <v/>
      </c>
      <c r="AD786">
        <f>IFERROR(SEARCH(search!$B$6,samples!O323,1),0)</f>
        <v>0</v>
      </c>
    </row>
    <row r="787" spans="1:30">
      <c r="A787">
        <f t="shared" si="12"/>
        <v>0</v>
      </c>
      <c r="B787">
        <f>IF(SUM(D787,F787,H787,J787,L787,N787,P787,R787,T787,V787,X787,Z787,AB787,AD787)&gt;0,SUM($A$2:A787),0)</f>
        <v>0</v>
      </c>
      <c r="C787">
        <f>samples!B324</f>
        <v>0</v>
      </c>
      <c r="D787">
        <f>IFERROR(SEARCH(search!$B$6,samples!B324,1),0)</f>
        <v>0</v>
      </c>
      <c r="E787" t="str">
        <f>IF(samples!C324=0,"",samples!C324)</f>
        <v/>
      </c>
      <c r="F787">
        <f>IFERROR(SEARCH(search!$B$6,samples!C324,1),0)</f>
        <v>0</v>
      </c>
      <c r="G787" t="str">
        <f>IF(samples!D324=0,"",samples!D324)</f>
        <v/>
      </c>
      <c r="H787">
        <f>IFERROR(SEARCH(search!$B$6,samples!D324,1),0)</f>
        <v>0</v>
      </c>
      <c r="I787" t="str">
        <f>IF(samples!E324=0,"",samples!E324)</f>
        <v/>
      </c>
      <c r="J787">
        <f>IFERROR(SEARCH(search!$B$6,samples!E324,1),0)</f>
        <v>0</v>
      </c>
      <c r="K787" t="str">
        <f>IF(samples!F324=0,"",samples!F324)</f>
        <v/>
      </c>
      <c r="L787">
        <f>IFERROR(SEARCH(search!$B$6,samples!F324,1),0)</f>
        <v>0</v>
      </c>
      <c r="M787" t="str">
        <f>IF(samples!G324=0,"",samples!G324)</f>
        <v/>
      </c>
      <c r="N787">
        <f>IFERROR(SEARCH(search!$B$6,samples!G324,1),0)</f>
        <v>0</v>
      </c>
      <c r="O787" t="str">
        <f>IF(samples!H324=0,"",samples!H324)</f>
        <v/>
      </c>
      <c r="P787">
        <f>IFERROR(SEARCH(search!$B$6,samples!H324,1),0)</f>
        <v>0</v>
      </c>
      <c r="Q787" t="str">
        <f>IF(samples!I324=0,"",samples!I324)</f>
        <v/>
      </c>
      <c r="R787">
        <f>IFERROR(SEARCH(search!$B$6,samples!I324,1),0)</f>
        <v>0</v>
      </c>
      <c r="S787" t="str">
        <f>IF(samples!J324=0,"",samples!J324)</f>
        <v/>
      </c>
      <c r="T787">
        <f>IFERROR(SEARCH(search!$B$6,samples!J324,1),0)</f>
        <v>0</v>
      </c>
      <c r="U787" t="str">
        <f>IF(samples!K324=0,"",samples!K324)</f>
        <v/>
      </c>
      <c r="V787">
        <f>IFERROR(SEARCH(search!$B$6,samples!K324,1),0)</f>
        <v>0</v>
      </c>
      <c r="W787" t="str">
        <f>IF(samples!L324=0,"",samples!L324)</f>
        <v/>
      </c>
      <c r="X787">
        <f>IFERROR(SEARCH(search!$B$6,samples!L324,1),0)</f>
        <v>0</v>
      </c>
      <c r="Y787" t="str">
        <f>IF(samples!M324=0,"",samples!M324)</f>
        <v/>
      </c>
      <c r="Z787">
        <f>IFERROR(SEARCH(search!$B$6,samples!M324,1),0)</f>
        <v>0</v>
      </c>
      <c r="AA787" t="str">
        <f>IF(samples!N324=0,"",samples!N324)</f>
        <v/>
      </c>
      <c r="AB787">
        <f>IFERROR(SEARCH(search!$B$6,samples!N324,1),0)</f>
        <v>0</v>
      </c>
      <c r="AC787" t="str">
        <f>IF(samples!O324=0,"",samples!O324)</f>
        <v/>
      </c>
      <c r="AD787">
        <f>IFERROR(SEARCH(search!$B$6,samples!O324,1),0)</f>
        <v>0</v>
      </c>
    </row>
    <row r="788" spans="1:30">
      <c r="A788">
        <f t="shared" si="12"/>
        <v>0</v>
      </c>
      <c r="B788">
        <f>IF(SUM(D788,F788,H788,J788,L788,N788,P788,R788,T788,V788,X788,Z788,AB788,AD788)&gt;0,SUM($A$2:A788),0)</f>
        <v>0</v>
      </c>
      <c r="C788">
        <f>samples!B325</f>
        <v>0</v>
      </c>
      <c r="D788">
        <f>IFERROR(SEARCH(search!$B$6,samples!B325,1),0)</f>
        <v>0</v>
      </c>
      <c r="E788" t="str">
        <f>IF(samples!C325=0,"",samples!C325)</f>
        <v/>
      </c>
      <c r="F788">
        <f>IFERROR(SEARCH(search!$B$6,samples!C325,1),0)</f>
        <v>0</v>
      </c>
      <c r="G788" t="str">
        <f>IF(samples!D325=0,"",samples!D325)</f>
        <v/>
      </c>
      <c r="H788">
        <f>IFERROR(SEARCH(search!$B$6,samples!D325,1),0)</f>
        <v>0</v>
      </c>
      <c r="I788" t="str">
        <f>IF(samples!E325=0,"",samples!E325)</f>
        <v/>
      </c>
      <c r="J788">
        <f>IFERROR(SEARCH(search!$B$6,samples!E325,1),0)</f>
        <v>0</v>
      </c>
      <c r="K788" t="str">
        <f>IF(samples!F325=0,"",samples!F325)</f>
        <v/>
      </c>
      <c r="L788">
        <f>IFERROR(SEARCH(search!$B$6,samples!F325,1),0)</f>
        <v>0</v>
      </c>
      <c r="M788" t="str">
        <f>IF(samples!G325=0,"",samples!G325)</f>
        <v/>
      </c>
      <c r="N788">
        <f>IFERROR(SEARCH(search!$B$6,samples!G325,1),0)</f>
        <v>0</v>
      </c>
      <c r="O788" t="str">
        <f>IF(samples!H325=0,"",samples!H325)</f>
        <v/>
      </c>
      <c r="P788">
        <f>IFERROR(SEARCH(search!$B$6,samples!H325,1),0)</f>
        <v>0</v>
      </c>
      <c r="Q788" t="str">
        <f>IF(samples!I325=0,"",samples!I325)</f>
        <v/>
      </c>
      <c r="R788">
        <f>IFERROR(SEARCH(search!$B$6,samples!I325,1),0)</f>
        <v>0</v>
      </c>
      <c r="S788" t="str">
        <f>IF(samples!J325=0,"",samples!J325)</f>
        <v/>
      </c>
      <c r="T788">
        <f>IFERROR(SEARCH(search!$B$6,samples!J325,1),0)</f>
        <v>0</v>
      </c>
      <c r="U788" t="str">
        <f>IF(samples!K325=0,"",samples!K325)</f>
        <v/>
      </c>
      <c r="V788">
        <f>IFERROR(SEARCH(search!$B$6,samples!K325,1),0)</f>
        <v>0</v>
      </c>
      <c r="W788" t="str">
        <f>IF(samples!L325=0,"",samples!L325)</f>
        <v/>
      </c>
      <c r="X788">
        <f>IFERROR(SEARCH(search!$B$6,samples!L325,1),0)</f>
        <v>0</v>
      </c>
      <c r="Y788" t="str">
        <f>IF(samples!M325=0,"",samples!M325)</f>
        <v/>
      </c>
      <c r="Z788">
        <f>IFERROR(SEARCH(search!$B$6,samples!M325,1),0)</f>
        <v>0</v>
      </c>
      <c r="AA788" t="str">
        <f>IF(samples!N325=0,"",samples!N325)</f>
        <v/>
      </c>
      <c r="AB788">
        <f>IFERROR(SEARCH(search!$B$6,samples!N325,1),0)</f>
        <v>0</v>
      </c>
      <c r="AC788" t="str">
        <f>IF(samples!O325=0,"",samples!O325)</f>
        <v/>
      </c>
      <c r="AD788">
        <f>IFERROR(SEARCH(search!$B$6,samples!O325,1),0)</f>
        <v>0</v>
      </c>
    </row>
    <row r="789" spans="1:30">
      <c r="A789">
        <f t="shared" si="12"/>
        <v>0</v>
      </c>
      <c r="B789">
        <f>IF(SUM(D789,F789,H789,J789,L789,N789,P789,R789,T789,V789,X789,Z789,AB789,AD789)&gt;0,SUM($A$2:A789),0)</f>
        <v>0</v>
      </c>
      <c r="C789">
        <f>samples!B326</f>
        <v>0</v>
      </c>
      <c r="D789">
        <f>IFERROR(SEARCH(search!$B$6,samples!B326,1),0)</f>
        <v>0</v>
      </c>
      <c r="E789" t="str">
        <f>IF(samples!C326=0,"",samples!C326)</f>
        <v/>
      </c>
      <c r="F789">
        <f>IFERROR(SEARCH(search!$B$6,samples!C326,1),0)</f>
        <v>0</v>
      </c>
      <c r="G789" t="str">
        <f>IF(samples!D326=0,"",samples!D326)</f>
        <v/>
      </c>
      <c r="H789">
        <f>IFERROR(SEARCH(search!$B$6,samples!D326,1),0)</f>
        <v>0</v>
      </c>
      <c r="I789" t="str">
        <f>IF(samples!E326=0,"",samples!E326)</f>
        <v/>
      </c>
      <c r="J789">
        <f>IFERROR(SEARCH(search!$B$6,samples!E326,1),0)</f>
        <v>0</v>
      </c>
      <c r="K789" t="str">
        <f>IF(samples!F326=0,"",samples!F326)</f>
        <v/>
      </c>
      <c r="L789">
        <f>IFERROR(SEARCH(search!$B$6,samples!F326,1),0)</f>
        <v>0</v>
      </c>
      <c r="M789" t="str">
        <f>IF(samples!G326=0,"",samples!G326)</f>
        <v/>
      </c>
      <c r="N789">
        <f>IFERROR(SEARCH(search!$B$6,samples!G326,1),0)</f>
        <v>0</v>
      </c>
      <c r="O789" t="str">
        <f>IF(samples!H326=0,"",samples!H326)</f>
        <v/>
      </c>
      <c r="P789">
        <f>IFERROR(SEARCH(search!$B$6,samples!H326,1),0)</f>
        <v>0</v>
      </c>
      <c r="Q789" t="str">
        <f>IF(samples!I326=0,"",samples!I326)</f>
        <v/>
      </c>
      <c r="R789">
        <f>IFERROR(SEARCH(search!$B$6,samples!I326,1),0)</f>
        <v>0</v>
      </c>
      <c r="S789" t="str">
        <f>IF(samples!J326=0,"",samples!J326)</f>
        <v/>
      </c>
      <c r="T789">
        <f>IFERROR(SEARCH(search!$B$6,samples!J326,1),0)</f>
        <v>0</v>
      </c>
      <c r="U789" t="str">
        <f>IF(samples!K326=0,"",samples!K326)</f>
        <v/>
      </c>
      <c r="V789">
        <f>IFERROR(SEARCH(search!$B$6,samples!K326,1),0)</f>
        <v>0</v>
      </c>
      <c r="W789" t="str">
        <f>IF(samples!L326=0,"",samples!L326)</f>
        <v/>
      </c>
      <c r="X789">
        <f>IFERROR(SEARCH(search!$B$6,samples!L326,1),0)</f>
        <v>0</v>
      </c>
      <c r="Y789" t="str">
        <f>IF(samples!M326=0,"",samples!M326)</f>
        <v/>
      </c>
      <c r="Z789">
        <f>IFERROR(SEARCH(search!$B$6,samples!M326,1),0)</f>
        <v>0</v>
      </c>
      <c r="AA789" t="str">
        <f>IF(samples!N326=0,"",samples!N326)</f>
        <v/>
      </c>
      <c r="AB789">
        <f>IFERROR(SEARCH(search!$B$6,samples!N326,1),0)</f>
        <v>0</v>
      </c>
      <c r="AC789" t="str">
        <f>IF(samples!O326=0,"",samples!O326)</f>
        <v/>
      </c>
      <c r="AD789">
        <f>IFERROR(SEARCH(search!$B$6,samples!O326,1),0)</f>
        <v>0</v>
      </c>
    </row>
    <row r="790" spans="1:30">
      <c r="A790">
        <f t="shared" si="12"/>
        <v>0</v>
      </c>
      <c r="B790">
        <f>IF(SUM(D790,F790,H790,J790,L790,N790,P790,R790,T790,V790,X790,Z790,AB790,AD790)&gt;0,SUM($A$2:A790),0)</f>
        <v>0</v>
      </c>
      <c r="C790">
        <f>samples!B327</f>
        <v>0</v>
      </c>
      <c r="D790">
        <f>IFERROR(SEARCH(search!$B$6,samples!B327,1),0)</f>
        <v>0</v>
      </c>
      <c r="E790" t="str">
        <f>IF(samples!C327=0,"",samples!C327)</f>
        <v/>
      </c>
      <c r="F790">
        <f>IFERROR(SEARCH(search!$B$6,samples!C327,1),0)</f>
        <v>0</v>
      </c>
      <c r="G790" t="str">
        <f>IF(samples!D327=0,"",samples!D327)</f>
        <v/>
      </c>
      <c r="H790">
        <f>IFERROR(SEARCH(search!$B$6,samples!D327,1),0)</f>
        <v>0</v>
      </c>
      <c r="I790" t="str">
        <f>IF(samples!E327=0,"",samples!E327)</f>
        <v/>
      </c>
      <c r="J790">
        <f>IFERROR(SEARCH(search!$B$6,samples!E327,1),0)</f>
        <v>0</v>
      </c>
      <c r="K790" t="str">
        <f>IF(samples!F327=0,"",samples!F327)</f>
        <v/>
      </c>
      <c r="L790">
        <f>IFERROR(SEARCH(search!$B$6,samples!F327,1),0)</f>
        <v>0</v>
      </c>
      <c r="M790" t="str">
        <f>IF(samples!G327=0,"",samples!G327)</f>
        <v/>
      </c>
      <c r="N790">
        <f>IFERROR(SEARCH(search!$B$6,samples!G327,1),0)</f>
        <v>0</v>
      </c>
      <c r="O790" t="str">
        <f>IF(samples!H327=0,"",samples!H327)</f>
        <v/>
      </c>
      <c r="P790">
        <f>IFERROR(SEARCH(search!$B$6,samples!H327,1),0)</f>
        <v>0</v>
      </c>
      <c r="Q790" t="str">
        <f>IF(samples!I327=0,"",samples!I327)</f>
        <v/>
      </c>
      <c r="R790">
        <f>IFERROR(SEARCH(search!$B$6,samples!I327,1),0)</f>
        <v>0</v>
      </c>
      <c r="S790" t="str">
        <f>IF(samples!J327=0,"",samples!J327)</f>
        <v/>
      </c>
      <c r="T790">
        <f>IFERROR(SEARCH(search!$B$6,samples!J327,1),0)</f>
        <v>0</v>
      </c>
      <c r="U790" t="str">
        <f>IF(samples!K327=0,"",samples!K327)</f>
        <v/>
      </c>
      <c r="V790">
        <f>IFERROR(SEARCH(search!$B$6,samples!K327,1),0)</f>
        <v>0</v>
      </c>
      <c r="W790" t="str">
        <f>IF(samples!L327=0,"",samples!L327)</f>
        <v/>
      </c>
      <c r="X790">
        <f>IFERROR(SEARCH(search!$B$6,samples!L327,1),0)</f>
        <v>0</v>
      </c>
      <c r="Y790" t="str">
        <f>IF(samples!M327=0,"",samples!M327)</f>
        <v/>
      </c>
      <c r="Z790">
        <f>IFERROR(SEARCH(search!$B$6,samples!M327,1),0)</f>
        <v>0</v>
      </c>
      <c r="AA790" t="str">
        <f>IF(samples!N327=0,"",samples!N327)</f>
        <v/>
      </c>
      <c r="AB790">
        <f>IFERROR(SEARCH(search!$B$6,samples!N327,1),0)</f>
        <v>0</v>
      </c>
      <c r="AC790" t="str">
        <f>IF(samples!O327=0,"",samples!O327)</f>
        <v/>
      </c>
      <c r="AD790">
        <f>IFERROR(SEARCH(search!$B$6,samples!O327,1),0)</f>
        <v>0</v>
      </c>
    </row>
    <row r="791" spans="1:30">
      <c r="A791">
        <f t="shared" si="12"/>
        <v>0</v>
      </c>
      <c r="B791">
        <f>IF(SUM(D791,F791,H791,J791,L791,N791,P791,R791,T791,V791,X791,Z791,AB791,AD791)&gt;0,SUM($A$2:A791),0)</f>
        <v>0</v>
      </c>
      <c r="C791">
        <f>samples!B328</f>
        <v>0</v>
      </c>
      <c r="D791">
        <f>IFERROR(SEARCH(search!$B$6,samples!B328,1),0)</f>
        <v>0</v>
      </c>
      <c r="E791" t="str">
        <f>IF(samples!C328=0,"",samples!C328)</f>
        <v/>
      </c>
      <c r="F791">
        <f>IFERROR(SEARCH(search!$B$6,samples!C328,1),0)</f>
        <v>0</v>
      </c>
      <c r="G791" t="str">
        <f>IF(samples!D328=0,"",samples!D328)</f>
        <v/>
      </c>
      <c r="H791">
        <f>IFERROR(SEARCH(search!$B$6,samples!D328,1),0)</f>
        <v>0</v>
      </c>
      <c r="I791" t="str">
        <f>IF(samples!E328=0,"",samples!E328)</f>
        <v/>
      </c>
      <c r="J791">
        <f>IFERROR(SEARCH(search!$B$6,samples!E328,1),0)</f>
        <v>0</v>
      </c>
      <c r="K791" t="str">
        <f>IF(samples!F328=0,"",samples!F328)</f>
        <v/>
      </c>
      <c r="L791">
        <f>IFERROR(SEARCH(search!$B$6,samples!F328,1),0)</f>
        <v>0</v>
      </c>
      <c r="M791" t="str">
        <f>IF(samples!G328=0,"",samples!G328)</f>
        <v/>
      </c>
      <c r="N791">
        <f>IFERROR(SEARCH(search!$B$6,samples!G328,1),0)</f>
        <v>0</v>
      </c>
      <c r="O791" t="str">
        <f>IF(samples!H328=0,"",samples!H328)</f>
        <v/>
      </c>
      <c r="P791">
        <f>IFERROR(SEARCH(search!$B$6,samples!H328,1),0)</f>
        <v>0</v>
      </c>
      <c r="Q791" t="str">
        <f>IF(samples!I328=0,"",samples!I328)</f>
        <v/>
      </c>
      <c r="R791">
        <f>IFERROR(SEARCH(search!$B$6,samples!I328,1),0)</f>
        <v>0</v>
      </c>
      <c r="S791" t="str">
        <f>IF(samples!J328=0,"",samples!J328)</f>
        <v/>
      </c>
      <c r="T791">
        <f>IFERROR(SEARCH(search!$B$6,samples!J328,1),0)</f>
        <v>0</v>
      </c>
      <c r="U791" t="str">
        <f>IF(samples!K328=0,"",samples!K328)</f>
        <v/>
      </c>
      <c r="V791">
        <f>IFERROR(SEARCH(search!$B$6,samples!K328,1),0)</f>
        <v>0</v>
      </c>
      <c r="W791" t="str">
        <f>IF(samples!L328=0,"",samples!L328)</f>
        <v/>
      </c>
      <c r="X791">
        <f>IFERROR(SEARCH(search!$B$6,samples!L328,1),0)</f>
        <v>0</v>
      </c>
      <c r="Y791" t="str">
        <f>IF(samples!M328=0,"",samples!M328)</f>
        <v/>
      </c>
      <c r="Z791">
        <f>IFERROR(SEARCH(search!$B$6,samples!M328,1),0)</f>
        <v>0</v>
      </c>
      <c r="AA791" t="str">
        <f>IF(samples!N328=0,"",samples!N328)</f>
        <v/>
      </c>
      <c r="AB791">
        <f>IFERROR(SEARCH(search!$B$6,samples!N328,1),0)</f>
        <v>0</v>
      </c>
      <c r="AC791" t="str">
        <f>IF(samples!O328=0,"",samples!O328)</f>
        <v/>
      </c>
      <c r="AD791">
        <f>IFERROR(SEARCH(search!$B$6,samples!O328,1),0)</f>
        <v>0</v>
      </c>
    </row>
    <row r="792" spans="1:30">
      <c r="A792">
        <f t="shared" si="12"/>
        <v>0</v>
      </c>
      <c r="B792">
        <f>IF(SUM(D792,F792,H792,J792,L792,N792,P792,R792,T792,V792,X792,Z792,AB792,AD792)&gt;0,SUM($A$2:A792),0)</f>
        <v>0</v>
      </c>
      <c r="C792">
        <f>samples!B329</f>
        <v>0</v>
      </c>
      <c r="D792">
        <f>IFERROR(SEARCH(search!$B$6,samples!B329,1),0)</f>
        <v>0</v>
      </c>
      <c r="E792" t="str">
        <f>IF(samples!C329=0,"",samples!C329)</f>
        <v/>
      </c>
      <c r="F792">
        <f>IFERROR(SEARCH(search!$B$6,samples!C329,1),0)</f>
        <v>0</v>
      </c>
      <c r="G792" t="str">
        <f>IF(samples!D329=0,"",samples!D329)</f>
        <v/>
      </c>
      <c r="H792">
        <f>IFERROR(SEARCH(search!$B$6,samples!D329,1),0)</f>
        <v>0</v>
      </c>
      <c r="I792" t="str">
        <f>IF(samples!E329=0,"",samples!E329)</f>
        <v/>
      </c>
      <c r="J792">
        <f>IFERROR(SEARCH(search!$B$6,samples!E329,1),0)</f>
        <v>0</v>
      </c>
      <c r="K792" t="str">
        <f>IF(samples!F329=0,"",samples!F329)</f>
        <v/>
      </c>
      <c r="L792">
        <f>IFERROR(SEARCH(search!$B$6,samples!F329,1),0)</f>
        <v>0</v>
      </c>
      <c r="M792" t="str">
        <f>IF(samples!G329=0,"",samples!G329)</f>
        <v/>
      </c>
      <c r="N792">
        <f>IFERROR(SEARCH(search!$B$6,samples!G329,1),0)</f>
        <v>0</v>
      </c>
      <c r="O792" t="str">
        <f>IF(samples!H329=0,"",samples!H329)</f>
        <v/>
      </c>
      <c r="P792">
        <f>IFERROR(SEARCH(search!$B$6,samples!H329,1),0)</f>
        <v>0</v>
      </c>
      <c r="Q792" t="str">
        <f>IF(samples!I329=0,"",samples!I329)</f>
        <v/>
      </c>
      <c r="R792">
        <f>IFERROR(SEARCH(search!$B$6,samples!I329,1),0)</f>
        <v>0</v>
      </c>
      <c r="S792" t="str">
        <f>IF(samples!J329=0,"",samples!J329)</f>
        <v/>
      </c>
      <c r="T792">
        <f>IFERROR(SEARCH(search!$B$6,samples!J329,1),0)</f>
        <v>0</v>
      </c>
      <c r="U792" t="str">
        <f>IF(samples!K329=0,"",samples!K329)</f>
        <v/>
      </c>
      <c r="V792">
        <f>IFERROR(SEARCH(search!$B$6,samples!K329,1),0)</f>
        <v>0</v>
      </c>
      <c r="W792" t="str">
        <f>IF(samples!L329=0,"",samples!L329)</f>
        <v/>
      </c>
      <c r="X792">
        <f>IFERROR(SEARCH(search!$B$6,samples!L329,1),0)</f>
        <v>0</v>
      </c>
      <c r="Y792" t="str">
        <f>IF(samples!M329=0,"",samples!M329)</f>
        <v/>
      </c>
      <c r="Z792">
        <f>IFERROR(SEARCH(search!$B$6,samples!M329,1),0)</f>
        <v>0</v>
      </c>
      <c r="AA792" t="str">
        <f>IF(samples!N329=0,"",samples!N329)</f>
        <v/>
      </c>
      <c r="AB792">
        <f>IFERROR(SEARCH(search!$B$6,samples!N329,1),0)</f>
        <v>0</v>
      </c>
      <c r="AC792" t="str">
        <f>IF(samples!O329=0,"",samples!O329)</f>
        <v/>
      </c>
      <c r="AD792">
        <f>IFERROR(SEARCH(search!$B$6,samples!O329,1),0)</f>
        <v>0</v>
      </c>
    </row>
    <row r="793" spans="1:30">
      <c r="A793">
        <f t="shared" si="12"/>
        <v>0</v>
      </c>
      <c r="B793">
        <f>IF(SUM(D793,F793,H793,J793,L793,N793,P793,R793,T793,V793,X793,Z793,AB793,AD793)&gt;0,SUM($A$2:A793),0)</f>
        <v>0</v>
      </c>
      <c r="C793">
        <f>samples!B330</f>
        <v>0</v>
      </c>
      <c r="D793">
        <f>IFERROR(SEARCH(search!$B$6,samples!B330,1),0)</f>
        <v>0</v>
      </c>
      <c r="E793" t="str">
        <f>IF(samples!C330=0,"",samples!C330)</f>
        <v/>
      </c>
      <c r="F793">
        <f>IFERROR(SEARCH(search!$B$6,samples!C330,1),0)</f>
        <v>0</v>
      </c>
      <c r="G793" t="str">
        <f>IF(samples!D330=0,"",samples!D330)</f>
        <v/>
      </c>
      <c r="H793">
        <f>IFERROR(SEARCH(search!$B$6,samples!D330,1),0)</f>
        <v>0</v>
      </c>
      <c r="I793" t="str">
        <f>IF(samples!E330=0,"",samples!E330)</f>
        <v/>
      </c>
      <c r="J793">
        <f>IFERROR(SEARCH(search!$B$6,samples!E330,1),0)</f>
        <v>0</v>
      </c>
      <c r="K793" t="str">
        <f>IF(samples!F330=0,"",samples!F330)</f>
        <v/>
      </c>
      <c r="L793">
        <f>IFERROR(SEARCH(search!$B$6,samples!F330,1),0)</f>
        <v>0</v>
      </c>
      <c r="M793" t="str">
        <f>IF(samples!G330=0,"",samples!G330)</f>
        <v/>
      </c>
      <c r="N793">
        <f>IFERROR(SEARCH(search!$B$6,samples!G330,1),0)</f>
        <v>0</v>
      </c>
      <c r="O793" t="str">
        <f>IF(samples!H330=0,"",samples!H330)</f>
        <v/>
      </c>
      <c r="P793">
        <f>IFERROR(SEARCH(search!$B$6,samples!H330,1),0)</f>
        <v>0</v>
      </c>
      <c r="Q793" t="str">
        <f>IF(samples!I330=0,"",samples!I330)</f>
        <v/>
      </c>
      <c r="R793">
        <f>IFERROR(SEARCH(search!$B$6,samples!I330,1),0)</f>
        <v>0</v>
      </c>
      <c r="S793" t="str">
        <f>IF(samples!J330=0,"",samples!J330)</f>
        <v/>
      </c>
      <c r="T793">
        <f>IFERROR(SEARCH(search!$B$6,samples!J330,1),0)</f>
        <v>0</v>
      </c>
      <c r="U793" t="str">
        <f>IF(samples!K330=0,"",samples!K330)</f>
        <v/>
      </c>
      <c r="V793">
        <f>IFERROR(SEARCH(search!$B$6,samples!K330,1),0)</f>
        <v>0</v>
      </c>
      <c r="W793" t="str">
        <f>IF(samples!L330=0,"",samples!L330)</f>
        <v/>
      </c>
      <c r="X793">
        <f>IFERROR(SEARCH(search!$B$6,samples!L330,1),0)</f>
        <v>0</v>
      </c>
      <c r="Y793" t="str">
        <f>IF(samples!M330=0,"",samples!M330)</f>
        <v/>
      </c>
      <c r="Z793">
        <f>IFERROR(SEARCH(search!$B$6,samples!M330,1),0)</f>
        <v>0</v>
      </c>
      <c r="AA793" t="str">
        <f>IF(samples!N330=0,"",samples!N330)</f>
        <v/>
      </c>
      <c r="AB793">
        <f>IFERROR(SEARCH(search!$B$6,samples!N330,1),0)</f>
        <v>0</v>
      </c>
      <c r="AC793" t="str">
        <f>IF(samples!O330=0,"",samples!O330)</f>
        <v/>
      </c>
      <c r="AD793">
        <f>IFERROR(SEARCH(search!$B$6,samples!O330,1),0)</f>
        <v>0</v>
      </c>
    </row>
    <row r="794" spans="1:30">
      <c r="A794">
        <f t="shared" si="12"/>
        <v>0</v>
      </c>
      <c r="B794">
        <f>IF(SUM(D794,F794,H794,J794,L794,N794,P794,R794,T794,V794,X794,Z794,AB794,AD794)&gt;0,SUM($A$2:A794),0)</f>
        <v>0</v>
      </c>
      <c r="C794">
        <f>samples!B331</f>
        <v>0</v>
      </c>
      <c r="D794">
        <f>IFERROR(SEARCH(search!$B$6,samples!B331,1),0)</f>
        <v>0</v>
      </c>
      <c r="E794" t="str">
        <f>IF(samples!C331=0,"",samples!C331)</f>
        <v/>
      </c>
      <c r="F794">
        <f>IFERROR(SEARCH(search!$B$6,samples!C331,1),0)</f>
        <v>0</v>
      </c>
      <c r="G794" t="str">
        <f>IF(samples!D331=0,"",samples!D331)</f>
        <v/>
      </c>
      <c r="H794">
        <f>IFERROR(SEARCH(search!$B$6,samples!D331,1),0)</f>
        <v>0</v>
      </c>
      <c r="I794" t="str">
        <f>IF(samples!E331=0,"",samples!E331)</f>
        <v/>
      </c>
      <c r="J794">
        <f>IFERROR(SEARCH(search!$B$6,samples!E331,1),0)</f>
        <v>0</v>
      </c>
      <c r="K794" t="str">
        <f>IF(samples!F331=0,"",samples!F331)</f>
        <v/>
      </c>
      <c r="L794">
        <f>IFERROR(SEARCH(search!$B$6,samples!F331,1),0)</f>
        <v>0</v>
      </c>
      <c r="M794" t="str">
        <f>IF(samples!G331=0,"",samples!G331)</f>
        <v/>
      </c>
      <c r="N794">
        <f>IFERROR(SEARCH(search!$B$6,samples!G331,1),0)</f>
        <v>0</v>
      </c>
      <c r="O794" t="str">
        <f>IF(samples!H331=0,"",samples!H331)</f>
        <v/>
      </c>
      <c r="P794">
        <f>IFERROR(SEARCH(search!$B$6,samples!H331,1),0)</f>
        <v>0</v>
      </c>
      <c r="Q794" t="str">
        <f>IF(samples!I331=0,"",samples!I331)</f>
        <v/>
      </c>
      <c r="R794">
        <f>IFERROR(SEARCH(search!$B$6,samples!I331,1),0)</f>
        <v>0</v>
      </c>
      <c r="S794" t="str">
        <f>IF(samples!J331=0,"",samples!J331)</f>
        <v/>
      </c>
      <c r="T794">
        <f>IFERROR(SEARCH(search!$B$6,samples!J331,1),0)</f>
        <v>0</v>
      </c>
      <c r="U794" t="str">
        <f>IF(samples!K331=0,"",samples!K331)</f>
        <v/>
      </c>
      <c r="V794">
        <f>IFERROR(SEARCH(search!$B$6,samples!K331,1),0)</f>
        <v>0</v>
      </c>
      <c r="W794" t="str">
        <f>IF(samples!L331=0,"",samples!L331)</f>
        <v/>
      </c>
      <c r="X794">
        <f>IFERROR(SEARCH(search!$B$6,samples!L331,1),0)</f>
        <v>0</v>
      </c>
      <c r="Y794" t="str">
        <f>IF(samples!M331=0,"",samples!M331)</f>
        <v/>
      </c>
      <c r="Z794">
        <f>IFERROR(SEARCH(search!$B$6,samples!M331,1),0)</f>
        <v>0</v>
      </c>
      <c r="AA794" t="str">
        <f>IF(samples!N331=0,"",samples!N331)</f>
        <v/>
      </c>
      <c r="AB794">
        <f>IFERROR(SEARCH(search!$B$6,samples!N331,1),0)</f>
        <v>0</v>
      </c>
      <c r="AC794" t="str">
        <f>IF(samples!O331=0,"",samples!O331)</f>
        <v/>
      </c>
      <c r="AD794">
        <f>IFERROR(SEARCH(search!$B$6,samples!O331,1),0)</f>
        <v>0</v>
      </c>
    </row>
    <row r="795" spans="1:30">
      <c r="A795">
        <f t="shared" si="12"/>
        <v>0</v>
      </c>
      <c r="B795">
        <f>IF(SUM(D795,F795,H795,J795,L795,N795,P795,R795,T795,V795,X795,Z795,AB795,AD795)&gt;0,SUM($A$2:A795),0)</f>
        <v>0</v>
      </c>
      <c r="C795">
        <f>samples!B332</f>
        <v>0</v>
      </c>
      <c r="D795">
        <f>IFERROR(SEARCH(search!$B$6,samples!B332,1),0)</f>
        <v>0</v>
      </c>
      <c r="E795" t="str">
        <f>IF(samples!C332=0,"",samples!C332)</f>
        <v/>
      </c>
      <c r="F795">
        <f>IFERROR(SEARCH(search!$B$6,samples!C332,1),0)</f>
        <v>0</v>
      </c>
      <c r="G795" t="str">
        <f>IF(samples!D332=0,"",samples!D332)</f>
        <v/>
      </c>
      <c r="H795">
        <f>IFERROR(SEARCH(search!$B$6,samples!D332,1),0)</f>
        <v>0</v>
      </c>
      <c r="I795" t="str">
        <f>IF(samples!E332=0,"",samples!E332)</f>
        <v/>
      </c>
      <c r="J795">
        <f>IFERROR(SEARCH(search!$B$6,samples!E332,1),0)</f>
        <v>0</v>
      </c>
      <c r="K795" t="str">
        <f>IF(samples!F332=0,"",samples!F332)</f>
        <v/>
      </c>
      <c r="L795">
        <f>IFERROR(SEARCH(search!$B$6,samples!F332,1),0)</f>
        <v>0</v>
      </c>
      <c r="M795" t="str">
        <f>IF(samples!G332=0,"",samples!G332)</f>
        <v/>
      </c>
      <c r="N795">
        <f>IFERROR(SEARCH(search!$B$6,samples!G332,1),0)</f>
        <v>0</v>
      </c>
      <c r="O795" t="str">
        <f>IF(samples!H332=0,"",samples!H332)</f>
        <v/>
      </c>
      <c r="P795">
        <f>IFERROR(SEARCH(search!$B$6,samples!H332,1),0)</f>
        <v>0</v>
      </c>
      <c r="Q795" t="str">
        <f>IF(samples!I332=0,"",samples!I332)</f>
        <v/>
      </c>
      <c r="R795">
        <f>IFERROR(SEARCH(search!$B$6,samples!I332,1),0)</f>
        <v>0</v>
      </c>
      <c r="S795" t="str">
        <f>IF(samples!J332=0,"",samples!J332)</f>
        <v/>
      </c>
      <c r="T795">
        <f>IFERROR(SEARCH(search!$B$6,samples!J332,1),0)</f>
        <v>0</v>
      </c>
      <c r="U795" t="str">
        <f>IF(samples!K332=0,"",samples!K332)</f>
        <v/>
      </c>
      <c r="V795">
        <f>IFERROR(SEARCH(search!$B$6,samples!K332,1),0)</f>
        <v>0</v>
      </c>
      <c r="W795" t="str">
        <f>IF(samples!L332=0,"",samples!L332)</f>
        <v/>
      </c>
      <c r="X795">
        <f>IFERROR(SEARCH(search!$B$6,samples!L332,1),0)</f>
        <v>0</v>
      </c>
      <c r="Y795" t="str">
        <f>IF(samples!M332=0,"",samples!M332)</f>
        <v/>
      </c>
      <c r="Z795">
        <f>IFERROR(SEARCH(search!$B$6,samples!M332,1),0)</f>
        <v>0</v>
      </c>
      <c r="AA795" t="str">
        <f>IF(samples!N332=0,"",samples!N332)</f>
        <v/>
      </c>
      <c r="AB795">
        <f>IFERROR(SEARCH(search!$B$6,samples!N332,1),0)</f>
        <v>0</v>
      </c>
      <c r="AC795" t="str">
        <f>IF(samples!O332=0,"",samples!O332)</f>
        <v/>
      </c>
      <c r="AD795">
        <f>IFERROR(SEARCH(search!$B$6,samples!O332,1),0)</f>
        <v>0</v>
      </c>
    </row>
    <row r="796" spans="1:30">
      <c r="A796">
        <f t="shared" si="12"/>
        <v>0</v>
      </c>
      <c r="B796">
        <f>IF(SUM(D796,F796,H796,J796,L796,N796,P796,R796,T796,V796,X796,Z796,AB796,AD796)&gt;0,SUM($A$2:A796),0)</f>
        <v>0</v>
      </c>
      <c r="C796">
        <f>samples!B333</f>
        <v>0</v>
      </c>
      <c r="D796">
        <f>IFERROR(SEARCH(search!$B$6,samples!B333,1),0)</f>
        <v>0</v>
      </c>
      <c r="E796" t="str">
        <f>IF(samples!C333=0,"",samples!C333)</f>
        <v/>
      </c>
      <c r="F796">
        <f>IFERROR(SEARCH(search!$B$6,samples!C333,1),0)</f>
        <v>0</v>
      </c>
      <c r="G796" t="str">
        <f>IF(samples!D333=0,"",samples!D333)</f>
        <v/>
      </c>
      <c r="H796">
        <f>IFERROR(SEARCH(search!$B$6,samples!D333,1),0)</f>
        <v>0</v>
      </c>
      <c r="I796" t="str">
        <f>IF(samples!E333=0,"",samples!E333)</f>
        <v/>
      </c>
      <c r="J796">
        <f>IFERROR(SEARCH(search!$B$6,samples!E333,1),0)</f>
        <v>0</v>
      </c>
      <c r="K796" t="str">
        <f>IF(samples!F333=0,"",samples!F333)</f>
        <v/>
      </c>
      <c r="L796">
        <f>IFERROR(SEARCH(search!$B$6,samples!F333,1),0)</f>
        <v>0</v>
      </c>
      <c r="M796" t="str">
        <f>IF(samples!G333=0,"",samples!G333)</f>
        <v/>
      </c>
      <c r="N796">
        <f>IFERROR(SEARCH(search!$B$6,samples!G333,1),0)</f>
        <v>0</v>
      </c>
      <c r="O796" t="str">
        <f>IF(samples!H333=0,"",samples!H333)</f>
        <v/>
      </c>
      <c r="P796">
        <f>IFERROR(SEARCH(search!$B$6,samples!H333,1),0)</f>
        <v>0</v>
      </c>
      <c r="Q796" t="str">
        <f>IF(samples!I333=0,"",samples!I333)</f>
        <v/>
      </c>
      <c r="R796">
        <f>IFERROR(SEARCH(search!$B$6,samples!I333,1),0)</f>
        <v>0</v>
      </c>
      <c r="S796" t="str">
        <f>IF(samples!J333=0,"",samples!J333)</f>
        <v/>
      </c>
      <c r="T796">
        <f>IFERROR(SEARCH(search!$B$6,samples!J333,1),0)</f>
        <v>0</v>
      </c>
      <c r="U796" t="str">
        <f>IF(samples!K333=0,"",samples!K333)</f>
        <v/>
      </c>
      <c r="V796">
        <f>IFERROR(SEARCH(search!$B$6,samples!K333,1),0)</f>
        <v>0</v>
      </c>
      <c r="W796" t="str">
        <f>IF(samples!L333=0,"",samples!L333)</f>
        <v/>
      </c>
      <c r="X796">
        <f>IFERROR(SEARCH(search!$B$6,samples!L333,1),0)</f>
        <v>0</v>
      </c>
      <c r="Y796" t="str">
        <f>IF(samples!M333=0,"",samples!M333)</f>
        <v/>
      </c>
      <c r="Z796">
        <f>IFERROR(SEARCH(search!$B$6,samples!M333,1),0)</f>
        <v>0</v>
      </c>
      <c r="AA796" t="str">
        <f>IF(samples!N333=0,"",samples!N333)</f>
        <v/>
      </c>
      <c r="AB796">
        <f>IFERROR(SEARCH(search!$B$6,samples!N333,1),0)</f>
        <v>0</v>
      </c>
      <c r="AC796" t="str">
        <f>IF(samples!O333=0,"",samples!O333)</f>
        <v/>
      </c>
      <c r="AD796">
        <f>IFERROR(SEARCH(search!$B$6,samples!O333,1),0)</f>
        <v>0</v>
      </c>
    </row>
    <row r="797" spans="1:30">
      <c r="A797">
        <f t="shared" si="12"/>
        <v>0</v>
      </c>
      <c r="B797">
        <f>IF(SUM(D797,F797,H797,J797,L797,N797,P797,R797,T797,V797,X797,Z797,AB797,AD797)&gt;0,SUM($A$2:A797),0)</f>
        <v>0</v>
      </c>
      <c r="C797">
        <f>samples!B334</f>
        <v>0</v>
      </c>
      <c r="D797">
        <f>IFERROR(SEARCH(search!$B$6,samples!B334,1),0)</f>
        <v>0</v>
      </c>
      <c r="E797" t="str">
        <f>IF(samples!C334=0,"",samples!C334)</f>
        <v/>
      </c>
      <c r="F797">
        <f>IFERROR(SEARCH(search!$B$6,samples!C334,1),0)</f>
        <v>0</v>
      </c>
      <c r="G797" t="str">
        <f>IF(samples!D334=0,"",samples!D334)</f>
        <v/>
      </c>
      <c r="H797">
        <f>IFERROR(SEARCH(search!$B$6,samples!D334,1),0)</f>
        <v>0</v>
      </c>
      <c r="I797" t="str">
        <f>IF(samples!E334=0,"",samples!E334)</f>
        <v/>
      </c>
      <c r="J797">
        <f>IFERROR(SEARCH(search!$B$6,samples!E334,1),0)</f>
        <v>0</v>
      </c>
      <c r="K797" t="str">
        <f>IF(samples!F334=0,"",samples!F334)</f>
        <v/>
      </c>
      <c r="L797">
        <f>IFERROR(SEARCH(search!$B$6,samples!F334,1),0)</f>
        <v>0</v>
      </c>
      <c r="M797" t="str">
        <f>IF(samples!G334=0,"",samples!G334)</f>
        <v/>
      </c>
      <c r="N797">
        <f>IFERROR(SEARCH(search!$B$6,samples!G334,1),0)</f>
        <v>0</v>
      </c>
      <c r="O797" t="str">
        <f>IF(samples!H334=0,"",samples!H334)</f>
        <v/>
      </c>
      <c r="P797">
        <f>IFERROR(SEARCH(search!$B$6,samples!H334,1),0)</f>
        <v>0</v>
      </c>
      <c r="Q797" t="str">
        <f>IF(samples!I334=0,"",samples!I334)</f>
        <v/>
      </c>
      <c r="R797">
        <f>IFERROR(SEARCH(search!$B$6,samples!I334,1),0)</f>
        <v>0</v>
      </c>
      <c r="S797" t="str">
        <f>IF(samples!J334=0,"",samples!J334)</f>
        <v/>
      </c>
      <c r="T797">
        <f>IFERROR(SEARCH(search!$B$6,samples!J334,1),0)</f>
        <v>0</v>
      </c>
      <c r="U797" t="str">
        <f>IF(samples!K334=0,"",samples!K334)</f>
        <v/>
      </c>
      <c r="V797">
        <f>IFERROR(SEARCH(search!$B$6,samples!K334,1),0)</f>
        <v>0</v>
      </c>
      <c r="W797" t="str">
        <f>IF(samples!L334=0,"",samples!L334)</f>
        <v/>
      </c>
      <c r="X797">
        <f>IFERROR(SEARCH(search!$B$6,samples!L334,1),0)</f>
        <v>0</v>
      </c>
      <c r="Y797" t="str">
        <f>IF(samples!M334=0,"",samples!M334)</f>
        <v/>
      </c>
      <c r="Z797">
        <f>IFERROR(SEARCH(search!$B$6,samples!M334,1),0)</f>
        <v>0</v>
      </c>
      <c r="AA797" t="str">
        <f>IF(samples!N334=0,"",samples!N334)</f>
        <v/>
      </c>
      <c r="AB797">
        <f>IFERROR(SEARCH(search!$B$6,samples!N334,1),0)</f>
        <v>0</v>
      </c>
      <c r="AC797" t="str">
        <f>IF(samples!O334=0,"",samples!O334)</f>
        <v/>
      </c>
      <c r="AD797">
        <f>IFERROR(SEARCH(search!$B$6,samples!O334,1),0)</f>
        <v>0</v>
      </c>
    </row>
    <row r="798" spans="1:30">
      <c r="A798">
        <f t="shared" si="12"/>
        <v>0</v>
      </c>
      <c r="B798">
        <f>IF(SUM(D798,F798,H798,J798,L798,N798,P798,R798,T798,V798,X798,Z798,AB798,AD798)&gt;0,SUM($A$2:A798),0)</f>
        <v>0</v>
      </c>
      <c r="C798">
        <f>samples!B335</f>
        <v>0</v>
      </c>
      <c r="D798">
        <f>IFERROR(SEARCH(search!$B$6,samples!B335,1),0)</f>
        <v>0</v>
      </c>
      <c r="E798" t="str">
        <f>IF(samples!C335=0,"",samples!C335)</f>
        <v/>
      </c>
      <c r="F798">
        <f>IFERROR(SEARCH(search!$B$6,samples!C335,1),0)</f>
        <v>0</v>
      </c>
      <c r="G798" t="str">
        <f>IF(samples!D335=0,"",samples!D335)</f>
        <v/>
      </c>
      <c r="H798">
        <f>IFERROR(SEARCH(search!$B$6,samples!D335,1),0)</f>
        <v>0</v>
      </c>
      <c r="I798" t="str">
        <f>IF(samples!E335=0,"",samples!E335)</f>
        <v/>
      </c>
      <c r="J798">
        <f>IFERROR(SEARCH(search!$B$6,samples!E335,1),0)</f>
        <v>0</v>
      </c>
      <c r="K798" t="str">
        <f>IF(samples!F335=0,"",samples!F335)</f>
        <v/>
      </c>
      <c r="L798">
        <f>IFERROR(SEARCH(search!$B$6,samples!F335,1),0)</f>
        <v>0</v>
      </c>
      <c r="M798" t="str">
        <f>IF(samples!G335=0,"",samples!G335)</f>
        <v/>
      </c>
      <c r="N798">
        <f>IFERROR(SEARCH(search!$B$6,samples!G335,1),0)</f>
        <v>0</v>
      </c>
      <c r="O798" t="str">
        <f>IF(samples!H335=0,"",samples!H335)</f>
        <v/>
      </c>
      <c r="P798">
        <f>IFERROR(SEARCH(search!$B$6,samples!H335,1),0)</f>
        <v>0</v>
      </c>
      <c r="Q798" t="str">
        <f>IF(samples!I335=0,"",samples!I335)</f>
        <v/>
      </c>
      <c r="R798">
        <f>IFERROR(SEARCH(search!$B$6,samples!I335,1),0)</f>
        <v>0</v>
      </c>
      <c r="S798" t="str">
        <f>IF(samples!J335=0,"",samples!J335)</f>
        <v/>
      </c>
      <c r="T798">
        <f>IFERROR(SEARCH(search!$B$6,samples!J335,1),0)</f>
        <v>0</v>
      </c>
      <c r="U798" t="str">
        <f>IF(samples!K335=0,"",samples!K335)</f>
        <v/>
      </c>
      <c r="V798">
        <f>IFERROR(SEARCH(search!$B$6,samples!K335,1),0)</f>
        <v>0</v>
      </c>
      <c r="W798" t="str">
        <f>IF(samples!L335=0,"",samples!L335)</f>
        <v/>
      </c>
      <c r="X798">
        <f>IFERROR(SEARCH(search!$B$6,samples!L335,1),0)</f>
        <v>0</v>
      </c>
      <c r="Y798" t="str">
        <f>IF(samples!M335=0,"",samples!M335)</f>
        <v/>
      </c>
      <c r="Z798">
        <f>IFERROR(SEARCH(search!$B$6,samples!M335,1),0)</f>
        <v>0</v>
      </c>
      <c r="AA798" t="str">
        <f>IF(samples!N335=0,"",samples!N335)</f>
        <v/>
      </c>
      <c r="AB798">
        <f>IFERROR(SEARCH(search!$B$6,samples!N335,1),0)</f>
        <v>0</v>
      </c>
      <c r="AC798" t="str">
        <f>IF(samples!O335=0,"",samples!O335)</f>
        <v/>
      </c>
      <c r="AD798">
        <f>IFERROR(SEARCH(search!$B$6,samples!O335,1),0)</f>
        <v>0</v>
      </c>
    </row>
    <row r="799" spans="1:30">
      <c r="A799">
        <f t="shared" si="12"/>
        <v>0</v>
      </c>
      <c r="B799">
        <f>IF(SUM(D799,F799,H799,J799,L799,N799,P799,R799,T799,V799,X799,Z799,AB799,AD799)&gt;0,SUM($A$2:A799),0)</f>
        <v>0</v>
      </c>
      <c r="C799">
        <f>samples!B336</f>
        <v>0</v>
      </c>
      <c r="D799">
        <f>IFERROR(SEARCH(search!$B$6,samples!B336,1),0)</f>
        <v>0</v>
      </c>
      <c r="E799" t="str">
        <f>IF(samples!C336=0,"",samples!C336)</f>
        <v/>
      </c>
      <c r="F799">
        <f>IFERROR(SEARCH(search!$B$6,samples!C336,1),0)</f>
        <v>0</v>
      </c>
      <c r="G799" t="str">
        <f>IF(samples!D336=0,"",samples!D336)</f>
        <v/>
      </c>
      <c r="H799">
        <f>IFERROR(SEARCH(search!$B$6,samples!D336,1),0)</f>
        <v>0</v>
      </c>
      <c r="I799" t="str">
        <f>IF(samples!E336=0,"",samples!E336)</f>
        <v/>
      </c>
      <c r="J799">
        <f>IFERROR(SEARCH(search!$B$6,samples!E336,1),0)</f>
        <v>0</v>
      </c>
      <c r="K799" t="str">
        <f>IF(samples!F336=0,"",samples!F336)</f>
        <v/>
      </c>
      <c r="L799">
        <f>IFERROR(SEARCH(search!$B$6,samples!F336,1),0)</f>
        <v>0</v>
      </c>
      <c r="M799" t="str">
        <f>IF(samples!G336=0,"",samples!G336)</f>
        <v/>
      </c>
      <c r="N799">
        <f>IFERROR(SEARCH(search!$B$6,samples!G336,1),0)</f>
        <v>0</v>
      </c>
      <c r="O799" t="str">
        <f>IF(samples!H336=0,"",samples!H336)</f>
        <v/>
      </c>
      <c r="P799">
        <f>IFERROR(SEARCH(search!$B$6,samples!H336,1),0)</f>
        <v>0</v>
      </c>
      <c r="Q799" t="str">
        <f>IF(samples!I336=0,"",samples!I336)</f>
        <v/>
      </c>
      <c r="R799">
        <f>IFERROR(SEARCH(search!$B$6,samples!I336,1),0)</f>
        <v>0</v>
      </c>
      <c r="S799" t="str">
        <f>IF(samples!J336=0,"",samples!J336)</f>
        <v/>
      </c>
      <c r="T799">
        <f>IFERROR(SEARCH(search!$B$6,samples!J336,1),0)</f>
        <v>0</v>
      </c>
      <c r="U799" t="str">
        <f>IF(samples!K336=0,"",samples!K336)</f>
        <v/>
      </c>
      <c r="V799">
        <f>IFERROR(SEARCH(search!$B$6,samples!K336,1),0)</f>
        <v>0</v>
      </c>
      <c r="W799" t="str">
        <f>IF(samples!L336=0,"",samples!L336)</f>
        <v/>
      </c>
      <c r="X799">
        <f>IFERROR(SEARCH(search!$B$6,samples!L336,1),0)</f>
        <v>0</v>
      </c>
      <c r="Y799" t="str">
        <f>IF(samples!M336=0,"",samples!M336)</f>
        <v/>
      </c>
      <c r="Z799">
        <f>IFERROR(SEARCH(search!$B$6,samples!M336,1),0)</f>
        <v>0</v>
      </c>
      <c r="AA799" t="str">
        <f>IF(samples!N336=0,"",samples!N336)</f>
        <v/>
      </c>
      <c r="AB799">
        <f>IFERROR(SEARCH(search!$B$6,samples!N336,1),0)</f>
        <v>0</v>
      </c>
      <c r="AC799" t="str">
        <f>IF(samples!O336=0,"",samples!O336)</f>
        <v/>
      </c>
      <c r="AD799">
        <f>IFERROR(SEARCH(search!$B$6,samples!O336,1),0)</f>
        <v>0</v>
      </c>
    </row>
    <row r="800" spans="1:30">
      <c r="A800">
        <f t="shared" si="12"/>
        <v>0</v>
      </c>
      <c r="B800">
        <f>IF(SUM(D800,F800,H800,J800,L800,N800,P800,R800,T800,V800,X800,Z800,AB800,AD800)&gt;0,SUM($A$2:A800),0)</f>
        <v>0</v>
      </c>
      <c r="C800">
        <f>samples!B337</f>
        <v>0</v>
      </c>
      <c r="D800">
        <f>IFERROR(SEARCH(search!$B$6,samples!B337,1),0)</f>
        <v>0</v>
      </c>
      <c r="E800" t="str">
        <f>IF(samples!C337=0,"",samples!C337)</f>
        <v/>
      </c>
      <c r="F800">
        <f>IFERROR(SEARCH(search!$B$6,samples!C337,1),0)</f>
        <v>0</v>
      </c>
      <c r="G800" t="str">
        <f>IF(samples!D337=0,"",samples!D337)</f>
        <v/>
      </c>
      <c r="H800">
        <f>IFERROR(SEARCH(search!$B$6,samples!D337,1),0)</f>
        <v>0</v>
      </c>
      <c r="I800" t="str">
        <f>IF(samples!E337=0,"",samples!E337)</f>
        <v/>
      </c>
      <c r="J800">
        <f>IFERROR(SEARCH(search!$B$6,samples!E337,1),0)</f>
        <v>0</v>
      </c>
      <c r="K800" t="str">
        <f>IF(samples!F337=0,"",samples!F337)</f>
        <v/>
      </c>
      <c r="L800">
        <f>IFERROR(SEARCH(search!$B$6,samples!F337,1),0)</f>
        <v>0</v>
      </c>
      <c r="M800" t="str">
        <f>IF(samples!G337=0,"",samples!G337)</f>
        <v/>
      </c>
      <c r="N800">
        <f>IFERROR(SEARCH(search!$B$6,samples!G337,1),0)</f>
        <v>0</v>
      </c>
      <c r="O800" t="str">
        <f>IF(samples!H337=0,"",samples!H337)</f>
        <v/>
      </c>
      <c r="P800">
        <f>IFERROR(SEARCH(search!$B$6,samples!H337,1),0)</f>
        <v>0</v>
      </c>
      <c r="Q800" t="str">
        <f>IF(samples!I337=0,"",samples!I337)</f>
        <v/>
      </c>
      <c r="R800">
        <f>IFERROR(SEARCH(search!$B$6,samples!I337,1),0)</f>
        <v>0</v>
      </c>
      <c r="S800" t="str">
        <f>IF(samples!J337=0,"",samples!J337)</f>
        <v/>
      </c>
      <c r="T800">
        <f>IFERROR(SEARCH(search!$B$6,samples!J337,1),0)</f>
        <v>0</v>
      </c>
      <c r="U800" t="str">
        <f>IF(samples!K337=0,"",samples!K337)</f>
        <v/>
      </c>
      <c r="V800">
        <f>IFERROR(SEARCH(search!$B$6,samples!K337,1),0)</f>
        <v>0</v>
      </c>
      <c r="W800" t="str">
        <f>IF(samples!L337=0,"",samples!L337)</f>
        <v/>
      </c>
      <c r="X800">
        <f>IFERROR(SEARCH(search!$B$6,samples!L337,1),0)</f>
        <v>0</v>
      </c>
      <c r="Y800" t="str">
        <f>IF(samples!M337=0,"",samples!M337)</f>
        <v/>
      </c>
      <c r="Z800">
        <f>IFERROR(SEARCH(search!$B$6,samples!M337,1),0)</f>
        <v>0</v>
      </c>
      <c r="AA800" t="str">
        <f>IF(samples!N337=0,"",samples!N337)</f>
        <v/>
      </c>
      <c r="AB800">
        <f>IFERROR(SEARCH(search!$B$6,samples!N337,1),0)</f>
        <v>0</v>
      </c>
      <c r="AC800" t="str">
        <f>IF(samples!O337=0,"",samples!O337)</f>
        <v/>
      </c>
      <c r="AD800">
        <f>IFERROR(SEARCH(search!$B$6,samples!O337,1),0)</f>
        <v>0</v>
      </c>
    </row>
    <row r="801" spans="1:30">
      <c r="A801">
        <f t="shared" si="12"/>
        <v>0</v>
      </c>
      <c r="B801">
        <f>IF(SUM(D801,F801,H801,J801,L801,N801,P801,R801,T801,V801,X801,Z801,AB801,AD801)&gt;0,SUM($A$2:A801),0)</f>
        <v>0</v>
      </c>
      <c r="C801">
        <f>samples!B338</f>
        <v>0</v>
      </c>
      <c r="D801">
        <f>IFERROR(SEARCH(search!$B$6,samples!B338,1),0)</f>
        <v>0</v>
      </c>
      <c r="E801" t="str">
        <f>IF(samples!C338=0,"",samples!C338)</f>
        <v/>
      </c>
      <c r="F801">
        <f>IFERROR(SEARCH(search!$B$6,samples!C338,1),0)</f>
        <v>0</v>
      </c>
      <c r="G801" t="str">
        <f>IF(samples!D338=0,"",samples!D338)</f>
        <v/>
      </c>
      <c r="H801">
        <f>IFERROR(SEARCH(search!$B$6,samples!D338,1),0)</f>
        <v>0</v>
      </c>
      <c r="I801" t="str">
        <f>IF(samples!E338=0,"",samples!E338)</f>
        <v/>
      </c>
      <c r="J801">
        <f>IFERROR(SEARCH(search!$B$6,samples!E338,1),0)</f>
        <v>0</v>
      </c>
      <c r="K801" t="str">
        <f>IF(samples!F338=0,"",samples!F338)</f>
        <v/>
      </c>
      <c r="L801">
        <f>IFERROR(SEARCH(search!$B$6,samples!F338,1),0)</f>
        <v>0</v>
      </c>
      <c r="M801" t="str">
        <f>IF(samples!G338=0,"",samples!G338)</f>
        <v/>
      </c>
      <c r="N801">
        <f>IFERROR(SEARCH(search!$B$6,samples!G338,1),0)</f>
        <v>0</v>
      </c>
      <c r="O801" t="str">
        <f>IF(samples!H338=0,"",samples!H338)</f>
        <v/>
      </c>
      <c r="P801">
        <f>IFERROR(SEARCH(search!$B$6,samples!H338,1),0)</f>
        <v>0</v>
      </c>
      <c r="Q801" t="str">
        <f>IF(samples!I338=0,"",samples!I338)</f>
        <v/>
      </c>
      <c r="R801">
        <f>IFERROR(SEARCH(search!$B$6,samples!I338,1),0)</f>
        <v>0</v>
      </c>
      <c r="S801" t="str">
        <f>IF(samples!J338=0,"",samples!J338)</f>
        <v/>
      </c>
      <c r="T801">
        <f>IFERROR(SEARCH(search!$B$6,samples!J338,1),0)</f>
        <v>0</v>
      </c>
      <c r="U801" t="str">
        <f>IF(samples!K338=0,"",samples!K338)</f>
        <v/>
      </c>
      <c r="V801">
        <f>IFERROR(SEARCH(search!$B$6,samples!K338,1),0)</f>
        <v>0</v>
      </c>
      <c r="W801" t="str">
        <f>IF(samples!L338=0,"",samples!L338)</f>
        <v/>
      </c>
      <c r="X801">
        <f>IFERROR(SEARCH(search!$B$6,samples!L338,1),0)</f>
        <v>0</v>
      </c>
      <c r="Y801" t="str">
        <f>IF(samples!M338=0,"",samples!M338)</f>
        <v/>
      </c>
      <c r="Z801">
        <f>IFERROR(SEARCH(search!$B$6,samples!M338,1),0)</f>
        <v>0</v>
      </c>
      <c r="AA801" t="str">
        <f>IF(samples!N338=0,"",samples!N338)</f>
        <v/>
      </c>
      <c r="AB801">
        <f>IFERROR(SEARCH(search!$B$6,samples!N338,1),0)</f>
        <v>0</v>
      </c>
      <c r="AC801" t="str">
        <f>IF(samples!O338=0,"",samples!O338)</f>
        <v/>
      </c>
      <c r="AD801">
        <f>IFERROR(SEARCH(search!$B$6,samples!O338,1),0)</f>
        <v>0</v>
      </c>
    </row>
    <row r="802" spans="1:30">
      <c r="A802">
        <f t="shared" si="12"/>
        <v>0</v>
      </c>
      <c r="B802">
        <f>IF(SUM(D802,F802,H802,J802,L802,N802,P802,R802,T802,V802,X802,Z802,AB802,AD802)&gt;0,SUM($A$2:A802),0)</f>
        <v>0</v>
      </c>
      <c r="C802">
        <f>samples!B339</f>
        <v>0</v>
      </c>
      <c r="D802">
        <f>IFERROR(SEARCH(search!$B$6,samples!B339,1),0)</f>
        <v>0</v>
      </c>
      <c r="E802" t="str">
        <f>IF(samples!C339=0,"",samples!C339)</f>
        <v/>
      </c>
      <c r="F802">
        <f>IFERROR(SEARCH(search!$B$6,samples!C339,1),0)</f>
        <v>0</v>
      </c>
      <c r="G802" t="str">
        <f>IF(samples!D339=0,"",samples!D339)</f>
        <v/>
      </c>
      <c r="H802">
        <f>IFERROR(SEARCH(search!$B$6,samples!D339,1),0)</f>
        <v>0</v>
      </c>
      <c r="I802" t="str">
        <f>IF(samples!E339=0,"",samples!E339)</f>
        <v/>
      </c>
      <c r="J802">
        <f>IFERROR(SEARCH(search!$B$6,samples!E339,1),0)</f>
        <v>0</v>
      </c>
      <c r="K802" t="str">
        <f>IF(samples!F339=0,"",samples!F339)</f>
        <v/>
      </c>
      <c r="L802">
        <f>IFERROR(SEARCH(search!$B$6,samples!F339,1),0)</f>
        <v>0</v>
      </c>
      <c r="M802" t="str">
        <f>IF(samples!G339=0,"",samples!G339)</f>
        <v/>
      </c>
      <c r="N802">
        <f>IFERROR(SEARCH(search!$B$6,samples!G339,1),0)</f>
        <v>0</v>
      </c>
      <c r="O802" t="str">
        <f>IF(samples!H339=0,"",samples!H339)</f>
        <v/>
      </c>
      <c r="P802">
        <f>IFERROR(SEARCH(search!$B$6,samples!H339,1),0)</f>
        <v>0</v>
      </c>
      <c r="Q802" t="str">
        <f>IF(samples!I339=0,"",samples!I339)</f>
        <v/>
      </c>
      <c r="R802">
        <f>IFERROR(SEARCH(search!$B$6,samples!I339,1),0)</f>
        <v>0</v>
      </c>
      <c r="S802" t="str">
        <f>IF(samples!J339=0,"",samples!J339)</f>
        <v/>
      </c>
      <c r="T802">
        <f>IFERROR(SEARCH(search!$B$6,samples!J339,1),0)</f>
        <v>0</v>
      </c>
      <c r="U802" t="str">
        <f>IF(samples!K339=0,"",samples!K339)</f>
        <v/>
      </c>
      <c r="V802">
        <f>IFERROR(SEARCH(search!$B$6,samples!K339,1),0)</f>
        <v>0</v>
      </c>
      <c r="W802" t="str">
        <f>IF(samples!L339=0,"",samples!L339)</f>
        <v/>
      </c>
      <c r="X802">
        <f>IFERROR(SEARCH(search!$B$6,samples!L339,1),0)</f>
        <v>0</v>
      </c>
      <c r="Y802" t="str">
        <f>IF(samples!M339=0,"",samples!M339)</f>
        <v/>
      </c>
      <c r="Z802">
        <f>IFERROR(SEARCH(search!$B$6,samples!M339,1),0)</f>
        <v>0</v>
      </c>
      <c r="AA802" t="str">
        <f>IF(samples!N339=0,"",samples!N339)</f>
        <v/>
      </c>
      <c r="AB802">
        <f>IFERROR(SEARCH(search!$B$6,samples!N339,1),0)</f>
        <v>0</v>
      </c>
      <c r="AC802" t="str">
        <f>IF(samples!O339=0,"",samples!O339)</f>
        <v/>
      </c>
      <c r="AD802">
        <f>IFERROR(SEARCH(search!$B$6,samples!O339,1),0)</f>
        <v>0</v>
      </c>
    </row>
    <row r="803" spans="1:30">
      <c r="A803">
        <f t="shared" si="12"/>
        <v>0</v>
      </c>
      <c r="B803">
        <f>IF(SUM(D803,F803,H803,J803,L803,N803,P803,R803,T803,V803,X803,Z803,AB803,AD803)&gt;0,SUM($A$2:A803),0)</f>
        <v>0</v>
      </c>
      <c r="C803">
        <f>samples!B340</f>
        <v>0</v>
      </c>
      <c r="D803">
        <f>IFERROR(SEARCH(search!$B$6,samples!B340,1),0)</f>
        <v>0</v>
      </c>
      <c r="E803" t="str">
        <f>IF(samples!C340=0,"",samples!C340)</f>
        <v/>
      </c>
      <c r="F803">
        <f>IFERROR(SEARCH(search!$B$6,samples!C340,1),0)</f>
        <v>0</v>
      </c>
      <c r="G803" t="str">
        <f>IF(samples!D340=0,"",samples!D340)</f>
        <v/>
      </c>
      <c r="H803">
        <f>IFERROR(SEARCH(search!$B$6,samples!D340,1),0)</f>
        <v>0</v>
      </c>
      <c r="I803" t="str">
        <f>IF(samples!E340=0,"",samples!E340)</f>
        <v/>
      </c>
      <c r="J803">
        <f>IFERROR(SEARCH(search!$B$6,samples!E340,1),0)</f>
        <v>0</v>
      </c>
      <c r="K803" t="str">
        <f>IF(samples!F340=0,"",samples!F340)</f>
        <v/>
      </c>
      <c r="L803">
        <f>IFERROR(SEARCH(search!$B$6,samples!F340,1),0)</f>
        <v>0</v>
      </c>
      <c r="M803" t="str">
        <f>IF(samples!G340=0,"",samples!G340)</f>
        <v/>
      </c>
      <c r="N803">
        <f>IFERROR(SEARCH(search!$B$6,samples!G340,1),0)</f>
        <v>0</v>
      </c>
      <c r="O803" t="str">
        <f>IF(samples!H340=0,"",samples!H340)</f>
        <v/>
      </c>
      <c r="P803">
        <f>IFERROR(SEARCH(search!$B$6,samples!H340,1),0)</f>
        <v>0</v>
      </c>
      <c r="Q803" t="str">
        <f>IF(samples!I340=0,"",samples!I340)</f>
        <v/>
      </c>
      <c r="R803">
        <f>IFERROR(SEARCH(search!$B$6,samples!I340,1),0)</f>
        <v>0</v>
      </c>
      <c r="S803" t="str">
        <f>IF(samples!J340=0,"",samples!J340)</f>
        <v/>
      </c>
      <c r="T803">
        <f>IFERROR(SEARCH(search!$B$6,samples!J340,1),0)</f>
        <v>0</v>
      </c>
      <c r="U803" t="str">
        <f>IF(samples!K340=0,"",samples!K340)</f>
        <v/>
      </c>
      <c r="V803">
        <f>IFERROR(SEARCH(search!$B$6,samples!K340,1),0)</f>
        <v>0</v>
      </c>
      <c r="W803" t="str">
        <f>IF(samples!L340=0,"",samples!L340)</f>
        <v/>
      </c>
      <c r="X803">
        <f>IFERROR(SEARCH(search!$B$6,samples!L340,1),0)</f>
        <v>0</v>
      </c>
      <c r="Y803" t="str">
        <f>IF(samples!M340=0,"",samples!M340)</f>
        <v/>
      </c>
      <c r="Z803">
        <f>IFERROR(SEARCH(search!$B$6,samples!M340,1),0)</f>
        <v>0</v>
      </c>
      <c r="AA803" t="str">
        <f>IF(samples!N340=0,"",samples!N340)</f>
        <v/>
      </c>
      <c r="AB803">
        <f>IFERROR(SEARCH(search!$B$6,samples!N340,1),0)</f>
        <v>0</v>
      </c>
      <c r="AC803" t="str">
        <f>IF(samples!O340=0,"",samples!O340)</f>
        <v/>
      </c>
      <c r="AD803">
        <f>IFERROR(SEARCH(search!$B$6,samples!O340,1),0)</f>
        <v>0</v>
      </c>
    </row>
    <row r="804" spans="1:30">
      <c r="A804">
        <f t="shared" si="12"/>
        <v>0</v>
      </c>
      <c r="B804">
        <f>IF(SUM(D804,F804,H804,J804,L804,N804,P804,R804,T804,V804,X804,Z804,AB804,AD804)&gt;0,SUM($A$2:A804),0)</f>
        <v>0</v>
      </c>
      <c r="C804">
        <f>samples!B341</f>
        <v>0</v>
      </c>
      <c r="D804">
        <f>IFERROR(SEARCH(search!$B$6,samples!B341,1),0)</f>
        <v>0</v>
      </c>
      <c r="E804" t="str">
        <f>IF(samples!C341=0,"",samples!C341)</f>
        <v/>
      </c>
      <c r="F804">
        <f>IFERROR(SEARCH(search!$B$6,samples!C341,1),0)</f>
        <v>0</v>
      </c>
      <c r="G804" t="str">
        <f>IF(samples!D341=0,"",samples!D341)</f>
        <v/>
      </c>
      <c r="H804">
        <f>IFERROR(SEARCH(search!$B$6,samples!D341,1),0)</f>
        <v>0</v>
      </c>
      <c r="I804" t="str">
        <f>IF(samples!E341=0,"",samples!E341)</f>
        <v/>
      </c>
      <c r="J804">
        <f>IFERROR(SEARCH(search!$B$6,samples!E341,1),0)</f>
        <v>0</v>
      </c>
      <c r="K804" t="str">
        <f>IF(samples!F341=0,"",samples!F341)</f>
        <v/>
      </c>
      <c r="L804">
        <f>IFERROR(SEARCH(search!$B$6,samples!F341,1),0)</f>
        <v>0</v>
      </c>
      <c r="M804" t="str">
        <f>IF(samples!G341=0,"",samples!G341)</f>
        <v/>
      </c>
      <c r="N804">
        <f>IFERROR(SEARCH(search!$B$6,samples!G341,1),0)</f>
        <v>0</v>
      </c>
      <c r="O804" t="str">
        <f>IF(samples!H341=0,"",samples!H341)</f>
        <v/>
      </c>
      <c r="P804">
        <f>IFERROR(SEARCH(search!$B$6,samples!H341,1),0)</f>
        <v>0</v>
      </c>
      <c r="Q804" t="str">
        <f>IF(samples!I341=0,"",samples!I341)</f>
        <v/>
      </c>
      <c r="R804">
        <f>IFERROR(SEARCH(search!$B$6,samples!I341,1),0)</f>
        <v>0</v>
      </c>
      <c r="S804" t="str">
        <f>IF(samples!J341=0,"",samples!J341)</f>
        <v/>
      </c>
      <c r="T804">
        <f>IFERROR(SEARCH(search!$B$6,samples!J341,1),0)</f>
        <v>0</v>
      </c>
      <c r="U804" t="str">
        <f>IF(samples!K341=0,"",samples!K341)</f>
        <v/>
      </c>
      <c r="V804">
        <f>IFERROR(SEARCH(search!$B$6,samples!K341,1),0)</f>
        <v>0</v>
      </c>
      <c r="W804" t="str">
        <f>IF(samples!L341=0,"",samples!L341)</f>
        <v/>
      </c>
      <c r="X804">
        <f>IFERROR(SEARCH(search!$B$6,samples!L341,1),0)</f>
        <v>0</v>
      </c>
      <c r="Y804" t="str">
        <f>IF(samples!M341=0,"",samples!M341)</f>
        <v/>
      </c>
      <c r="Z804">
        <f>IFERROR(SEARCH(search!$B$6,samples!M341,1),0)</f>
        <v>0</v>
      </c>
      <c r="AA804" t="str">
        <f>IF(samples!N341=0,"",samples!N341)</f>
        <v/>
      </c>
      <c r="AB804">
        <f>IFERROR(SEARCH(search!$B$6,samples!N341,1),0)</f>
        <v>0</v>
      </c>
      <c r="AC804" t="str">
        <f>IF(samples!O341=0,"",samples!O341)</f>
        <v/>
      </c>
      <c r="AD804">
        <f>IFERROR(SEARCH(search!$B$6,samples!O341,1),0)</f>
        <v>0</v>
      </c>
    </row>
    <row r="805" spans="1:30">
      <c r="A805">
        <f t="shared" si="12"/>
        <v>0</v>
      </c>
      <c r="B805">
        <f>IF(SUM(D805,F805,H805,J805,L805,N805,P805,R805,T805,V805,X805,Z805,AB805,AD805)&gt;0,SUM($A$2:A805),0)</f>
        <v>0</v>
      </c>
      <c r="C805">
        <f>samples!B342</f>
        <v>0</v>
      </c>
      <c r="D805">
        <f>IFERROR(SEARCH(search!$B$6,samples!B342,1),0)</f>
        <v>0</v>
      </c>
      <c r="E805" t="str">
        <f>IF(samples!C342=0,"",samples!C342)</f>
        <v/>
      </c>
      <c r="F805">
        <f>IFERROR(SEARCH(search!$B$6,samples!C342,1),0)</f>
        <v>0</v>
      </c>
      <c r="G805" t="str">
        <f>IF(samples!D342=0,"",samples!D342)</f>
        <v/>
      </c>
      <c r="H805">
        <f>IFERROR(SEARCH(search!$B$6,samples!D342,1),0)</f>
        <v>0</v>
      </c>
      <c r="I805" t="str">
        <f>IF(samples!E342=0,"",samples!E342)</f>
        <v/>
      </c>
      <c r="J805">
        <f>IFERROR(SEARCH(search!$B$6,samples!E342,1),0)</f>
        <v>0</v>
      </c>
      <c r="K805" t="str">
        <f>IF(samples!F342=0,"",samples!F342)</f>
        <v/>
      </c>
      <c r="L805">
        <f>IFERROR(SEARCH(search!$B$6,samples!F342,1),0)</f>
        <v>0</v>
      </c>
      <c r="M805" t="str">
        <f>IF(samples!G342=0,"",samples!G342)</f>
        <v/>
      </c>
      <c r="N805">
        <f>IFERROR(SEARCH(search!$B$6,samples!G342,1),0)</f>
        <v>0</v>
      </c>
      <c r="O805" t="str">
        <f>IF(samples!H342=0,"",samples!H342)</f>
        <v/>
      </c>
      <c r="P805">
        <f>IFERROR(SEARCH(search!$B$6,samples!H342,1),0)</f>
        <v>0</v>
      </c>
      <c r="Q805" t="str">
        <f>IF(samples!I342=0,"",samples!I342)</f>
        <v/>
      </c>
      <c r="R805">
        <f>IFERROR(SEARCH(search!$B$6,samples!I342,1),0)</f>
        <v>0</v>
      </c>
      <c r="S805" t="str">
        <f>IF(samples!J342=0,"",samples!J342)</f>
        <v/>
      </c>
      <c r="T805">
        <f>IFERROR(SEARCH(search!$B$6,samples!J342,1),0)</f>
        <v>0</v>
      </c>
      <c r="U805" t="str">
        <f>IF(samples!K342=0,"",samples!K342)</f>
        <v/>
      </c>
      <c r="V805">
        <f>IFERROR(SEARCH(search!$B$6,samples!K342,1),0)</f>
        <v>0</v>
      </c>
      <c r="W805" t="str">
        <f>IF(samples!L342=0,"",samples!L342)</f>
        <v/>
      </c>
      <c r="X805">
        <f>IFERROR(SEARCH(search!$B$6,samples!L342,1),0)</f>
        <v>0</v>
      </c>
      <c r="Y805" t="str">
        <f>IF(samples!M342=0,"",samples!M342)</f>
        <v/>
      </c>
      <c r="Z805">
        <f>IFERROR(SEARCH(search!$B$6,samples!M342,1),0)</f>
        <v>0</v>
      </c>
      <c r="AA805" t="str">
        <f>IF(samples!N342=0,"",samples!N342)</f>
        <v/>
      </c>
      <c r="AB805">
        <f>IFERROR(SEARCH(search!$B$6,samples!N342,1),0)</f>
        <v>0</v>
      </c>
      <c r="AC805" t="str">
        <f>IF(samples!O342=0,"",samples!O342)</f>
        <v/>
      </c>
      <c r="AD805">
        <f>IFERROR(SEARCH(search!$B$6,samples!O342,1),0)</f>
        <v>0</v>
      </c>
    </row>
    <row r="806" spans="1:30">
      <c r="A806">
        <f t="shared" si="12"/>
        <v>0</v>
      </c>
      <c r="B806">
        <f>IF(SUM(D806,F806,H806,J806,L806,N806,P806,R806,T806,V806,X806,Z806,AB806,AD806)&gt;0,SUM($A$2:A806),0)</f>
        <v>0</v>
      </c>
      <c r="C806">
        <f>samples!B343</f>
        <v>0</v>
      </c>
      <c r="D806">
        <f>IFERROR(SEARCH(search!$B$6,samples!B343,1),0)</f>
        <v>0</v>
      </c>
      <c r="E806" t="str">
        <f>IF(samples!C343=0,"",samples!C343)</f>
        <v/>
      </c>
      <c r="F806">
        <f>IFERROR(SEARCH(search!$B$6,samples!C343,1),0)</f>
        <v>0</v>
      </c>
      <c r="G806" t="str">
        <f>IF(samples!D343=0,"",samples!D343)</f>
        <v/>
      </c>
      <c r="H806">
        <f>IFERROR(SEARCH(search!$B$6,samples!D343,1),0)</f>
        <v>0</v>
      </c>
      <c r="I806" t="str">
        <f>IF(samples!E343=0,"",samples!E343)</f>
        <v/>
      </c>
      <c r="J806">
        <f>IFERROR(SEARCH(search!$B$6,samples!E343,1),0)</f>
        <v>0</v>
      </c>
      <c r="K806" t="str">
        <f>IF(samples!F343=0,"",samples!F343)</f>
        <v/>
      </c>
      <c r="L806">
        <f>IFERROR(SEARCH(search!$B$6,samples!F343,1),0)</f>
        <v>0</v>
      </c>
      <c r="M806" t="str">
        <f>IF(samples!G343=0,"",samples!G343)</f>
        <v/>
      </c>
      <c r="N806">
        <f>IFERROR(SEARCH(search!$B$6,samples!G343,1),0)</f>
        <v>0</v>
      </c>
      <c r="O806" t="str">
        <f>IF(samples!H343=0,"",samples!H343)</f>
        <v/>
      </c>
      <c r="P806">
        <f>IFERROR(SEARCH(search!$B$6,samples!H343,1),0)</f>
        <v>0</v>
      </c>
      <c r="Q806" t="str">
        <f>IF(samples!I343=0,"",samples!I343)</f>
        <v/>
      </c>
      <c r="R806">
        <f>IFERROR(SEARCH(search!$B$6,samples!I343,1),0)</f>
        <v>0</v>
      </c>
      <c r="S806" t="str">
        <f>IF(samples!J343=0,"",samples!J343)</f>
        <v/>
      </c>
      <c r="T806">
        <f>IFERROR(SEARCH(search!$B$6,samples!J343,1),0)</f>
        <v>0</v>
      </c>
      <c r="U806" t="str">
        <f>IF(samples!K343=0,"",samples!K343)</f>
        <v/>
      </c>
      <c r="V806">
        <f>IFERROR(SEARCH(search!$B$6,samples!K343,1),0)</f>
        <v>0</v>
      </c>
      <c r="W806" t="str">
        <f>IF(samples!L343=0,"",samples!L343)</f>
        <v/>
      </c>
      <c r="X806">
        <f>IFERROR(SEARCH(search!$B$6,samples!L343,1),0)</f>
        <v>0</v>
      </c>
      <c r="Y806" t="str">
        <f>IF(samples!M343=0,"",samples!M343)</f>
        <v/>
      </c>
      <c r="Z806">
        <f>IFERROR(SEARCH(search!$B$6,samples!M343,1),0)</f>
        <v>0</v>
      </c>
      <c r="AA806" t="str">
        <f>IF(samples!N343=0,"",samples!N343)</f>
        <v/>
      </c>
      <c r="AB806">
        <f>IFERROR(SEARCH(search!$B$6,samples!N343,1),0)</f>
        <v>0</v>
      </c>
      <c r="AC806" t="str">
        <f>IF(samples!O343=0,"",samples!O343)</f>
        <v/>
      </c>
      <c r="AD806">
        <f>IFERROR(SEARCH(search!$B$6,samples!O343,1),0)</f>
        <v>0</v>
      </c>
    </row>
    <row r="807" spans="1:30">
      <c r="A807">
        <f t="shared" si="12"/>
        <v>0</v>
      </c>
      <c r="B807">
        <f>IF(SUM(D807,F807,H807,J807,L807,N807,P807,R807,T807,V807,X807,Z807,AB807,AD807)&gt;0,SUM($A$2:A807),0)</f>
        <v>0</v>
      </c>
      <c r="C807">
        <f>samples!B344</f>
        <v>0</v>
      </c>
      <c r="D807">
        <f>IFERROR(SEARCH(search!$B$6,samples!B344,1),0)</f>
        <v>0</v>
      </c>
      <c r="E807" t="str">
        <f>IF(samples!C344=0,"",samples!C344)</f>
        <v/>
      </c>
      <c r="F807">
        <f>IFERROR(SEARCH(search!$B$6,samples!C344,1),0)</f>
        <v>0</v>
      </c>
      <c r="G807" t="str">
        <f>IF(samples!D344=0,"",samples!D344)</f>
        <v/>
      </c>
      <c r="H807">
        <f>IFERROR(SEARCH(search!$B$6,samples!D344,1),0)</f>
        <v>0</v>
      </c>
      <c r="I807" t="str">
        <f>IF(samples!E344=0,"",samples!E344)</f>
        <v/>
      </c>
      <c r="J807">
        <f>IFERROR(SEARCH(search!$B$6,samples!E344,1),0)</f>
        <v>0</v>
      </c>
      <c r="K807" t="str">
        <f>IF(samples!F344=0,"",samples!F344)</f>
        <v/>
      </c>
      <c r="L807">
        <f>IFERROR(SEARCH(search!$B$6,samples!F344,1),0)</f>
        <v>0</v>
      </c>
      <c r="M807" t="str">
        <f>IF(samples!G344=0,"",samples!G344)</f>
        <v/>
      </c>
      <c r="N807">
        <f>IFERROR(SEARCH(search!$B$6,samples!G344,1),0)</f>
        <v>0</v>
      </c>
      <c r="O807" t="str">
        <f>IF(samples!H344=0,"",samples!H344)</f>
        <v/>
      </c>
      <c r="P807">
        <f>IFERROR(SEARCH(search!$B$6,samples!H344,1),0)</f>
        <v>0</v>
      </c>
      <c r="Q807" t="str">
        <f>IF(samples!I344=0,"",samples!I344)</f>
        <v/>
      </c>
      <c r="R807">
        <f>IFERROR(SEARCH(search!$B$6,samples!I344,1),0)</f>
        <v>0</v>
      </c>
      <c r="S807" t="str">
        <f>IF(samples!J344=0,"",samples!J344)</f>
        <v/>
      </c>
      <c r="T807">
        <f>IFERROR(SEARCH(search!$B$6,samples!J344,1),0)</f>
        <v>0</v>
      </c>
      <c r="U807" t="str">
        <f>IF(samples!K344=0,"",samples!K344)</f>
        <v/>
      </c>
      <c r="V807">
        <f>IFERROR(SEARCH(search!$B$6,samples!K344,1),0)</f>
        <v>0</v>
      </c>
      <c r="W807" t="str">
        <f>IF(samples!L344=0,"",samples!L344)</f>
        <v/>
      </c>
      <c r="X807">
        <f>IFERROR(SEARCH(search!$B$6,samples!L344,1),0)</f>
        <v>0</v>
      </c>
      <c r="Y807" t="str">
        <f>IF(samples!M344=0,"",samples!M344)</f>
        <v/>
      </c>
      <c r="Z807">
        <f>IFERROR(SEARCH(search!$B$6,samples!M344,1),0)</f>
        <v>0</v>
      </c>
      <c r="AA807" t="str">
        <f>IF(samples!N344=0,"",samples!N344)</f>
        <v/>
      </c>
      <c r="AB807">
        <f>IFERROR(SEARCH(search!$B$6,samples!N344,1),0)</f>
        <v>0</v>
      </c>
      <c r="AC807" t="str">
        <f>IF(samples!O344=0,"",samples!O344)</f>
        <v/>
      </c>
      <c r="AD807">
        <f>IFERROR(SEARCH(search!$B$6,samples!O344,1),0)</f>
        <v>0</v>
      </c>
    </row>
    <row r="808" spans="1:30">
      <c r="A808">
        <f t="shared" si="12"/>
        <v>0</v>
      </c>
      <c r="B808">
        <f>IF(SUM(D808,F808,H808,J808,L808,N808,P808,R808,T808,V808,X808,Z808,AB808,AD808)&gt;0,SUM($A$2:A808),0)</f>
        <v>0</v>
      </c>
      <c r="C808">
        <f>samples!B345</f>
        <v>0</v>
      </c>
      <c r="D808">
        <f>IFERROR(SEARCH(search!$B$6,samples!B345,1),0)</f>
        <v>0</v>
      </c>
      <c r="E808" t="str">
        <f>IF(samples!C345=0,"",samples!C345)</f>
        <v/>
      </c>
      <c r="F808">
        <f>IFERROR(SEARCH(search!$B$6,samples!C345,1),0)</f>
        <v>0</v>
      </c>
      <c r="G808" t="str">
        <f>IF(samples!D345=0,"",samples!D345)</f>
        <v/>
      </c>
      <c r="H808">
        <f>IFERROR(SEARCH(search!$B$6,samples!D345,1),0)</f>
        <v>0</v>
      </c>
      <c r="I808" t="str">
        <f>IF(samples!E345=0,"",samples!E345)</f>
        <v/>
      </c>
      <c r="J808">
        <f>IFERROR(SEARCH(search!$B$6,samples!E345,1),0)</f>
        <v>0</v>
      </c>
      <c r="K808" t="str">
        <f>IF(samples!F345=0,"",samples!F345)</f>
        <v/>
      </c>
      <c r="L808">
        <f>IFERROR(SEARCH(search!$B$6,samples!F345,1),0)</f>
        <v>0</v>
      </c>
      <c r="M808" t="str">
        <f>IF(samples!G345=0,"",samples!G345)</f>
        <v/>
      </c>
      <c r="N808">
        <f>IFERROR(SEARCH(search!$B$6,samples!G345,1),0)</f>
        <v>0</v>
      </c>
      <c r="O808" t="str">
        <f>IF(samples!H345=0,"",samples!H345)</f>
        <v/>
      </c>
      <c r="P808">
        <f>IFERROR(SEARCH(search!$B$6,samples!H345,1),0)</f>
        <v>0</v>
      </c>
      <c r="Q808" t="str">
        <f>IF(samples!I345=0,"",samples!I345)</f>
        <v/>
      </c>
      <c r="R808">
        <f>IFERROR(SEARCH(search!$B$6,samples!I345,1),0)</f>
        <v>0</v>
      </c>
      <c r="S808" t="str">
        <f>IF(samples!J345=0,"",samples!J345)</f>
        <v/>
      </c>
      <c r="T808">
        <f>IFERROR(SEARCH(search!$B$6,samples!J345,1),0)</f>
        <v>0</v>
      </c>
      <c r="U808" t="str">
        <f>IF(samples!K345=0,"",samples!K345)</f>
        <v/>
      </c>
      <c r="V808">
        <f>IFERROR(SEARCH(search!$B$6,samples!K345,1),0)</f>
        <v>0</v>
      </c>
      <c r="W808" t="str">
        <f>IF(samples!L345=0,"",samples!L345)</f>
        <v/>
      </c>
      <c r="X808">
        <f>IFERROR(SEARCH(search!$B$6,samples!L345,1),0)</f>
        <v>0</v>
      </c>
      <c r="Y808" t="str">
        <f>IF(samples!M345=0,"",samples!M345)</f>
        <v/>
      </c>
      <c r="Z808">
        <f>IFERROR(SEARCH(search!$B$6,samples!M345,1),0)</f>
        <v>0</v>
      </c>
      <c r="AA808" t="str">
        <f>IF(samples!N345=0,"",samples!N345)</f>
        <v/>
      </c>
      <c r="AB808">
        <f>IFERROR(SEARCH(search!$B$6,samples!N345,1),0)</f>
        <v>0</v>
      </c>
      <c r="AC808" t="str">
        <f>IF(samples!O345=0,"",samples!O345)</f>
        <v/>
      </c>
      <c r="AD808">
        <f>IFERROR(SEARCH(search!$B$6,samples!O345,1),0)</f>
        <v>0</v>
      </c>
    </row>
    <row r="809" spans="1:30">
      <c r="A809">
        <f t="shared" si="12"/>
        <v>0</v>
      </c>
      <c r="B809">
        <f>IF(SUM(D809,F809,H809,J809,L809,N809,P809,R809,T809,V809,X809,Z809,AB809,AD809)&gt;0,SUM($A$2:A809),0)</f>
        <v>0</v>
      </c>
      <c r="C809">
        <f>samples!B346</f>
        <v>0</v>
      </c>
      <c r="D809">
        <f>IFERROR(SEARCH(search!$B$6,samples!B346,1),0)</f>
        <v>0</v>
      </c>
      <c r="E809" t="str">
        <f>IF(samples!C346=0,"",samples!C346)</f>
        <v/>
      </c>
      <c r="F809">
        <f>IFERROR(SEARCH(search!$B$6,samples!C346,1),0)</f>
        <v>0</v>
      </c>
      <c r="G809" t="str">
        <f>IF(samples!D346=0,"",samples!D346)</f>
        <v/>
      </c>
      <c r="H809">
        <f>IFERROR(SEARCH(search!$B$6,samples!D346,1),0)</f>
        <v>0</v>
      </c>
      <c r="I809" t="str">
        <f>IF(samples!E346=0,"",samples!E346)</f>
        <v/>
      </c>
      <c r="J809">
        <f>IFERROR(SEARCH(search!$B$6,samples!E346,1),0)</f>
        <v>0</v>
      </c>
      <c r="K809" t="str">
        <f>IF(samples!F346=0,"",samples!F346)</f>
        <v/>
      </c>
      <c r="L809">
        <f>IFERROR(SEARCH(search!$B$6,samples!F346,1),0)</f>
        <v>0</v>
      </c>
      <c r="M809" t="str">
        <f>IF(samples!G346=0,"",samples!G346)</f>
        <v/>
      </c>
      <c r="N809">
        <f>IFERROR(SEARCH(search!$B$6,samples!G346,1),0)</f>
        <v>0</v>
      </c>
      <c r="O809" t="str">
        <f>IF(samples!H346=0,"",samples!H346)</f>
        <v/>
      </c>
      <c r="P809">
        <f>IFERROR(SEARCH(search!$B$6,samples!H346,1),0)</f>
        <v>0</v>
      </c>
      <c r="Q809" t="str">
        <f>IF(samples!I346=0,"",samples!I346)</f>
        <v/>
      </c>
      <c r="R809">
        <f>IFERROR(SEARCH(search!$B$6,samples!I346,1),0)</f>
        <v>0</v>
      </c>
      <c r="S809" t="str">
        <f>IF(samples!J346=0,"",samples!J346)</f>
        <v/>
      </c>
      <c r="T809">
        <f>IFERROR(SEARCH(search!$B$6,samples!J346,1),0)</f>
        <v>0</v>
      </c>
      <c r="U809" t="str">
        <f>IF(samples!K346=0,"",samples!K346)</f>
        <v/>
      </c>
      <c r="V809">
        <f>IFERROR(SEARCH(search!$B$6,samples!K346,1),0)</f>
        <v>0</v>
      </c>
      <c r="W809" t="str">
        <f>IF(samples!L346=0,"",samples!L346)</f>
        <v/>
      </c>
      <c r="X809">
        <f>IFERROR(SEARCH(search!$B$6,samples!L346,1),0)</f>
        <v>0</v>
      </c>
      <c r="Y809" t="str">
        <f>IF(samples!M346=0,"",samples!M346)</f>
        <v/>
      </c>
      <c r="Z809">
        <f>IFERROR(SEARCH(search!$B$6,samples!M346,1),0)</f>
        <v>0</v>
      </c>
      <c r="AA809" t="str">
        <f>IF(samples!N346=0,"",samples!N346)</f>
        <v/>
      </c>
      <c r="AB809">
        <f>IFERROR(SEARCH(search!$B$6,samples!N346,1),0)</f>
        <v>0</v>
      </c>
      <c r="AC809" t="str">
        <f>IF(samples!O346=0,"",samples!O346)</f>
        <v/>
      </c>
      <c r="AD809">
        <f>IFERROR(SEARCH(search!$B$6,samples!O346,1),0)</f>
        <v>0</v>
      </c>
    </row>
    <row r="810" spans="1:30">
      <c r="A810">
        <f t="shared" si="12"/>
        <v>0</v>
      </c>
      <c r="B810">
        <f>IF(SUM(D810,F810,H810,J810,L810,N810,P810,R810,T810,V810,X810,Z810,AB810,AD810)&gt;0,SUM($A$2:A810),0)</f>
        <v>0</v>
      </c>
      <c r="C810">
        <f>samples!B347</f>
        <v>0</v>
      </c>
      <c r="D810">
        <f>IFERROR(SEARCH(search!$B$6,samples!B347,1),0)</f>
        <v>0</v>
      </c>
      <c r="E810" t="str">
        <f>IF(samples!C347=0,"",samples!C347)</f>
        <v/>
      </c>
      <c r="F810">
        <f>IFERROR(SEARCH(search!$B$6,samples!C347,1),0)</f>
        <v>0</v>
      </c>
      <c r="G810" t="str">
        <f>IF(samples!D347=0,"",samples!D347)</f>
        <v/>
      </c>
      <c r="H810">
        <f>IFERROR(SEARCH(search!$B$6,samples!D347,1),0)</f>
        <v>0</v>
      </c>
      <c r="I810" t="str">
        <f>IF(samples!E347=0,"",samples!E347)</f>
        <v/>
      </c>
      <c r="J810">
        <f>IFERROR(SEARCH(search!$B$6,samples!E347,1),0)</f>
        <v>0</v>
      </c>
      <c r="K810" t="str">
        <f>IF(samples!F347=0,"",samples!F347)</f>
        <v/>
      </c>
      <c r="L810">
        <f>IFERROR(SEARCH(search!$B$6,samples!F347,1),0)</f>
        <v>0</v>
      </c>
      <c r="M810" t="str">
        <f>IF(samples!G347=0,"",samples!G347)</f>
        <v/>
      </c>
      <c r="N810">
        <f>IFERROR(SEARCH(search!$B$6,samples!G347,1),0)</f>
        <v>0</v>
      </c>
      <c r="O810" t="str">
        <f>IF(samples!H347=0,"",samples!H347)</f>
        <v/>
      </c>
      <c r="P810">
        <f>IFERROR(SEARCH(search!$B$6,samples!H347,1),0)</f>
        <v>0</v>
      </c>
      <c r="Q810" t="str">
        <f>IF(samples!I347=0,"",samples!I347)</f>
        <v/>
      </c>
      <c r="R810">
        <f>IFERROR(SEARCH(search!$B$6,samples!I347,1),0)</f>
        <v>0</v>
      </c>
      <c r="S810" t="str">
        <f>IF(samples!J347=0,"",samples!J347)</f>
        <v/>
      </c>
      <c r="T810">
        <f>IFERROR(SEARCH(search!$B$6,samples!J347,1),0)</f>
        <v>0</v>
      </c>
      <c r="U810" t="str">
        <f>IF(samples!K347=0,"",samples!K347)</f>
        <v/>
      </c>
      <c r="V810">
        <f>IFERROR(SEARCH(search!$B$6,samples!K347,1),0)</f>
        <v>0</v>
      </c>
      <c r="W810" t="str">
        <f>IF(samples!L347=0,"",samples!L347)</f>
        <v/>
      </c>
      <c r="X810">
        <f>IFERROR(SEARCH(search!$B$6,samples!L347,1),0)</f>
        <v>0</v>
      </c>
      <c r="Y810" t="str">
        <f>IF(samples!M347=0,"",samples!M347)</f>
        <v/>
      </c>
      <c r="Z810">
        <f>IFERROR(SEARCH(search!$B$6,samples!M347,1),0)</f>
        <v>0</v>
      </c>
      <c r="AA810" t="str">
        <f>IF(samples!N347=0,"",samples!N347)</f>
        <v/>
      </c>
      <c r="AB810">
        <f>IFERROR(SEARCH(search!$B$6,samples!N347,1),0)</f>
        <v>0</v>
      </c>
      <c r="AC810" t="str">
        <f>IF(samples!O347=0,"",samples!O347)</f>
        <v/>
      </c>
      <c r="AD810">
        <f>IFERROR(SEARCH(search!$B$6,samples!O347,1),0)</f>
        <v>0</v>
      </c>
    </row>
    <row r="811" spans="1:30">
      <c r="A811">
        <f t="shared" si="12"/>
        <v>0</v>
      </c>
      <c r="B811">
        <f>IF(SUM(D811,F811,H811,J811,L811,N811,P811,R811,T811,V811,X811,Z811,AB811,AD811)&gt;0,SUM($A$2:A811),0)</f>
        <v>0</v>
      </c>
      <c r="C811">
        <f>samples!B348</f>
        <v>0</v>
      </c>
      <c r="D811">
        <f>IFERROR(SEARCH(search!$B$6,samples!B348,1),0)</f>
        <v>0</v>
      </c>
      <c r="E811" t="str">
        <f>IF(samples!C348=0,"",samples!C348)</f>
        <v/>
      </c>
      <c r="F811">
        <f>IFERROR(SEARCH(search!$B$6,samples!C348,1),0)</f>
        <v>0</v>
      </c>
      <c r="G811" t="str">
        <f>IF(samples!D348=0,"",samples!D348)</f>
        <v/>
      </c>
      <c r="H811">
        <f>IFERROR(SEARCH(search!$B$6,samples!D348,1),0)</f>
        <v>0</v>
      </c>
      <c r="I811" t="str">
        <f>IF(samples!E348=0,"",samples!E348)</f>
        <v/>
      </c>
      <c r="J811">
        <f>IFERROR(SEARCH(search!$B$6,samples!E348,1),0)</f>
        <v>0</v>
      </c>
      <c r="K811" t="str">
        <f>IF(samples!F348=0,"",samples!F348)</f>
        <v/>
      </c>
      <c r="L811">
        <f>IFERROR(SEARCH(search!$B$6,samples!F348,1),0)</f>
        <v>0</v>
      </c>
      <c r="M811" t="str">
        <f>IF(samples!G348=0,"",samples!G348)</f>
        <v/>
      </c>
      <c r="N811">
        <f>IFERROR(SEARCH(search!$B$6,samples!G348,1),0)</f>
        <v>0</v>
      </c>
      <c r="O811" t="str">
        <f>IF(samples!H348=0,"",samples!H348)</f>
        <v/>
      </c>
      <c r="P811">
        <f>IFERROR(SEARCH(search!$B$6,samples!H348,1),0)</f>
        <v>0</v>
      </c>
      <c r="Q811" t="str">
        <f>IF(samples!I348=0,"",samples!I348)</f>
        <v/>
      </c>
      <c r="R811">
        <f>IFERROR(SEARCH(search!$B$6,samples!I348,1),0)</f>
        <v>0</v>
      </c>
      <c r="S811" t="str">
        <f>IF(samples!J348=0,"",samples!J348)</f>
        <v/>
      </c>
      <c r="T811">
        <f>IFERROR(SEARCH(search!$B$6,samples!J348,1),0)</f>
        <v>0</v>
      </c>
      <c r="U811" t="str">
        <f>IF(samples!K348=0,"",samples!K348)</f>
        <v/>
      </c>
      <c r="V811">
        <f>IFERROR(SEARCH(search!$B$6,samples!K348,1),0)</f>
        <v>0</v>
      </c>
      <c r="W811" t="str">
        <f>IF(samples!L348=0,"",samples!L348)</f>
        <v/>
      </c>
      <c r="X811">
        <f>IFERROR(SEARCH(search!$B$6,samples!L348,1),0)</f>
        <v>0</v>
      </c>
      <c r="Y811" t="str">
        <f>IF(samples!M348=0,"",samples!M348)</f>
        <v/>
      </c>
      <c r="Z811">
        <f>IFERROR(SEARCH(search!$B$6,samples!M348,1),0)</f>
        <v>0</v>
      </c>
      <c r="AA811" t="str">
        <f>IF(samples!N348=0,"",samples!N348)</f>
        <v/>
      </c>
      <c r="AB811">
        <f>IFERROR(SEARCH(search!$B$6,samples!N348,1),0)</f>
        <v>0</v>
      </c>
      <c r="AC811" t="str">
        <f>IF(samples!O348=0,"",samples!O348)</f>
        <v/>
      </c>
      <c r="AD811">
        <f>IFERROR(SEARCH(search!$B$6,samples!O348,1),0)</f>
        <v>0</v>
      </c>
    </row>
    <row r="812" spans="1:30">
      <c r="A812">
        <f t="shared" si="12"/>
        <v>0</v>
      </c>
      <c r="B812">
        <f>IF(SUM(D812,F812,H812,J812,L812,N812,P812,R812,T812,V812,X812,Z812,AB812,AD812)&gt;0,SUM($A$2:A812),0)</f>
        <v>0</v>
      </c>
      <c r="C812">
        <f>samples!B349</f>
        <v>0</v>
      </c>
      <c r="D812">
        <f>IFERROR(SEARCH(search!$B$6,samples!B349,1),0)</f>
        <v>0</v>
      </c>
      <c r="E812" t="str">
        <f>IF(samples!C349=0,"",samples!C349)</f>
        <v/>
      </c>
      <c r="F812">
        <f>IFERROR(SEARCH(search!$B$6,samples!C349,1),0)</f>
        <v>0</v>
      </c>
      <c r="G812" t="str">
        <f>IF(samples!D349=0,"",samples!D349)</f>
        <v/>
      </c>
      <c r="H812">
        <f>IFERROR(SEARCH(search!$B$6,samples!D349,1),0)</f>
        <v>0</v>
      </c>
      <c r="I812" t="str">
        <f>IF(samples!E349=0,"",samples!E349)</f>
        <v/>
      </c>
      <c r="J812">
        <f>IFERROR(SEARCH(search!$B$6,samples!E349,1),0)</f>
        <v>0</v>
      </c>
      <c r="K812" t="str">
        <f>IF(samples!F349=0,"",samples!F349)</f>
        <v/>
      </c>
      <c r="L812">
        <f>IFERROR(SEARCH(search!$B$6,samples!F349,1),0)</f>
        <v>0</v>
      </c>
      <c r="M812" t="str">
        <f>IF(samples!G349=0,"",samples!G349)</f>
        <v/>
      </c>
      <c r="N812">
        <f>IFERROR(SEARCH(search!$B$6,samples!G349,1),0)</f>
        <v>0</v>
      </c>
      <c r="O812" t="str">
        <f>IF(samples!H349=0,"",samples!H349)</f>
        <v/>
      </c>
      <c r="P812">
        <f>IFERROR(SEARCH(search!$B$6,samples!H349,1),0)</f>
        <v>0</v>
      </c>
      <c r="Q812" t="str">
        <f>IF(samples!I349=0,"",samples!I349)</f>
        <v/>
      </c>
      <c r="R812">
        <f>IFERROR(SEARCH(search!$B$6,samples!I349,1),0)</f>
        <v>0</v>
      </c>
      <c r="S812" t="str">
        <f>IF(samples!J349=0,"",samples!J349)</f>
        <v/>
      </c>
      <c r="T812">
        <f>IFERROR(SEARCH(search!$B$6,samples!J349,1),0)</f>
        <v>0</v>
      </c>
      <c r="U812" t="str">
        <f>IF(samples!K349=0,"",samples!K349)</f>
        <v/>
      </c>
      <c r="V812">
        <f>IFERROR(SEARCH(search!$B$6,samples!K349,1),0)</f>
        <v>0</v>
      </c>
      <c r="W812" t="str">
        <f>IF(samples!L349=0,"",samples!L349)</f>
        <v/>
      </c>
      <c r="X812">
        <f>IFERROR(SEARCH(search!$B$6,samples!L349,1),0)</f>
        <v>0</v>
      </c>
      <c r="Y812" t="str">
        <f>IF(samples!M349=0,"",samples!M349)</f>
        <v/>
      </c>
      <c r="Z812">
        <f>IFERROR(SEARCH(search!$B$6,samples!M349,1),0)</f>
        <v>0</v>
      </c>
      <c r="AA812" t="str">
        <f>IF(samples!N349=0,"",samples!N349)</f>
        <v/>
      </c>
      <c r="AB812">
        <f>IFERROR(SEARCH(search!$B$6,samples!N349,1),0)</f>
        <v>0</v>
      </c>
      <c r="AC812" t="str">
        <f>IF(samples!O349=0,"",samples!O349)</f>
        <v/>
      </c>
      <c r="AD812">
        <f>IFERROR(SEARCH(search!$B$6,samples!O349,1),0)</f>
        <v>0</v>
      </c>
    </row>
    <row r="813" spans="1:30">
      <c r="A813">
        <f t="shared" si="12"/>
        <v>0</v>
      </c>
      <c r="B813">
        <f>IF(SUM(D813,F813,H813,J813,L813,N813,P813,R813,T813,V813,X813,Z813,AB813,AD813)&gt;0,SUM($A$2:A813),0)</f>
        <v>0</v>
      </c>
      <c r="C813">
        <f>samples!B350</f>
        <v>0</v>
      </c>
      <c r="D813">
        <f>IFERROR(SEARCH(search!$B$6,samples!B350,1),0)</f>
        <v>0</v>
      </c>
      <c r="E813" t="str">
        <f>IF(samples!C350=0,"",samples!C350)</f>
        <v/>
      </c>
      <c r="F813">
        <f>IFERROR(SEARCH(search!$B$6,samples!C350,1),0)</f>
        <v>0</v>
      </c>
      <c r="G813" t="str">
        <f>IF(samples!D350=0,"",samples!D350)</f>
        <v/>
      </c>
      <c r="H813">
        <f>IFERROR(SEARCH(search!$B$6,samples!D350,1),0)</f>
        <v>0</v>
      </c>
      <c r="I813" t="str">
        <f>IF(samples!E350=0,"",samples!E350)</f>
        <v/>
      </c>
      <c r="J813">
        <f>IFERROR(SEARCH(search!$B$6,samples!E350,1),0)</f>
        <v>0</v>
      </c>
      <c r="K813" t="str">
        <f>IF(samples!F350=0,"",samples!F350)</f>
        <v/>
      </c>
      <c r="L813">
        <f>IFERROR(SEARCH(search!$B$6,samples!F350,1),0)</f>
        <v>0</v>
      </c>
      <c r="M813" t="str">
        <f>IF(samples!G350=0,"",samples!G350)</f>
        <v/>
      </c>
      <c r="N813">
        <f>IFERROR(SEARCH(search!$B$6,samples!G350,1),0)</f>
        <v>0</v>
      </c>
      <c r="O813" t="str">
        <f>IF(samples!H350=0,"",samples!H350)</f>
        <v/>
      </c>
      <c r="P813">
        <f>IFERROR(SEARCH(search!$B$6,samples!H350,1),0)</f>
        <v>0</v>
      </c>
      <c r="Q813" t="str">
        <f>IF(samples!I350=0,"",samples!I350)</f>
        <v/>
      </c>
      <c r="R813">
        <f>IFERROR(SEARCH(search!$B$6,samples!I350,1),0)</f>
        <v>0</v>
      </c>
      <c r="S813" t="str">
        <f>IF(samples!J350=0,"",samples!J350)</f>
        <v/>
      </c>
      <c r="T813">
        <f>IFERROR(SEARCH(search!$B$6,samples!J350,1),0)</f>
        <v>0</v>
      </c>
      <c r="U813" t="str">
        <f>IF(samples!K350=0,"",samples!K350)</f>
        <v/>
      </c>
      <c r="V813">
        <f>IFERROR(SEARCH(search!$B$6,samples!K350,1),0)</f>
        <v>0</v>
      </c>
      <c r="W813" t="str">
        <f>IF(samples!L350=0,"",samples!L350)</f>
        <v/>
      </c>
      <c r="X813">
        <f>IFERROR(SEARCH(search!$B$6,samples!L350,1),0)</f>
        <v>0</v>
      </c>
      <c r="Y813" t="str">
        <f>IF(samples!M350=0,"",samples!M350)</f>
        <v/>
      </c>
      <c r="Z813">
        <f>IFERROR(SEARCH(search!$B$6,samples!M350,1),0)</f>
        <v>0</v>
      </c>
      <c r="AA813" t="str">
        <f>IF(samples!N350=0,"",samples!N350)</f>
        <v/>
      </c>
      <c r="AB813">
        <f>IFERROR(SEARCH(search!$B$6,samples!N350,1),0)</f>
        <v>0</v>
      </c>
      <c r="AC813" t="str">
        <f>IF(samples!O350=0,"",samples!O350)</f>
        <v/>
      </c>
      <c r="AD813">
        <f>IFERROR(SEARCH(search!$B$6,samples!O350,1),0)</f>
        <v>0</v>
      </c>
    </row>
    <row r="814" spans="1:30">
      <c r="A814">
        <f t="shared" si="12"/>
        <v>0</v>
      </c>
      <c r="B814">
        <f>IF(SUM(D814,F814,H814,J814,L814,N814,P814,R814,T814,V814,X814,Z814,AB814,AD814)&gt;0,SUM($A$2:A814),0)</f>
        <v>0</v>
      </c>
      <c r="C814">
        <f>samples!B351</f>
        <v>0</v>
      </c>
      <c r="D814">
        <f>IFERROR(SEARCH(search!$B$6,samples!B351,1),0)</f>
        <v>0</v>
      </c>
      <c r="E814" t="str">
        <f>IF(samples!C351=0,"",samples!C351)</f>
        <v/>
      </c>
      <c r="F814">
        <f>IFERROR(SEARCH(search!$B$6,samples!C351,1),0)</f>
        <v>0</v>
      </c>
      <c r="G814" t="str">
        <f>IF(samples!D351=0,"",samples!D351)</f>
        <v/>
      </c>
      <c r="H814">
        <f>IFERROR(SEARCH(search!$B$6,samples!D351,1),0)</f>
        <v>0</v>
      </c>
      <c r="I814" t="str">
        <f>IF(samples!E351=0,"",samples!E351)</f>
        <v/>
      </c>
      <c r="J814">
        <f>IFERROR(SEARCH(search!$B$6,samples!E351,1),0)</f>
        <v>0</v>
      </c>
      <c r="K814" t="str">
        <f>IF(samples!F351=0,"",samples!F351)</f>
        <v/>
      </c>
      <c r="L814">
        <f>IFERROR(SEARCH(search!$B$6,samples!F351,1),0)</f>
        <v>0</v>
      </c>
      <c r="M814" t="str">
        <f>IF(samples!G351=0,"",samples!G351)</f>
        <v/>
      </c>
      <c r="N814">
        <f>IFERROR(SEARCH(search!$B$6,samples!G351,1),0)</f>
        <v>0</v>
      </c>
      <c r="O814" t="str">
        <f>IF(samples!H351=0,"",samples!H351)</f>
        <v/>
      </c>
      <c r="P814">
        <f>IFERROR(SEARCH(search!$B$6,samples!H351,1),0)</f>
        <v>0</v>
      </c>
      <c r="Q814" t="str">
        <f>IF(samples!I351=0,"",samples!I351)</f>
        <v/>
      </c>
      <c r="R814">
        <f>IFERROR(SEARCH(search!$B$6,samples!I351,1),0)</f>
        <v>0</v>
      </c>
      <c r="S814" t="str">
        <f>IF(samples!J351=0,"",samples!J351)</f>
        <v/>
      </c>
      <c r="T814">
        <f>IFERROR(SEARCH(search!$B$6,samples!J351,1),0)</f>
        <v>0</v>
      </c>
      <c r="U814" t="str">
        <f>IF(samples!K351=0,"",samples!K351)</f>
        <v/>
      </c>
      <c r="V814">
        <f>IFERROR(SEARCH(search!$B$6,samples!K351,1),0)</f>
        <v>0</v>
      </c>
      <c r="W814" t="str">
        <f>IF(samples!L351=0,"",samples!L351)</f>
        <v/>
      </c>
      <c r="X814">
        <f>IFERROR(SEARCH(search!$B$6,samples!L351,1),0)</f>
        <v>0</v>
      </c>
      <c r="Y814" t="str">
        <f>IF(samples!M351=0,"",samples!M351)</f>
        <v/>
      </c>
      <c r="Z814">
        <f>IFERROR(SEARCH(search!$B$6,samples!M351,1),0)</f>
        <v>0</v>
      </c>
      <c r="AA814" t="str">
        <f>IF(samples!N351=0,"",samples!N351)</f>
        <v/>
      </c>
      <c r="AB814">
        <f>IFERROR(SEARCH(search!$B$6,samples!N351,1),0)</f>
        <v>0</v>
      </c>
      <c r="AC814" t="str">
        <f>IF(samples!O351=0,"",samples!O351)</f>
        <v/>
      </c>
      <c r="AD814">
        <f>IFERROR(SEARCH(search!$B$6,samples!O351,1),0)</f>
        <v>0</v>
      </c>
    </row>
    <row r="815" spans="1:30">
      <c r="A815">
        <f t="shared" si="12"/>
        <v>0</v>
      </c>
      <c r="B815">
        <f>IF(SUM(D815,F815,H815,J815,L815,N815,P815,R815,T815,V815,X815,Z815,AB815,AD815)&gt;0,SUM($A$2:A815),0)</f>
        <v>0</v>
      </c>
      <c r="C815">
        <f>samples!B352</f>
        <v>0</v>
      </c>
      <c r="D815">
        <f>IFERROR(SEARCH(search!$B$6,samples!B352,1),0)</f>
        <v>0</v>
      </c>
      <c r="E815" t="str">
        <f>IF(samples!C352=0,"",samples!C352)</f>
        <v/>
      </c>
      <c r="F815">
        <f>IFERROR(SEARCH(search!$B$6,samples!C352,1),0)</f>
        <v>0</v>
      </c>
      <c r="G815" t="str">
        <f>IF(samples!D352=0,"",samples!D352)</f>
        <v/>
      </c>
      <c r="H815">
        <f>IFERROR(SEARCH(search!$B$6,samples!D352,1),0)</f>
        <v>0</v>
      </c>
      <c r="I815" t="str">
        <f>IF(samples!E352=0,"",samples!E352)</f>
        <v/>
      </c>
      <c r="J815">
        <f>IFERROR(SEARCH(search!$B$6,samples!E352,1),0)</f>
        <v>0</v>
      </c>
      <c r="K815" t="str">
        <f>IF(samples!F352=0,"",samples!F352)</f>
        <v/>
      </c>
      <c r="L815">
        <f>IFERROR(SEARCH(search!$B$6,samples!F352,1),0)</f>
        <v>0</v>
      </c>
      <c r="M815" t="str">
        <f>IF(samples!G352=0,"",samples!G352)</f>
        <v/>
      </c>
      <c r="N815">
        <f>IFERROR(SEARCH(search!$B$6,samples!G352,1),0)</f>
        <v>0</v>
      </c>
      <c r="O815" t="str">
        <f>IF(samples!H352=0,"",samples!H352)</f>
        <v/>
      </c>
      <c r="P815">
        <f>IFERROR(SEARCH(search!$B$6,samples!H352,1),0)</f>
        <v>0</v>
      </c>
      <c r="Q815" t="str">
        <f>IF(samples!I352=0,"",samples!I352)</f>
        <v/>
      </c>
      <c r="R815">
        <f>IFERROR(SEARCH(search!$B$6,samples!I352,1),0)</f>
        <v>0</v>
      </c>
      <c r="S815" t="str">
        <f>IF(samples!J352=0,"",samples!J352)</f>
        <v/>
      </c>
      <c r="T815">
        <f>IFERROR(SEARCH(search!$B$6,samples!J352,1),0)</f>
        <v>0</v>
      </c>
      <c r="U815" t="str">
        <f>IF(samples!K352=0,"",samples!K352)</f>
        <v/>
      </c>
      <c r="V815">
        <f>IFERROR(SEARCH(search!$B$6,samples!K352,1),0)</f>
        <v>0</v>
      </c>
      <c r="W815" t="str">
        <f>IF(samples!L352=0,"",samples!L352)</f>
        <v/>
      </c>
      <c r="X815">
        <f>IFERROR(SEARCH(search!$B$6,samples!L352,1),0)</f>
        <v>0</v>
      </c>
      <c r="Y815" t="str">
        <f>IF(samples!M352=0,"",samples!M352)</f>
        <v/>
      </c>
      <c r="Z815">
        <f>IFERROR(SEARCH(search!$B$6,samples!M352,1),0)</f>
        <v>0</v>
      </c>
      <c r="AA815" t="str">
        <f>IF(samples!N352=0,"",samples!N352)</f>
        <v/>
      </c>
      <c r="AB815">
        <f>IFERROR(SEARCH(search!$B$6,samples!N352,1),0)</f>
        <v>0</v>
      </c>
      <c r="AC815" t="str">
        <f>IF(samples!O352=0,"",samples!O352)</f>
        <v/>
      </c>
      <c r="AD815">
        <f>IFERROR(SEARCH(search!$B$6,samples!O352,1),0)</f>
        <v>0</v>
      </c>
    </row>
    <row r="816" spans="1:30">
      <c r="A816">
        <f t="shared" si="12"/>
        <v>0</v>
      </c>
      <c r="B816">
        <f>IF(SUM(D816,F816,H816,J816,L816,N816,P816,R816,T816,V816,X816,Z816,AB816,AD816)&gt;0,SUM($A$2:A816),0)</f>
        <v>0</v>
      </c>
      <c r="C816">
        <f>samples!B353</f>
        <v>0</v>
      </c>
      <c r="D816">
        <f>IFERROR(SEARCH(search!$B$6,samples!B353,1),0)</f>
        <v>0</v>
      </c>
      <c r="E816" t="str">
        <f>IF(samples!C353=0,"",samples!C353)</f>
        <v/>
      </c>
      <c r="F816">
        <f>IFERROR(SEARCH(search!$B$6,samples!C353,1),0)</f>
        <v>0</v>
      </c>
      <c r="G816" t="str">
        <f>IF(samples!D353=0,"",samples!D353)</f>
        <v/>
      </c>
      <c r="H816">
        <f>IFERROR(SEARCH(search!$B$6,samples!D353,1),0)</f>
        <v>0</v>
      </c>
      <c r="I816" t="str">
        <f>IF(samples!E353=0,"",samples!E353)</f>
        <v/>
      </c>
      <c r="J816">
        <f>IFERROR(SEARCH(search!$B$6,samples!E353,1),0)</f>
        <v>0</v>
      </c>
      <c r="K816" t="str">
        <f>IF(samples!F353=0,"",samples!F353)</f>
        <v/>
      </c>
      <c r="L816">
        <f>IFERROR(SEARCH(search!$B$6,samples!F353,1),0)</f>
        <v>0</v>
      </c>
      <c r="M816" t="str">
        <f>IF(samples!G353=0,"",samples!G353)</f>
        <v/>
      </c>
      <c r="N816">
        <f>IFERROR(SEARCH(search!$B$6,samples!G353,1),0)</f>
        <v>0</v>
      </c>
      <c r="O816" t="str">
        <f>IF(samples!H353=0,"",samples!H353)</f>
        <v/>
      </c>
      <c r="P816">
        <f>IFERROR(SEARCH(search!$B$6,samples!H353,1),0)</f>
        <v>0</v>
      </c>
      <c r="Q816" t="str">
        <f>IF(samples!I353=0,"",samples!I353)</f>
        <v/>
      </c>
      <c r="R816">
        <f>IFERROR(SEARCH(search!$B$6,samples!I353,1),0)</f>
        <v>0</v>
      </c>
      <c r="S816" t="str">
        <f>IF(samples!J353=0,"",samples!J353)</f>
        <v/>
      </c>
      <c r="T816">
        <f>IFERROR(SEARCH(search!$B$6,samples!J353,1),0)</f>
        <v>0</v>
      </c>
      <c r="U816" t="str">
        <f>IF(samples!K353=0,"",samples!K353)</f>
        <v/>
      </c>
      <c r="V816">
        <f>IFERROR(SEARCH(search!$B$6,samples!K353,1),0)</f>
        <v>0</v>
      </c>
      <c r="W816" t="str">
        <f>IF(samples!L353=0,"",samples!L353)</f>
        <v/>
      </c>
      <c r="X816">
        <f>IFERROR(SEARCH(search!$B$6,samples!L353,1),0)</f>
        <v>0</v>
      </c>
      <c r="Y816" t="str">
        <f>IF(samples!M353=0,"",samples!M353)</f>
        <v/>
      </c>
      <c r="Z816">
        <f>IFERROR(SEARCH(search!$B$6,samples!M353,1),0)</f>
        <v>0</v>
      </c>
      <c r="AA816" t="str">
        <f>IF(samples!N353=0,"",samples!N353)</f>
        <v/>
      </c>
      <c r="AB816">
        <f>IFERROR(SEARCH(search!$B$6,samples!N353,1),0)</f>
        <v>0</v>
      </c>
      <c r="AC816" t="str">
        <f>IF(samples!O353=0,"",samples!O353)</f>
        <v/>
      </c>
      <c r="AD816">
        <f>IFERROR(SEARCH(search!$B$6,samples!O353,1),0)</f>
        <v>0</v>
      </c>
    </row>
    <row r="817" spans="1:30">
      <c r="A817">
        <f t="shared" si="12"/>
        <v>0</v>
      </c>
      <c r="B817">
        <f>IF(SUM(D817,F817,H817,J817,L817,N817,P817,R817,T817,V817,X817,Z817,AB817,AD817)&gt;0,SUM($A$2:A817),0)</f>
        <v>0</v>
      </c>
      <c r="C817">
        <f>samples!B354</f>
        <v>0</v>
      </c>
      <c r="D817">
        <f>IFERROR(SEARCH(search!$B$6,samples!B354,1),0)</f>
        <v>0</v>
      </c>
      <c r="E817" t="str">
        <f>IF(samples!C354=0,"",samples!C354)</f>
        <v/>
      </c>
      <c r="F817">
        <f>IFERROR(SEARCH(search!$B$6,samples!C354,1),0)</f>
        <v>0</v>
      </c>
      <c r="G817" t="str">
        <f>IF(samples!D354=0,"",samples!D354)</f>
        <v/>
      </c>
      <c r="H817">
        <f>IFERROR(SEARCH(search!$B$6,samples!D354,1),0)</f>
        <v>0</v>
      </c>
      <c r="I817" t="str">
        <f>IF(samples!E354=0,"",samples!E354)</f>
        <v/>
      </c>
      <c r="J817">
        <f>IFERROR(SEARCH(search!$B$6,samples!E354,1),0)</f>
        <v>0</v>
      </c>
      <c r="K817" t="str">
        <f>IF(samples!F354=0,"",samples!F354)</f>
        <v/>
      </c>
      <c r="L817">
        <f>IFERROR(SEARCH(search!$B$6,samples!F354,1),0)</f>
        <v>0</v>
      </c>
      <c r="M817" t="str">
        <f>IF(samples!G354=0,"",samples!G354)</f>
        <v/>
      </c>
      <c r="N817">
        <f>IFERROR(SEARCH(search!$B$6,samples!G354,1),0)</f>
        <v>0</v>
      </c>
      <c r="O817" t="str">
        <f>IF(samples!H354=0,"",samples!H354)</f>
        <v/>
      </c>
      <c r="P817">
        <f>IFERROR(SEARCH(search!$B$6,samples!H354,1),0)</f>
        <v>0</v>
      </c>
      <c r="Q817" t="str">
        <f>IF(samples!I354=0,"",samples!I354)</f>
        <v/>
      </c>
      <c r="R817">
        <f>IFERROR(SEARCH(search!$B$6,samples!I354,1),0)</f>
        <v>0</v>
      </c>
      <c r="S817" t="str">
        <f>IF(samples!J354=0,"",samples!J354)</f>
        <v/>
      </c>
      <c r="T817">
        <f>IFERROR(SEARCH(search!$B$6,samples!J354,1),0)</f>
        <v>0</v>
      </c>
      <c r="U817" t="str">
        <f>IF(samples!K354=0,"",samples!K354)</f>
        <v/>
      </c>
      <c r="V817">
        <f>IFERROR(SEARCH(search!$B$6,samples!K354,1),0)</f>
        <v>0</v>
      </c>
      <c r="W817" t="str">
        <f>IF(samples!L354=0,"",samples!L354)</f>
        <v/>
      </c>
      <c r="X817">
        <f>IFERROR(SEARCH(search!$B$6,samples!L354,1),0)</f>
        <v>0</v>
      </c>
      <c r="Y817" t="str">
        <f>IF(samples!M354=0,"",samples!M354)</f>
        <v/>
      </c>
      <c r="Z817">
        <f>IFERROR(SEARCH(search!$B$6,samples!M354,1),0)</f>
        <v>0</v>
      </c>
      <c r="AA817" t="str">
        <f>IF(samples!N354=0,"",samples!N354)</f>
        <v/>
      </c>
      <c r="AB817">
        <f>IFERROR(SEARCH(search!$B$6,samples!N354,1),0)</f>
        <v>0</v>
      </c>
      <c r="AC817" t="str">
        <f>IF(samples!O354=0,"",samples!O354)</f>
        <v/>
      </c>
      <c r="AD817">
        <f>IFERROR(SEARCH(search!$B$6,samples!O354,1),0)</f>
        <v>0</v>
      </c>
    </row>
    <row r="818" spans="1:30">
      <c r="A818">
        <f t="shared" si="12"/>
        <v>0</v>
      </c>
      <c r="B818">
        <f>IF(SUM(D818,F818,H818,J818,L818,N818,P818,R818,T818,V818,X818,Z818,AB818,AD818)&gt;0,SUM($A$2:A818),0)</f>
        <v>0</v>
      </c>
      <c r="C818">
        <f>samples!B355</f>
        <v>0</v>
      </c>
      <c r="D818">
        <f>IFERROR(SEARCH(search!$B$6,samples!B355,1),0)</f>
        <v>0</v>
      </c>
      <c r="E818" t="str">
        <f>IF(samples!C355=0,"",samples!C355)</f>
        <v/>
      </c>
      <c r="F818">
        <f>IFERROR(SEARCH(search!$B$6,samples!C355,1),0)</f>
        <v>0</v>
      </c>
      <c r="G818" t="str">
        <f>IF(samples!D355=0,"",samples!D355)</f>
        <v/>
      </c>
      <c r="H818">
        <f>IFERROR(SEARCH(search!$B$6,samples!D355,1),0)</f>
        <v>0</v>
      </c>
      <c r="I818" t="str">
        <f>IF(samples!E355=0,"",samples!E355)</f>
        <v/>
      </c>
      <c r="J818">
        <f>IFERROR(SEARCH(search!$B$6,samples!E355,1),0)</f>
        <v>0</v>
      </c>
      <c r="K818" t="str">
        <f>IF(samples!F355=0,"",samples!F355)</f>
        <v/>
      </c>
      <c r="L818">
        <f>IFERROR(SEARCH(search!$B$6,samples!F355,1),0)</f>
        <v>0</v>
      </c>
      <c r="M818" t="str">
        <f>IF(samples!G355=0,"",samples!G355)</f>
        <v/>
      </c>
      <c r="N818">
        <f>IFERROR(SEARCH(search!$B$6,samples!G355,1),0)</f>
        <v>0</v>
      </c>
      <c r="O818" t="str">
        <f>IF(samples!H355=0,"",samples!H355)</f>
        <v/>
      </c>
      <c r="P818">
        <f>IFERROR(SEARCH(search!$B$6,samples!H355,1),0)</f>
        <v>0</v>
      </c>
      <c r="Q818" t="str">
        <f>IF(samples!I355=0,"",samples!I355)</f>
        <v/>
      </c>
      <c r="R818">
        <f>IFERROR(SEARCH(search!$B$6,samples!I355,1),0)</f>
        <v>0</v>
      </c>
      <c r="S818" t="str">
        <f>IF(samples!J355=0,"",samples!J355)</f>
        <v/>
      </c>
      <c r="T818">
        <f>IFERROR(SEARCH(search!$B$6,samples!J355,1),0)</f>
        <v>0</v>
      </c>
      <c r="U818" t="str">
        <f>IF(samples!K355=0,"",samples!K355)</f>
        <v/>
      </c>
      <c r="V818">
        <f>IFERROR(SEARCH(search!$B$6,samples!K355,1),0)</f>
        <v>0</v>
      </c>
      <c r="W818" t="str">
        <f>IF(samples!L355=0,"",samples!L355)</f>
        <v/>
      </c>
      <c r="X818">
        <f>IFERROR(SEARCH(search!$B$6,samples!L355,1),0)</f>
        <v>0</v>
      </c>
      <c r="Y818" t="str">
        <f>IF(samples!M355=0,"",samples!M355)</f>
        <v/>
      </c>
      <c r="Z818">
        <f>IFERROR(SEARCH(search!$B$6,samples!M355,1),0)</f>
        <v>0</v>
      </c>
      <c r="AA818" t="str">
        <f>IF(samples!N355=0,"",samples!N355)</f>
        <v/>
      </c>
      <c r="AB818">
        <f>IFERROR(SEARCH(search!$B$6,samples!N355,1),0)</f>
        <v>0</v>
      </c>
      <c r="AC818" t="str">
        <f>IF(samples!O355=0,"",samples!O355)</f>
        <v/>
      </c>
      <c r="AD818">
        <f>IFERROR(SEARCH(search!$B$6,samples!O355,1),0)</f>
        <v>0</v>
      </c>
    </row>
    <row r="819" spans="1:30">
      <c r="A819">
        <f t="shared" si="12"/>
        <v>0</v>
      </c>
      <c r="B819">
        <f>IF(SUM(D819,F819,H819,J819,L819,N819,P819,R819,T819,V819,X819,Z819,AB819,AD819)&gt;0,SUM($A$2:A819),0)</f>
        <v>0</v>
      </c>
      <c r="C819">
        <f>samples!B356</f>
        <v>0</v>
      </c>
      <c r="D819">
        <f>IFERROR(SEARCH(search!$B$6,samples!B356,1),0)</f>
        <v>0</v>
      </c>
      <c r="E819" t="str">
        <f>IF(samples!C356=0,"",samples!C356)</f>
        <v/>
      </c>
      <c r="F819">
        <f>IFERROR(SEARCH(search!$B$6,samples!C356,1),0)</f>
        <v>0</v>
      </c>
      <c r="G819" t="str">
        <f>IF(samples!D356=0,"",samples!D356)</f>
        <v/>
      </c>
      <c r="H819">
        <f>IFERROR(SEARCH(search!$B$6,samples!D356,1),0)</f>
        <v>0</v>
      </c>
      <c r="I819" t="str">
        <f>IF(samples!E356=0,"",samples!E356)</f>
        <v/>
      </c>
      <c r="J819">
        <f>IFERROR(SEARCH(search!$B$6,samples!E356,1),0)</f>
        <v>0</v>
      </c>
      <c r="K819" t="str">
        <f>IF(samples!F356=0,"",samples!F356)</f>
        <v/>
      </c>
      <c r="L819">
        <f>IFERROR(SEARCH(search!$B$6,samples!F356,1),0)</f>
        <v>0</v>
      </c>
      <c r="M819" t="str">
        <f>IF(samples!G356=0,"",samples!G356)</f>
        <v/>
      </c>
      <c r="N819">
        <f>IFERROR(SEARCH(search!$B$6,samples!G356,1),0)</f>
        <v>0</v>
      </c>
      <c r="O819" t="str">
        <f>IF(samples!H356=0,"",samples!H356)</f>
        <v/>
      </c>
      <c r="P819">
        <f>IFERROR(SEARCH(search!$B$6,samples!H356,1),0)</f>
        <v>0</v>
      </c>
      <c r="Q819" t="str">
        <f>IF(samples!I356=0,"",samples!I356)</f>
        <v/>
      </c>
      <c r="R819">
        <f>IFERROR(SEARCH(search!$B$6,samples!I356,1),0)</f>
        <v>0</v>
      </c>
      <c r="S819" t="str">
        <f>IF(samples!J356=0,"",samples!J356)</f>
        <v/>
      </c>
      <c r="T819">
        <f>IFERROR(SEARCH(search!$B$6,samples!J356,1),0)</f>
        <v>0</v>
      </c>
      <c r="U819" t="str">
        <f>IF(samples!K356=0,"",samples!K356)</f>
        <v/>
      </c>
      <c r="V819">
        <f>IFERROR(SEARCH(search!$B$6,samples!K356,1),0)</f>
        <v>0</v>
      </c>
      <c r="W819" t="str">
        <f>IF(samples!L356=0,"",samples!L356)</f>
        <v/>
      </c>
      <c r="X819">
        <f>IFERROR(SEARCH(search!$B$6,samples!L356,1),0)</f>
        <v>0</v>
      </c>
      <c r="Y819" t="str">
        <f>IF(samples!M356=0,"",samples!M356)</f>
        <v/>
      </c>
      <c r="Z819">
        <f>IFERROR(SEARCH(search!$B$6,samples!M356,1),0)</f>
        <v>0</v>
      </c>
      <c r="AA819" t="str">
        <f>IF(samples!N356=0,"",samples!N356)</f>
        <v/>
      </c>
      <c r="AB819">
        <f>IFERROR(SEARCH(search!$B$6,samples!N356,1),0)</f>
        <v>0</v>
      </c>
      <c r="AC819" t="str">
        <f>IF(samples!O356=0,"",samples!O356)</f>
        <v/>
      </c>
      <c r="AD819">
        <f>IFERROR(SEARCH(search!$B$6,samples!O356,1),0)</f>
        <v>0</v>
      </c>
    </row>
    <row r="820" spans="1:30">
      <c r="A820">
        <f t="shared" si="12"/>
        <v>0</v>
      </c>
      <c r="B820">
        <f>IF(SUM(D820,F820,H820,J820,L820,N820,P820,R820,T820,V820,X820,Z820,AB820,AD820)&gt;0,SUM($A$2:A820),0)</f>
        <v>0</v>
      </c>
      <c r="C820">
        <f>samples!B357</f>
        <v>0</v>
      </c>
      <c r="D820">
        <f>IFERROR(SEARCH(search!$B$6,samples!B357,1),0)</f>
        <v>0</v>
      </c>
      <c r="E820" t="str">
        <f>IF(samples!C357=0,"",samples!C357)</f>
        <v/>
      </c>
      <c r="F820">
        <f>IFERROR(SEARCH(search!$B$6,samples!C357,1),0)</f>
        <v>0</v>
      </c>
      <c r="G820" t="str">
        <f>IF(samples!D357=0,"",samples!D357)</f>
        <v/>
      </c>
      <c r="H820">
        <f>IFERROR(SEARCH(search!$B$6,samples!D357,1),0)</f>
        <v>0</v>
      </c>
      <c r="I820" t="str">
        <f>IF(samples!E357=0,"",samples!E357)</f>
        <v/>
      </c>
      <c r="J820">
        <f>IFERROR(SEARCH(search!$B$6,samples!E357,1),0)</f>
        <v>0</v>
      </c>
      <c r="K820" t="str">
        <f>IF(samples!F357=0,"",samples!F357)</f>
        <v/>
      </c>
      <c r="L820">
        <f>IFERROR(SEARCH(search!$B$6,samples!F357,1),0)</f>
        <v>0</v>
      </c>
      <c r="M820" t="str">
        <f>IF(samples!G357=0,"",samples!G357)</f>
        <v/>
      </c>
      <c r="N820">
        <f>IFERROR(SEARCH(search!$B$6,samples!G357,1),0)</f>
        <v>0</v>
      </c>
      <c r="O820" t="str">
        <f>IF(samples!H357=0,"",samples!H357)</f>
        <v/>
      </c>
      <c r="P820">
        <f>IFERROR(SEARCH(search!$B$6,samples!H357,1),0)</f>
        <v>0</v>
      </c>
      <c r="Q820" t="str">
        <f>IF(samples!I357=0,"",samples!I357)</f>
        <v/>
      </c>
      <c r="R820">
        <f>IFERROR(SEARCH(search!$B$6,samples!I357,1),0)</f>
        <v>0</v>
      </c>
      <c r="S820" t="str">
        <f>IF(samples!J357=0,"",samples!J357)</f>
        <v/>
      </c>
      <c r="T820">
        <f>IFERROR(SEARCH(search!$B$6,samples!J357,1),0)</f>
        <v>0</v>
      </c>
      <c r="U820" t="str">
        <f>IF(samples!K357=0,"",samples!K357)</f>
        <v/>
      </c>
      <c r="V820">
        <f>IFERROR(SEARCH(search!$B$6,samples!K357,1),0)</f>
        <v>0</v>
      </c>
      <c r="W820" t="str">
        <f>IF(samples!L357=0,"",samples!L357)</f>
        <v/>
      </c>
      <c r="X820">
        <f>IFERROR(SEARCH(search!$B$6,samples!L357,1),0)</f>
        <v>0</v>
      </c>
      <c r="Y820" t="str">
        <f>IF(samples!M357=0,"",samples!M357)</f>
        <v/>
      </c>
      <c r="Z820">
        <f>IFERROR(SEARCH(search!$B$6,samples!M357,1),0)</f>
        <v>0</v>
      </c>
      <c r="AA820" t="str">
        <f>IF(samples!N357=0,"",samples!N357)</f>
        <v/>
      </c>
      <c r="AB820">
        <f>IFERROR(SEARCH(search!$B$6,samples!N357,1),0)</f>
        <v>0</v>
      </c>
      <c r="AC820" t="str">
        <f>IF(samples!O357=0,"",samples!O357)</f>
        <v/>
      </c>
      <c r="AD820">
        <f>IFERROR(SEARCH(search!$B$6,samples!O357,1),0)</f>
        <v>0</v>
      </c>
    </row>
    <row r="821" spans="1:30">
      <c r="A821">
        <f t="shared" si="12"/>
        <v>0</v>
      </c>
      <c r="B821">
        <f>IF(SUM(D821,F821,H821,J821,L821,N821,P821,R821,T821,V821,X821,Z821,AB821,AD821)&gt;0,SUM($A$2:A821),0)</f>
        <v>0</v>
      </c>
      <c r="C821">
        <f>samples!B358</f>
        <v>0</v>
      </c>
      <c r="D821">
        <f>IFERROR(SEARCH(search!$B$6,samples!B358,1),0)</f>
        <v>0</v>
      </c>
      <c r="E821" t="str">
        <f>IF(samples!C358=0,"",samples!C358)</f>
        <v/>
      </c>
      <c r="F821">
        <f>IFERROR(SEARCH(search!$B$6,samples!C358,1),0)</f>
        <v>0</v>
      </c>
      <c r="G821" t="str">
        <f>IF(samples!D358=0,"",samples!D358)</f>
        <v/>
      </c>
      <c r="H821">
        <f>IFERROR(SEARCH(search!$B$6,samples!D358,1),0)</f>
        <v>0</v>
      </c>
      <c r="I821" t="str">
        <f>IF(samples!E358=0,"",samples!E358)</f>
        <v/>
      </c>
      <c r="J821">
        <f>IFERROR(SEARCH(search!$B$6,samples!E358,1),0)</f>
        <v>0</v>
      </c>
      <c r="K821" t="str">
        <f>IF(samples!F358=0,"",samples!F358)</f>
        <v/>
      </c>
      <c r="L821">
        <f>IFERROR(SEARCH(search!$B$6,samples!F358,1),0)</f>
        <v>0</v>
      </c>
      <c r="M821" t="str">
        <f>IF(samples!G358=0,"",samples!G358)</f>
        <v/>
      </c>
      <c r="N821">
        <f>IFERROR(SEARCH(search!$B$6,samples!G358,1),0)</f>
        <v>0</v>
      </c>
      <c r="O821" t="str">
        <f>IF(samples!H358=0,"",samples!H358)</f>
        <v/>
      </c>
      <c r="P821">
        <f>IFERROR(SEARCH(search!$B$6,samples!H358,1),0)</f>
        <v>0</v>
      </c>
      <c r="Q821" t="str">
        <f>IF(samples!I358=0,"",samples!I358)</f>
        <v/>
      </c>
      <c r="R821">
        <f>IFERROR(SEARCH(search!$B$6,samples!I358,1),0)</f>
        <v>0</v>
      </c>
      <c r="S821" t="str">
        <f>IF(samples!J358=0,"",samples!J358)</f>
        <v/>
      </c>
      <c r="T821">
        <f>IFERROR(SEARCH(search!$B$6,samples!J358,1),0)</f>
        <v>0</v>
      </c>
      <c r="U821" t="str">
        <f>IF(samples!K358=0,"",samples!K358)</f>
        <v/>
      </c>
      <c r="V821">
        <f>IFERROR(SEARCH(search!$B$6,samples!K358,1),0)</f>
        <v>0</v>
      </c>
      <c r="W821" t="str">
        <f>IF(samples!L358=0,"",samples!L358)</f>
        <v/>
      </c>
      <c r="X821">
        <f>IFERROR(SEARCH(search!$B$6,samples!L358,1),0)</f>
        <v>0</v>
      </c>
      <c r="Y821" t="str">
        <f>IF(samples!M358=0,"",samples!M358)</f>
        <v/>
      </c>
      <c r="Z821">
        <f>IFERROR(SEARCH(search!$B$6,samples!M358,1),0)</f>
        <v>0</v>
      </c>
      <c r="AA821" t="str">
        <f>IF(samples!N358=0,"",samples!N358)</f>
        <v/>
      </c>
      <c r="AB821">
        <f>IFERROR(SEARCH(search!$B$6,samples!N358,1),0)</f>
        <v>0</v>
      </c>
      <c r="AC821" t="str">
        <f>IF(samples!O358=0,"",samples!O358)</f>
        <v/>
      </c>
      <c r="AD821">
        <f>IFERROR(SEARCH(search!$B$6,samples!O358,1),0)</f>
        <v>0</v>
      </c>
    </row>
    <row r="822" spans="1:30">
      <c r="A822">
        <f t="shared" si="12"/>
        <v>0</v>
      </c>
      <c r="B822">
        <f>IF(SUM(D822,F822,H822,J822,L822,N822,P822,R822,T822,V822,X822,Z822,AB822,AD822)&gt;0,SUM($A$2:A822),0)</f>
        <v>0</v>
      </c>
      <c r="C822">
        <f>samples!B359</f>
        <v>0</v>
      </c>
      <c r="D822">
        <f>IFERROR(SEARCH(search!$B$6,samples!B359,1),0)</f>
        <v>0</v>
      </c>
      <c r="E822" t="str">
        <f>IF(samples!C359=0,"",samples!C359)</f>
        <v/>
      </c>
      <c r="F822">
        <f>IFERROR(SEARCH(search!$B$6,samples!C359,1),0)</f>
        <v>0</v>
      </c>
      <c r="G822" t="str">
        <f>IF(samples!D359=0,"",samples!D359)</f>
        <v/>
      </c>
      <c r="H822">
        <f>IFERROR(SEARCH(search!$B$6,samples!D359,1),0)</f>
        <v>0</v>
      </c>
      <c r="I822" t="str">
        <f>IF(samples!E359=0,"",samples!E359)</f>
        <v/>
      </c>
      <c r="J822">
        <f>IFERROR(SEARCH(search!$B$6,samples!E359,1),0)</f>
        <v>0</v>
      </c>
      <c r="K822" t="str">
        <f>IF(samples!F359=0,"",samples!F359)</f>
        <v/>
      </c>
      <c r="L822">
        <f>IFERROR(SEARCH(search!$B$6,samples!F359,1),0)</f>
        <v>0</v>
      </c>
      <c r="M822" t="str">
        <f>IF(samples!G359=0,"",samples!G359)</f>
        <v/>
      </c>
      <c r="N822">
        <f>IFERROR(SEARCH(search!$B$6,samples!G359,1),0)</f>
        <v>0</v>
      </c>
      <c r="O822" t="str">
        <f>IF(samples!H359=0,"",samples!H359)</f>
        <v/>
      </c>
      <c r="P822">
        <f>IFERROR(SEARCH(search!$B$6,samples!H359,1),0)</f>
        <v>0</v>
      </c>
      <c r="Q822" t="str">
        <f>IF(samples!I359=0,"",samples!I359)</f>
        <v/>
      </c>
      <c r="R822">
        <f>IFERROR(SEARCH(search!$B$6,samples!I359,1),0)</f>
        <v>0</v>
      </c>
      <c r="S822" t="str">
        <f>IF(samples!J359=0,"",samples!J359)</f>
        <v/>
      </c>
      <c r="T822">
        <f>IFERROR(SEARCH(search!$B$6,samples!J359,1),0)</f>
        <v>0</v>
      </c>
      <c r="U822" t="str">
        <f>IF(samples!K359=0,"",samples!K359)</f>
        <v/>
      </c>
      <c r="V822">
        <f>IFERROR(SEARCH(search!$B$6,samples!K359,1),0)</f>
        <v>0</v>
      </c>
      <c r="W822" t="str">
        <f>IF(samples!L359=0,"",samples!L359)</f>
        <v/>
      </c>
      <c r="X822">
        <f>IFERROR(SEARCH(search!$B$6,samples!L359,1),0)</f>
        <v>0</v>
      </c>
      <c r="Y822" t="str">
        <f>IF(samples!M359=0,"",samples!M359)</f>
        <v/>
      </c>
      <c r="Z822">
        <f>IFERROR(SEARCH(search!$B$6,samples!M359,1),0)</f>
        <v>0</v>
      </c>
      <c r="AA822" t="str">
        <f>IF(samples!N359=0,"",samples!N359)</f>
        <v/>
      </c>
      <c r="AB822">
        <f>IFERROR(SEARCH(search!$B$6,samples!N359,1),0)</f>
        <v>0</v>
      </c>
      <c r="AC822" t="str">
        <f>IF(samples!O359=0,"",samples!O359)</f>
        <v/>
      </c>
      <c r="AD822">
        <f>IFERROR(SEARCH(search!$B$6,samples!O359,1),0)</f>
        <v>0</v>
      </c>
    </row>
    <row r="823" spans="1:30">
      <c r="A823">
        <f t="shared" si="12"/>
        <v>0</v>
      </c>
      <c r="B823">
        <f>IF(SUM(D823,F823,H823,J823,L823,N823,P823,R823,T823,V823,X823,Z823,AB823,AD823)&gt;0,SUM($A$2:A823),0)</f>
        <v>0</v>
      </c>
      <c r="C823">
        <f>samples!B360</f>
        <v>0</v>
      </c>
      <c r="D823">
        <f>IFERROR(SEARCH(search!$B$6,samples!B360,1),0)</f>
        <v>0</v>
      </c>
      <c r="E823" t="str">
        <f>IF(samples!C360=0,"",samples!C360)</f>
        <v/>
      </c>
      <c r="F823">
        <f>IFERROR(SEARCH(search!$B$6,samples!C360,1),0)</f>
        <v>0</v>
      </c>
      <c r="G823" t="str">
        <f>IF(samples!D360=0,"",samples!D360)</f>
        <v/>
      </c>
      <c r="H823">
        <f>IFERROR(SEARCH(search!$B$6,samples!D360,1),0)</f>
        <v>0</v>
      </c>
      <c r="I823" t="str">
        <f>IF(samples!E360=0,"",samples!E360)</f>
        <v/>
      </c>
      <c r="J823">
        <f>IFERROR(SEARCH(search!$B$6,samples!E360,1),0)</f>
        <v>0</v>
      </c>
      <c r="K823" t="str">
        <f>IF(samples!F360=0,"",samples!F360)</f>
        <v/>
      </c>
      <c r="L823">
        <f>IFERROR(SEARCH(search!$B$6,samples!F360,1),0)</f>
        <v>0</v>
      </c>
      <c r="M823" t="str">
        <f>IF(samples!G360=0,"",samples!G360)</f>
        <v/>
      </c>
      <c r="N823">
        <f>IFERROR(SEARCH(search!$B$6,samples!G360,1),0)</f>
        <v>0</v>
      </c>
      <c r="O823" t="str">
        <f>IF(samples!H360=0,"",samples!H360)</f>
        <v/>
      </c>
      <c r="P823">
        <f>IFERROR(SEARCH(search!$B$6,samples!H360,1),0)</f>
        <v>0</v>
      </c>
      <c r="Q823" t="str">
        <f>IF(samples!I360=0,"",samples!I360)</f>
        <v/>
      </c>
      <c r="R823">
        <f>IFERROR(SEARCH(search!$B$6,samples!I360,1),0)</f>
        <v>0</v>
      </c>
      <c r="S823" t="str">
        <f>IF(samples!J360=0,"",samples!J360)</f>
        <v/>
      </c>
      <c r="T823">
        <f>IFERROR(SEARCH(search!$B$6,samples!J360,1),0)</f>
        <v>0</v>
      </c>
      <c r="U823" t="str">
        <f>IF(samples!K360=0,"",samples!K360)</f>
        <v/>
      </c>
      <c r="V823">
        <f>IFERROR(SEARCH(search!$B$6,samples!K360,1),0)</f>
        <v>0</v>
      </c>
      <c r="W823" t="str">
        <f>IF(samples!L360=0,"",samples!L360)</f>
        <v/>
      </c>
      <c r="X823">
        <f>IFERROR(SEARCH(search!$B$6,samples!L360,1),0)</f>
        <v>0</v>
      </c>
      <c r="Y823" t="str">
        <f>IF(samples!M360=0,"",samples!M360)</f>
        <v/>
      </c>
      <c r="Z823">
        <f>IFERROR(SEARCH(search!$B$6,samples!M360,1),0)</f>
        <v>0</v>
      </c>
      <c r="AA823" t="str">
        <f>IF(samples!N360=0,"",samples!N360)</f>
        <v/>
      </c>
      <c r="AB823">
        <f>IFERROR(SEARCH(search!$B$6,samples!N360,1),0)</f>
        <v>0</v>
      </c>
      <c r="AC823" t="str">
        <f>IF(samples!O360=0,"",samples!O360)</f>
        <v/>
      </c>
      <c r="AD823">
        <f>IFERROR(SEARCH(search!$B$6,samples!O360,1),0)</f>
        <v>0</v>
      </c>
    </row>
    <row r="824" spans="1:30">
      <c r="A824">
        <f t="shared" si="12"/>
        <v>0</v>
      </c>
      <c r="B824">
        <f>IF(SUM(D824,F824,H824,J824,L824,N824,P824,R824,T824,V824,X824,Z824,AB824,AD824)&gt;0,SUM($A$2:A824),0)</f>
        <v>0</v>
      </c>
      <c r="C824">
        <f>samples!B361</f>
        <v>0</v>
      </c>
      <c r="D824">
        <f>IFERROR(SEARCH(search!$B$6,samples!B361,1),0)</f>
        <v>0</v>
      </c>
      <c r="E824" t="str">
        <f>IF(samples!C361=0,"",samples!C361)</f>
        <v/>
      </c>
      <c r="F824">
        <f>IFERROR(SEARCH(search!$B$6,samples!C361,1),0)</f>
        <v>0</v>
      </c>
      <c r="G824" t="str">
        <f>IF(samples!D361=0,"",samples!D361)</f>
        <v/>
      </c>
      <c r="H824">
        <f>IFERROR(SEARCH(search!$B$6,samples!D361,1),0)</f>
        <v>0</v>
      </c>
      <c r="I824" t="str">
        <f>IF(samples!E361=0,"",samples!E361)</f>
        <v/>
      </c>
      <c r="J824">
        <f>IFERROR(SEARCH(search!$B$6,samples!E361,1),0)</f>
        <v>0</v>
      </c>
      <c r="K824" t="str">
        <f>IF(samples!F361=0,"",samples!F361)</f>
        <v/>
      </c>
      <c r="L824">
        <f>IFERROR(SEARCH(search!$B$6,samples!F361,1),0)</f>
        <v>0</v>
      </c>
      <c r="M824" t="str">
        <f>IF(samples!G361=0,"",samples!G361)</f>
        <v/>
      </c>
      <c r="N824">
        <f>IFERROR(SEARCH(search!$B$6,samples!G361,1),0)</f>
        <v>0</v>
      </c>
      <c r="O824" t="str">
        <f>IF(samples!H361=0,"",samples!H361)</f>
        <v/>
      </c>
      <c r="P824">
        <f>IFERROR(SEARCH(search!$B$6,samples!H361,1),0)</f>
        <v>0</v>
      </c>
      <c r="Q824" t="str">
        <f>IF(samples!I361=0,"",samples!I361)</f>
        <v/>
      </c>
      <c r="R824">
        <f>IFERROR(SEARCH(search!$B$6,samples!I361,1),0)</f>
        <v>0</v>
      </c>
      <c r="S824" t="str">
        <f>IF(samples!J361=0,"",samples!J361)</f>
        <v/>
      </c>
      <c r="T824">
        <f>IFERROR(SEARCH(search!$B$6,samples!J361,1),0)</f>
        <v>0</v>
      </c>
      <c r="U824" t="str">
        <f>IF(samples!K361=0,"",samples!K361)</f>
        <v/>
      </c>
      <c r="V824">
        <f>IFERROR(SEARCH(search!$B$6,samples!K361,1),0)</f>
        <v>0</v>
      </c>
      <c r="W824" t="str">
        <f>IF(samples!L361=0,"",samples!L361)</f>
        <v/>
      </c>
      <c r="X824">
        <f>IFERROR(SEARCH(search!$B$6,samples!L361,1),0)</f>
        <v>0</v>
      </c>
      <c r="Y824" t="str">
        <f>IF(samples!M361=0,"",samples!M361)</f>
        <v/>
      </c>
      <c r="Z824">
        <f>IFERROR(SEARCH(search!$B$6,samples!M361,1),0)</f>
        <v>0</v>
      </c>
      <c r="AA824" t="str">
        <f>IF(samples!N361=0,"",samples!N361)</f>
        <v/>
      </c>
      <c r="AB824">
        <f>IFERROR(SEARCH(search!$B$6,samples!N361,1),0)</f>
        <v>0</v>
      </c>
      <c r="AC824" t="str">
        <f>IF(samples!O361=0,"",samples!O361)</f>
        <v/>
      </c>
      <c r="AD824">
        <f>IFERROR(SEARCH(search!$B$6,samples!O361,1),0)</f>
        <v>0</v>
      </c>
    </row>
    <row r="825" spans="1:30">
      <c r="A825">
        <f t="shared" si="12"/>
        <v>0</v>
      </c>
      <c r="B825">
        <f>IF(SUM(D825,F825,H825,J825,L825,N825,P825,R825,T825,V825,X825,Z825,AB825,AD825)&gt;0,SUM($A$2:A825),0)</f>
        <v>0</v>
      </c>
      <c r="C825">
        <f>samples!B362</f>
        <v>0</v>
      </c>
      <c r="D825">
        <f>IFERROR(SEARCH(search!$B$6,samples!B362,1),0)</f>
        <v>0</v>
      </c>
      <c r="E825" t="str">
        <f>IF(samples!C362=0,"",samples!C362)</f>
        <v/>
      </c>
      <c r="F825">
        <f>IFERROR(SEARCH(search!$B$6,samples!C362,1),0)</f>
        <v>0</v>
      </c>
      <c r="G825" t="str">
        <f>IF(samples!D362=0,"",samples!D362)</f>
        <v/>
      </c>
      <c r="H825">
        <f>IFERROR(SEARCH(search!$B$6,samples!D362,1),0)</f>
        <v>0</v>
      </c>
      <c r="I825" t="str">
        <f>IF(samples!E362=0,"",samples!E362)</f>
        <v/>
      </c>
      <c r="J825">
        <f>IFERROR(SEARCH(search!$B$6,samples!E362,1),0)</f>
        <v>0</v>
      </c>
      <c r="K825" t="str">
        <f>IF(samples!F362=0,"",samples!F362)</f>
        <v/>
      </c>
      <c r="L825">
        <f>IFERROR(SEARCH(search!$B$6,samples!F362,1),0)</f>
        <v>0</v>
      </c>
      <c r="M825" t="str">
        <f>IF(samples!G362=0,"",samples!G362)</f>
        <v/>
      </c>
      <c r="N825">
        <f>IFERROR(SEARCH(search!$B$6,samples!G362,1),0)</f>
        <v>0</v>
      </c>
      <c r="O825" t="str">
        <f>IF(samples!H362=0,"",samples!H362)</f>
        <v/>
      </c>
      <c r="P825">
        <f>IFERROR(SEARCH(search!$B$6,samples!H362,1),0)</f>
        <v>0</v>
      </c>
      <c r="Q825" t="str">
        <f>IF(samples!I362=0,"",samples!I362)</f>
        <v/>
      </c>
      <c r="R825">
        <f>IFERROR(SEARCH(search!$B$6,samples!I362,1),0)</f>
        <v>0</v>
      </c>
      <c r="S825" t="str">
        <f>IF(samples!J362=0,"",samples!J362)</f>
        <v/>
      </c>
      <c r="T825">
        <f>IFERROR(SEARCH(search!$B$6,samples!J362,1),0)</f>
        <v>0</v>
      </c>
      <c r="U825" t="str">
        <f>IF(samples!K362=0,"",samples!K362)</f>
        <v/>
      </c>
      <c r="V825">
        <f>IFERROR(SEARCH(search!$B$6,samples!K362,1),0)</f>
        <v>0</v>
      </c>
      <c r="W825" t="str">
        <f>IF(samples!L362=0,"",samples!L362)</f>
        <v/>
      </c>
      <c r="X825">
        <f>IFERROR(SEARCH(search!$B$6,samples!L362,1),0)</f>
        <v>0</v>
      </c>
      <c r="Y825" t="str">
        <f>IF(samples!M362=0,"",samples!M362)</f>
        <v/>
      </c>
      <c r="Z825">
        <f>IFERROR(SEARCH(search!$B$6,samples!M362,1),0)</f>
        <v>0</v>
      </c>
      <c r="AA825" t="str">
        <f>IF(samples!N362=0,"",samples!N362)</f>
        <v/>
      </c>
      <c r="AB825">
        <f>IFERROR(SEARCH(search!$B$6,samples!N362,1),0)</f>
        <v>0</v>
      </c>
      <c r="AC825" t="str">
        <f>IF(samples!O362=0,"",samples!O362)</f>
        <v/>
      </c>
      <c r="AD825">
        <f>IFERROR(SEARCH(search!$B$6,samples!O362,1),0)</f>
        <v>0</v>
      </c>
    </row>
    <row r="826" spans="1:30">
      <c r="A826">
        <f t="shared" si="12"/>
        <v>0</v>
      </c>
      <c r="B826">
        <f>IF(SUM(D826,F826,H826,J826,L826,N826,P826,R826,T826,V826,X826,Z826,AB826,AD826)&gt;0,SUM($A$2:A826),0)</f>
        <v>0</v>
      </c>
      <c r="C826">
        <f>samples!B363</f>
        <v>0</v>
      </c>
      <c r="D826">
        <f>IFERROR(SEARCH(search!$B$6,samples!B363,1),0)</f>
        <v>0</v>
      </c>
      <c r="E826" t="str">
        <f>IF(samples!C363=0,"",samples!C363)</f>
        <v/>
      </c>
      <c r="F826">
        <f>IFERROR(SEARCH(search!$B$6,samples!C363,1),0)</f>
        <v>0</v>
      </c>
      <c r="G826" t="str">
        <f>IF(samples!D363=0,"",samples!D363)</f>
        <v/>
      </c>
      <c r="H826">
        <f>IFERROR(SEARCH(search!$B$6,samples!D363,1),0)</f>
        <v>0</v>
      </c>
      <c r="I826" t="str">
        <f>IF(samples!E363=0,"",samples!E363)</f>
        <v/>
      </c>
      <c r="J826">
        <f>IFERROR(SEARCH(search!$B$6,samples!E363,1),0)</f>
        <v>0</v>
      </c>
      <c r="K826" t="str">
        <f>IF(samples!F363=0,"",samples!F363)</f>
        <v/>
      </c>
      <c r="L826">
        <f>IFERROR(SEARCH(search!$B$6,samples!F363,1),0)</f>
        <v>0</v>
      </c>
      <c r="M826" t="str">
        <f>IF(samples!G363=0,"",samples!G363)</f>
        <v/>
      </c>
      <c r="N826">
        <f>IFERROR(SEARCH(search!$B$6,samples!G363,1),0)</f>
        <v>0</v>
      </c>
      <c r="O826" t="str">
        <f>IF(samples!H363=0,"",samples!H363)</f>
        <v/>
      </c>
      <c r="P826">
        <f>IFERROR(SEARCH(search!$B$6,samples!H363,1),0)</f>
        <v>0</v>
      </c>
      <c r="Q826" t="str">
        <f>IF(samples!I363=0,"",samples!I363)</f>
        <v/>
      </c>
      <c r="R826">
        <f>IFERROR(SEARCH(search!$B$6,samples!I363,1),0)</f>
        <v>0</v>
      </c>
      <c r="S826" t="str">
        <f>IF(samples!J363=0,"",samples!J363)</f>
        <v/>
      </c>
      <c r="T826">
        <f>IFERROR(SEARCH(search!$B$6,samples!J363,1),0)</f>
        <v>0</v>
      </c>
      <c r="U826" t="str">
        <f>IF(samples!K363=0,"",samples!K363)</f>
        <v/>
      </c>
      <c r="V826">
        <f>IFERROR(SEARCH(search!$B$6,samples!K363,1),0)</f>
        <v>0</v>
      </c>
      <c r="W826" t="str">
        <f>IF(samples!L363=0,"",samples!L363)</f>
        <v/>
      </c>
      <c r="X826">
        <f>IFERROR(SEARCH(search!$B$6,samples!L363,1),0)</f>
        <v>0</v>
      </c>
      <c r="Y826" t="str">
        <f>IF(samples!M363=0,"",samples!M363)</f>
        <v/>
      </c>
      <c r="Z826">
        <f>IFERROR(SEARCH(search!$B$6,samples!M363,1),0)</f>
        <v>0</v>
      </c>
      <c r="AA826" t="str">
        <f>IF(samples!N363=0,"",samples!N363)</f>
        <v/>
      </c>
      <c r="AB826">
        <f>IFERROR(SEARCH(search!$B$6,samples!N363,1),0)</f>
        <v>0</v>
      </c>
      <c r="AC826" t="str">
        <f>IF(samples!O363=0,"",samples!O363)</f>
        <v/>
      </c>
      <c r="AD826">
        <f>IFERROR(SEARCH(search!$B$6,samples!O363,1),0)</f>
        <v>0</v>
      </c>
    </row>
    <row r="827" spans="1:30">
      <c r="A827">
        <f t="shared" si="12"/>
        <v>0</v>
      </c>
      <c r="B827">
        <f>IF(SUM(D827,F827,H827,J827,L827,N827,P827,R827,T827,V827,X827,Z827,AB827,AD827)&gt;0,SUM($A$2:A827),0)</f>
        <v>0</v>
      </c>
      <c r="C827">
        <f>samples!B364</f>
        <v>0</v>
      </c>
      <c r="D827">
        <f>IFERROR(SEARCH(search!$B$6,samples!B364,1),0)</f>
        <v>0</v>
      </c>
      <c r="E827" t="str">
        <f>IF(samples!C364=0,"",samples!C364)</f>
        <v/>
      </c>
      <c r="F827">
        <f>IFERROR(SEARCH(search!$B$6,samples!C364,1),0)</f>
        <v>0</v>
      </c>
      <c r="G827" t="str">
        <f>IF(samples!D364=0,"",samples!D364)</f>
        <v/>
      </c>
      <c r="H827">
        <f>IFERROR(SEARCH(search!$B$6,samples!D364,1),0)</f>
        <v>0</v>
      </c>
      <c r="I827" t="str">
        <f>IF(samples!E364=0,"",samples!E364)</f>
        <v/>
      </c>
      <c r="J827">
        <f>IFERROR(SEARCH(search!$B$6,samples!E364,1),0)</f>
        <v>0</v>
      </c>
      <c r="K827" t="str">
        <f>IF(samples!F364=0,"",samples!F364)</f>
        <v/>
      </c>
      <c r="L827">
        <f>IFERROR(SEARCH(search!$B$6,samples!F364,1),0)</f>
        <v>0</v>
      </c>
      <c r="M827" t="str">
        <f>IF(samples!G364=0,"",samples!G364)</f>
        <v/>
      </c>
      <c r="N827">
        <f>IFERROR(SEARCH(search!$B$6,samples!G364,1),0)</f>
        <v>0</v>
      </c>
      <c r="O827" t="str">
        <f>IF(samples!H364=0,"",samples!H364)</f>
        <v/>
      </c>
      <c r="P827">
        <f>IFERROR(SEARCH(search!$B$6,samples!H364,1),0)</f>
        <v>0</v>
      </c>
      <c r="Q827" t="str">
        <f>IF(samples!I364=0,"",samples!I364)</f>
        <v/>
      </c>
      <c r="R827">
        <f>IFERROR(SEARCH(search!$B$6,samples!I364,1),0)</f>
        <v>0</v>
      </c>
      <c r="S827" t="str">
        <f>IF(samples!J364=0,"",samples!J364)</f>
        <v/>
      </c>
      <c r="T827">
        <f>IFERROR(SEARCH(search!$B$6,samples!J364,1),0)</f>
        <v>0</v>
      </c>
      <c r="U827" t="str">
        <f>IF(samples!K364=0,"",samples!K364)</f>
        <v/>
      </c>
      <c r="V827">
        <f>IFERROR(SEARCH(search!$B$6,samples!K364,1),0)</f>
        <v>0</v>
      </c>
      <c r="W827" t="str">
        <f>IF(samples!L364=0,"",samples!L364)</f>
        <v/>
      </c>
      <c r="X827">
        <f>IFERROR(SEARCH(search!$B$6,samples!L364,1),0)</f>
        <v>0</v>
      </c>
      <c r="Y827" t="str">
        <f>IF(samples!M364=0,"",samples!M364)</f>
        <v/>
      </c>
      <c r="Z827">
        <f>IFERROR(SEARCH(search!$B$6,samples!M364,1),0)</f>
        <v>0</v>
      </c>
      <c r="AA827" t="str">
        <f>IF(samples!N364=0,"",samples!N364)</f>
        <v/>
      </c>
      <c r="AB827">
        <f>IFERROR(SEARCH(search!$B$6,samples!N364,1),0)</f>
        <v>0</v>
      </c>
      <c r="AC827" t="str">
        <f>IF(samples!O364=0,"",samples!O364)</f>
        <v/>
      </c>
      <c r="AD827">
        <f>IFERROR(SEARCH(search!$B$6,samples!O364,1),0)</f>
        <v>0</v>
      </c>
    </row>
    <row r="828" spans="1:30">
      <c r="A828">
        <f t="shared" si="12"/>
        <v>0</v>
      </c>
      <c r="B828">
        <f>IF(SUM(D828,F828,H828,J828,L828,N828,P828,R828,T828,V828,X828,Z828,AB828,AD828)&gt;0,SUM($A$2:A828),0)</f>
        <v>0</v>
      </c>
      <c r="C828">
        <f>samples!B365</f>
        <v>0</v>
      </c>
      <c r="D828">
        <f>IFERROR(SEARCH(search!$B$6,samples!B365,1),0)</f>
        <v>0</v>
      </c>
      <c r="E828" t="str">
        <f>IF(samples!C365=0,"",samples!C365)</f>
        <v/>
      </c>
      <c r="F828">
        <f>IFERROR(SEARCH(search!$B$6,samples!C365,1),0)</f>
        <v>0</v>
      </c>
      <c r="G828" t="str">
        <f>IF(samples!D365=0,"",samples!D365)</f>
        <v/>
      </c>
      <c r="H828">
        <f>IFERROR(SEARCH(search!$B$6,samples!D365,1),0)</f>
        <v>0</v>
      </c>
      <c r="I828" t="str">
        <f>IF(samples!E365=0,"",samples!E365)</f>
        <v/>
      </c>
      <c r="J828">
        <f>IFERROR(SEARCH(search!$B$6,samples!E365,1),0)</f>
        <v>0</v>
      </c>
      <c r="K828" t="str">
        <f>IF(samples!F365=0,"",samples!F365)</f>
        <v/>
      </c>
      <c r="L828">
        <f>IFERROR(SEARCH(search!$B$6,samples!F365,1),0)</f>
        <v>0</v>
      </c>
      <c r="M828" t="str">
        <f>IF(samples!G365=0,"",samples!G365)</f>
        <v/>
      </c>
      <c r="N828">
        <f>IFERROR(SEARCH(search!$B$6,samples!G365,1),0)</f>
        <v>0</v>
      </c>
      <c r="O828" t="str">
        <f>IF(samples!H365=0,"",samples!H365)</f>
        <v/>
      </c>
      <c r="P828">
        <f>IFERROR(SEARCH(search!$B$6,samples!H365,1),0)</f>
        <v>0</v>
      </c>
      <c r="Q828" t="str">
        <f>IF(samples!I365=0,"",samples!I365)</f>
        <v/>
      </c>
      <c r="R828">
        <f>IFERROR(SEARCH(search!$B$6,samples!I365,1),0)</f>
        <v>0</v>
      </c>
      <c r="S828" t="str">
        <f>IF(samples!J365=0,"",samples!J365)</f>
        <v/>
      </c>
      <c r="T828">
        <f>IFERROR(SEARCH(search!$B$6,samples!J365,1),0)</f>
        <v>0</v>
      </c>
      <c r="U828" t="str">
        <f>IF(samples!K365=0,"",samples!K365)</f>
        <v/>
      </c>
      <c r="V828">
        <f>IFERROR(SEARCH(search!$B$6,samples!K365,1),0)</f>
        <v>0</v>
      </c>
      <c r="W828" t="str">
        <f>IF(samples!L365=0,"",samples!L365)</f>
        <v/>
      </c>
      <c r="X828">
        <f>IFERROR(SEARCH(search!$B$6,samples!L365,1),0)</f>
        <v>0</v>
      </c>
      <c r="Y828" t="str">
        <f>IF(samples!M365=0,"",samples!M365)</f>
        <v/>
      </c>
      <c r="Z828">
        <f>IFERROR(SEARCH(search!$B$6,samples!M365,1),0)</f>
        <v>0</v>
      </c>
      <c r="AA828" t="str">
        <f>IF(samples!N365=0,"",samples!N365)</f>
        <v/>
      </c>
      <c r="AB828">
        <f>IFERROR(SEARCH(search!$B$6,samples!N365,1),0)</f>
        <v>0</v>
      </c>
      <c r="AC828" t="str">
        <f>IF(samples!O365=0,"",samples!O365)</f>
        <v/>
      </c>
      <c r="AD828">
        <f>IFERROR(SEARCH(search!$B$6,samples!O365,1),0)</f>
        <v>0</v>
      </c>
    </row>
    <row r="829" spans="1:30">
      <c r="A829">
        <f t="shared" si="12"/>
        <v>0</v>
      </c>
      <c r="B829">
        <f>IF(SUM(D829,F829,H829,J829,L829,N829,P829,R829,T829,V829,X829,Z829,AB829,AD829)&gt;0,SUM($A$2:A829),0)</f>
        <v>0</v>
      </c>
      <c r="C829">
        <f>samples!B366</f>
        <v>0</v>
      </c>
      <c r="D829">
        <f>IFERROR(SEARCH(search!$B$6,samples!B366,1),0)</f>
        <v>0</v>
      </c>
      <c r="E829" t="str">
        <f>IF(samples!C366=0,"",samples!C366)</f>
        <v/>
      </c>
      <c r="F829">
        <f>IFERROR(SEARCH(search!$B$6,samples!C366,1),0)</f>
        <v>0</v>
      </c>
      <c r="G829" t="str">
        <f>IF(samples!D366=0,"",samples!D366)</f>
        <v/>
      </c>
      <c r="H829">
        <f>IFERROR(SEARCH(search!$B$6,samples!D366,1),0)</f>
        <v>0</v>
      </c>
      <c r="I829" t="str">
        <f>IF(samples!E366=0,"",samples!E366)</f>
        <v/>
      </c>
      <c r="J829">
        <f>IFERROR(SEARCH(search!$B$6,samples!E366,1),0)</f>
        <v>0</v>
      </c>
      <c r="K829" t="str">
        <f>IF(samples!F366=0,"",samples!F366)</f>
        <v/>
      </c>
      <c r="L829">
        <f>IFERROR(SEARCH(search!$B$6,samples!F366,1),0)</f>
        <v>0</v>
      </c>
      <c r="M829" t="str">
        <f>IF(samples!G366=0,"",samples!G366)</f>
        <v/>
      </c>
      <c r="N829">
        <f>IFERROR(SEARCH(search!$B$6,samples!G366,1),0)</f>
        <v>0</v>
      </c>
      <c r="O829" t="str">
        <f>IF(samples!H366=0,"",samples!H366)</f>
        <v/>
      </c>
      <c r="P829">
        <f>IFERROR(SEARCH(search!$B$6,samples!H366,1),0)</f>
        <v>0</v>
      </c>
      <c r="Q829" t="str">
        <f>IF(samples!I366=0,"",samples!I366)</f>
        <v/>
      </c>
      <c r="R829">
        <f>IFERROR(SEARCH(search!$B$6,samples!I366,1),0)</f>
        <v>0</v>
      </c>
      <c r="S829" t="str">
        <f>IF(samples!J366=0,"",samples!J366)</f>
        <v/>
      </c>
      <c r="T829">
        <f>IFERROR(SEARCH(search!$B$6,samples!J366,1),0)</f>
        <v>0</v>
      </c>
      <c r="U829" t="str">
        <f>IF(samples!K366=0,"",samples!K366)</f>
        <v/>
      </c>
      <c r="V829">
        <f>IFERROR(SEARCH(search!$B$6,samples!K366,1),0)</f>
        <v>0</v>
      </c>
      <c r="W829" t="str">
        <f>IF(samples!L366=0,"",samples!L366)</f>
        <v/>
      </c>
      <c r="X829">
        <f>IFERROR(SEARCH(search!$B$6,samples!L366,1),0)</f>
        <v>0</v>
      </c>
      <c r="Y829" t="str">
        <f>IF(samples!M366=0,"",samples!M366)</f>
        <v/>
      </c>
      <c r="Z829">
        <f>IFERROR(SEARCH(search!$B$6,samples!M366,1),0)</f>
        <v>0</v>
      </c>
      <c r="AA829" t="str">
        <f>IF(samples!N366=0,"",samples!N366)</f>
        <v/>
      </c>
      <c r="AB829">
        <f>IFERROR(SEARCH(search!$B$6,samples!N366,1),0)</f>
        <v>0</v>
      </c>
      <c r="AC829" t="str">
        <f>IF(samples!O366=0,"",samples!O366)</f>
        <v/>
      </c>
      <c r="AD829">
        <f>IFERROR(SEARCH(search!$B$6,samples!O366,1),0)</f>
        <v>0</v>
      </c>
    </row>
    <row r="830" spans="1:30">
      <c r="A830">
        <f t="shared" si="12"/>
        <v>0</v>
      </c>
      <c r="B830">
        <f>IF(SUM(D830,F830,H830,J830,L830,N830,P830,R830,T830,V830,X830,Z830,AB830,AD830)&gt;0,SUM($A$2:A830),0)</f>
        <v>0</v>
      </c>
      <c r="C830">
        <f>samples!B367</f>
        <v>0</v>
      </c>
      <c r="D830">
        <f>IFERROR(SEARCH(search!$B$6,samples!B367,1),0)</f>
        <v>0</v>
      </c>
      <c r="E830" t="str">
        <f>IF(samples!C367=0,"",samples!C367)</f>
        <v/>
      </c>
      <c r="F830">
        <f>IFERROR(SEARCH(search!$B$6,samples!C367,1),0)</f>
        <v>0</v>
      </c>
      <c r="G830" t="str">
        <f>IF(samples!D367=0,"",samples!D367)</f>
        <v/>
      </c>
      <c r="H830">
        <f>IFERROR(SEARCH(search!$B$6,samples!D367,1),0)</f>
        <v>0</v>
      </c>
      <c r="I830" t="str">
        <f>IF(samples!E367=0,"",samples!E367)</f>
        <v/>
      </c>
      <c r="J830">
        <f>IFERROR(SEARCH(search!$B$6,samples!E367,1),0)</f>
        <v>0</v>
      </c>
      <c r="K830" t="str">
        <f>IF(samples!F367=0,"",samples!F367)</f>
        <v/>
      </c>
      <c r="L830">
        <f>IFERROR(SEARCH(search!$B$6,samples!F367,1),0)</f>
        <v>0</v>
      </c>
      <c r="M830" t="str">
        <f>IF(samples!G367=0,"",samples!G367)</f>
        <v/>
      </c>
      <c r="N830">
        <f>IFERROR(SEARCH(search!$B$6,samples!G367,1),0)</f>
        <v>0</v>
      </c>
      <c r="O830" t="str">
        <f>IF(samples!H367=0,"",samples!H367)</f>
        <v/>
      </c>
      <c r="P830">
        <f>IFERROR(SEARCH(search!$B$6,samples!H367,1),0)</f>
        <v>0</v>
      </c>
      <c r="Q830" t="str">
        <f>IF(samples!I367=0,"",samples!I367)</f>
        <v/>
      </c>
      <c r="R830">
        <f>IFERROR(SEARCH(search!$B$6,samples!I367,1),0)</f>
        <v>0</v>
      </c>
      <c r="S830" t="str">
        <f>IF(samples!J367=0,"",samples!J367)</f>
        <v/>
      </c>
      <c r="T830">
        <f>IFERROR(SEARCH(search!$B$6,samples!J367,1),0)</f>
        <v>0</v>
      </c>
      <c r="U830" t="str">
        <f>IF(samples!K367=0,"",samples!K367)</f>
        <v/>
      </c>
      <c r="V830">
        <f>IFERROR(SEARCH(search!$B$6,samples!K367,1),0)</f>
        <v>0</v>
      </c>
      <c r="W830" t="str">
        <f>IF(samples!L367=0,"",samples!L367)</f>
        <v/>
      </c>
      <c r="X830">
        <f>IFERROR(SEARCH(search!$B$6,samples!L367,1),0)</f>
        <v>0</v>
      </c>
      <c r="Y830" t="str">
        <f>IF(samples!M367=0,"",samples!M367)</f>
        <v/>
      </c>
      <c r="Z830">
        <f>IFERROR(SEARCH(search!$B$6,samples!M367,1),0)</f>
        <v>0</v>
      </c>
      <c r="AA830" t="str">
        <f>IF(samples!N367=0,"",samples!N367)</f>
        <v/>
      </c>
      <c r="AB830">
        <f>IFERROR(SEARCH(search!$B$6,samples!N367,1),0)</f>
        <v>0</v>
      </c>
      <c r="AC830" t="str">
        <f>IF(samples!O367=0,"",samples!O367)</f>
        <v/>
      </c>
      <c r="AD830">
        <f>IFERROR(SEARCH(search!$B$6,samples!O367,1),0)</f>
        <v>0</v>
      </c>
    </row>
    <row r="831" spans="1:30">
      <c r="A831">
        <f t="shared" si="12"/>
        <v>0</v>
      </c>
      <c r="B831">
        <f>IF(SUM(D831,F831,H831,J831,L831,N831,P831,R831,T831,V831,X831,Z831,AB831,AD831)&gt;0,SUM($A$2:A831),0)</f>
        <v>0</v>
      </c>
      <c r="C831">
        <f>samples!B368</f>
        <v>0</v>
      </c>
      <c r="D831">
        <f>IFERROR(SEARCH(search!$B$6,samples!B368,1),0)</f>
        <v>0</v>
      </c>
      <c r="E831" t="str">
        <f>IF(samples!C368=0,"",samples!C368)</f>
        <v/>
      </c>
      <c r="F831">
        <f>IFERROR(SEARCH(search!$B$6,samples!C368,1),0)</f>
        <v>0</v>
      </c>
      <c r="G831" t="str">
        <f>IF(samples!D368=0,"",samples!D368)</f>
        <v/>
      </c>
      <c r="H831">
        <f>IFERROR(SEARCH(search!$B$6,samples!D368,1),0)</f>
        <v>0</v>
      </c>
      <c r="I831" t="str">
        <f>IF(samples!E368=0,"",samples!E368)</f>
        <v/>
      </c>
      <c r="J831">
        <f>IFERROR(SEARCH(search!$B$6,samples!E368,1),0)</f>
        <v>0</v>
      </c>
      <c r="K831" t="str">
        <f>IF(samples!F368=0,"",samples!F368)</f>
        <v/>
      </c>
      <c r="L831">
        <f>IFERROR(SEARCH(search!$B$6,samples!F368,1),0)</f>
        <v>0</v>
      </c>
      <c r="M831" t="str">
        <f>IF(samples!G368=0,"",samples!G368)</f>
        <v/>
      </c>
      <c r="N831">
        <f>IFERROR(SEARCH(search!$B$6,samples!G368,1),0)</f>
        <v>0</v>
      </c>
      <c r="O831" t="str">
        <f>IF(samples!H368=0,"",samples!H368)</f>
        <v/>
      </c>
      <c r="P831">
        <f>IFERROR(SEARCH(search!$B$6,samples!H368,1),0)</f>
        <v>0</v>
      </c>
      <c r="Q831" t="str">
        <f>IF(samples!I368=0,"",samples!I368)</f>
        <v/>
      </c>
      <c r="R831">
        <f>IFERROR(SEARCH(search!$B$6,samples!I368,1),0)</f>
        <v>0</v>
      </c>
      <c r="S831" t="str">
        <f>IF(samples!J368=0,"",samples!J368)</f>
        <v/>
      </c>
      <c r="T831">
        <f>IFERROR(SEARCH(search!$B$6,samples!J368,1),0)</f>
        <v>0</v>
      </c>
      <c r="U831" t="str">
        <f>IF(samples!K368=0,"",samples!K368)</f>
        <v/>
      </c>
      <c r="V831">
        <f>IFERROR(SEARCH(search!$B$6,samples!K368,1),0)</f>
        <v>0</v>
      </c>
      <c r="W831" t="str">
        <f>IF(samples!L368=0,"",samples!L368)</f>
        <v/>
      </c>
      <c r="X831">
        <f>IFERROR(SEARCH(search!$B$6,samples!L368,1),0)</f>
        <v>0</v>
      </c>
      <c r="Y831" t="str">
        <f>IF(samples!M368=0,"",samples!M368)</f>
        <v/>
      </c>
      <c r="Z831">
        <f>IFERROR(SEARCH(search!$B$6,samples!M368,1),0)</f>
        <v>0</v>
      </c>
      <c r="AA831" t="str">
        <f>IF(samples!N368=0,"",samples!N368)</f>
        <v/>
      </c>
      <c r="AB831">
        <f>IFERROR(SEARCH(search!$B$6,samples!N368,1),0)</f>
        <v>0</v>
      </c>
      <c r="AC831" t="str">
        <f>IF(samples!O368=0,"",samples!O368)</f>
        <v/>
      </c>
      <c r="AD831">
        <f>IFERROR(SEARCH(search!$B$6,samples!O368,1),0)</f>
        <v>0</v>
      </c>
    </row>
    <row r="832" spans="1:30">
      <c r="A832">
        <f t="shared" si="12"/>
        <v>0</v>
      </c>
      <c r="B832">
        <f>IF(SUM(D832,F832,H832,J832,L832,N832,P832,R832,T832,V832,X832,Z832,AB832,AD832)&gt;0,SUM($A$2:A832),0)</f>
        <v>0</v>
      </c>
      <c r="C832">
        <f>samples!B369</f>
        <v>0</v>
      </c>
      <c r="D832">
        <f>IFERROR(SEARCH(search!$B$6,samples!B369,1),0)</f>
        <v>0</v>
      </c>
      <c r="E832" t="str">
        <f>IF(samples!C369=0,"",samples!C369)</f>
        <v/>
      </c>
      <c r="F832">
        <f>IFERROR(SEARCH(search!$B$6,samples!C369,1),0)</f>
        <v>0</v>
      </c>
      <c r="G832" t="str">
        <f>IF(samples!D369=0,"",samples!D369)</f>
        <v/>
      </c>
      <c r="H832">
        <f>IFERROR(SEARCH(search!$B$6,samples!D369,1),0)</f>
        <v>0</v>
      </c>
      <c r="I832" t="str">
        <f>IF(samples!E369=0,"",samples!E369)</f>
        <v/>
      </c>
      <c r="J832">
        <f>IFERROR(SEARCH(search!$B$6,samples!E369,1),0)</f>
        <v>0</v>
      </c>
      <c r="K832" t="str">
        <f>IF(samples!F369=0,"",samples!F369)</f>
        <v/>
      </c>
      <c r="L832">
        <f>IFERROR(SEARCH(search!$B$6,samples!F369,1),0)</f>
        <v>0</v>
      </c>
      <c r="M832" t="str">
        <f>IF(samples!G369=0,"",samples!G369)</f>
        <v/>
      </c>
      <c r="N832">
        <f>IFERROR(SEARCH(search!$B$6,samples!G369,1),0)</f>
        <v>0</v>
      </c>
      <c r="O832" t="str">
        <f>IF(samples!H369=0,"",samples!H369)</f>
        <v/>
      </c>
      <c r="P832">
        <f>IFERROR(SEARCH(search!$B$6,samples!H369,1),0)</f>
        <v>0</v>
      </c>
      <c r="Q832" t="str">
        <f>IF(samples!I369=0,"",samples!I369)</f>
        <v/>
      </c>
      <c r="R832">
        <f>IFERROR(SEARCH(search!$B$6,samples!I369,1),0)</f>
        <v>0</v>
      </c>
      <c r="S832" t="str">
        <f>IF(samples!J369=0,"",samples!J369)</f>
        <v/>
      </c>
      <c r="T832">
        <f>IFERROR(SEARCH(search!$B$6,samples!J369,1),0)</f>
        <v>0</v>
      </c>
      <c r="U832" t="str">
        <f>IF(samples!K369=0,"",samples!K369)</f>
        <v/>
      </c>
      <c r="V832">
        <f>IFERROR(SEARCH(search!$B$6,samples!K369,1),0)</f>
        <v>0</v>
      </c>
      <c r="W832" t="str">
        <f>IF(samples!L369=0,"",samples!L369)</f>
        <v/>
      </c>
      <c r="X832">
        <f>IFERROR(SEARCH(search!$B$6,samples!L369,1),0)</f>
        <v>0</v>
      </c>
      <c r="Y832" t="str">
        <f>IF(samples!M369=0,"",samples!M369)</f>
        <v/>
      </c>
      <c r="Z832">
        <f>IFERROR(SEARCH(search!$B$6,samples!M369,1),0)</f>
        <v>0</v>
      </c>
      <c r="AA832" t="str">
        <f>IF(samples!N369=0,"",samples!N369)</f>
        <v/>
      </c>
      <c r="AB832">
        <f>IFERROR(SEARCH(search!$B$6,samples!N369,1),0)</f>
        <v>0</v>
      </c>
      <c r="AC832" t="str">
        <f>IF(samples!O369=0,"",samples!O369)</f>
        <v/>
      </c>
      <c r="AD832">
        <f>IFERROR(SEARCH(search!$B$6,samples!O369,1),0)</f>
        <v>0</v>
      </c>
    </row>
    <row r="833" spans="1:30">
      <c r="A833">
        <f t="shared" si="12"/>
        <v>0</v>
      </c>
      <c r="B833">
        <f>IF(SUM(D833,F833,H833,J833,L833,N833,P833,R833,T833,V833,X833,Z833,AB833,AD833)&gt;0,SUM($A$2:A833),0)</f>
        <v>0</v>
      </c>
      <c r="C833">
        <f>samples!B370</f>
        <v>0</v>
      </c>
      <c r="D833">
        <f>IFERROR(SEARCH(search!$B$6,samples!B370,1),0)</f>
        <v>0</v>
      </c>
      <c r="E833" t="str">
        <f>IF(samples!C370=0,"",samples!C370)</f>
        <v/>
      </c>
      <c r="F833">
        <f>IFERROR(SEARCH(search!$B$6,samples!C370,1),0)</f>
        <v>0</v>
      </c>
      <c r="G833" t="str">
        <f>IF(samples!D370=0,"",samples!D370)</f>
        <v/>
      </c>
      <c r="H833">
        <f>IFERROR(SEARCH(search!$B$6,samples!D370,1),0)</f>
        <v>0</v>
      </c>
      <c r="I833" t="str">
        <f>IF(samples!E370=0,"",samples!E370)</f>
        <v/>
      </c>
      <c r="J833">
        <f>IFERROR(SEARCH(search!$B$6,samples!E370,1),0)</f>
        <v>0</v>
      </c>
      <c r="K833" t="str">
        <f>IF(samples!F370=0,"",samples!F370)</f>
        <v/>
      </c>
      <c r="L833">
        <f>IFERROR(SEARCH(search!$B$6,samples!F370,1),0)</f>
        <v>0</v>
      </c>
      <c r="M833" t="str">
        <f>IF(samples!G370=0,"",samples!G370)</f>
        <v/>
      </c>
      <c r="N833">
        <f>IFERROR(SEARCH(search!$B$6,samples!G370,1),0)</f>
        <v>0</v>
      </c>
      <c r="O833" t="str">
        <f>IF(samples!H370=0,"",samples!H370)</f>
        <v/>
      </c>
      <c r="P833">
        <f>IFERROR(SEARCH(search!$B$6,samples!H370,1),0)</f>
        <v>0</v>
      </c>
      <c r="Q833" t="str">
        <f>IF(samples!I370=0,"",samples!I370)</f>
        <v/>
      </c>
      <c r="R833">
        <f>IFERROR(SEARCH(search!$B$6,samples!I370,1),0)</f>
        <v>0</v>
      </c>
      <c r="S833" t="str">
        <f>IF(samples!J370=0,"",samples!J370)</f>
        <v/>
      </c>
      <c r="T833">
        <f>IFERROR(SEARCH(search!$B$6,samples!J370,1),0)</f>
        <v>0</v>
      </c>
      <c r="U833" t="str">
        <f>IF(samples!K370=0,"",samples!K370)</f>
        <v/>
      </c>
      <c r="V833">
        <f>IFERROR(SEARCH(search!$B$6,samples!K370,1),0)</f>
        <v>0</v>
      </c>
      <c r="W833" t="str">
        <f>IF(samples!L370=0,"",samples!L370)</f>
        <v/>
      </c>
      <c r="X833">
        <f>IFERROR(SEARCH(search!$B$6,samples!L370,1),0)</f>
        <v>0</v>
      </c>
      <c r="Y833" t="str">
        <f>IF(samples!M370=0,"",samples!M370)</f>
        <v/>
      </c>
      <c r="Z833">
        <f>IFERROR(SEARCH(search!$B$6,samples!M370,1),0)</f>
        <v>0</v>
      </c>
      <c r="AA833" t="str">
        <f>IF(samples!N370=0,"",samples!N370)</f>
        <v/>
      </c>
      <c r="AB833">
        <f>IFERROR(SEARCH(search!$B$6,samples!N370,1),0)</f>
        <v>0</v>
      </c>
      <c r="AC833" t="str">
        <f>IF(samples!O370=0,"",samples!O370)</f>
        <v/>
      </c>
      <c r="AD833">
        <f>IFERROR(SEARCH(search!$B$6,samples!O370,1),0)</f>
        <v>0</v>
      </c>
    </row>
    <row r="834" spans="1:30">
      <c r="A834">
        <f t="shared" si="12"/>
        <v>0</v>
      </c>
      <c r="B834">
        <f>IF(SUM(D834,F834,H834,J834,L834,N834,P834,R834,T834,V834,X834,Z834,AB834,AD834)&gt;0,SUM($A$2:A834),0)</f>
        <v>0</v>
      </c>
      <c r="C834">
        <f>samples!B371</f>
        <v>0</v>
      </c>
      <c r="D834">
        <f>IFERROR(SEARCH(search!$B$6,samples!B371,1),0)</f>
        <v>0</v>
      </c>
      <c r="E834" t="str">
        <f>IF(samples!C371=0,"",samples!C371)</f>
        <v/>
      </c>
      <c r="F834">
        <f>IFERROR(SEARCH(search!$B$6,samples!C371,1),0)</f>
        <v>0</v>
      </c>
      <c r="G834" t="str">
        <f>IF(samples!D371=0,"",samples!D371)</f>
        <v/>
      </c>
      <c r="H834">
        <f>IFERROR(SEARCH(search!$B$6,samples!D371,1),0)</f>
        <v>0</v>
      </c>
      <c r="I834" t="str">
        <f>IF(samples!E371=0,"",samples!E371)</f>
        <v/>
      </c>
      <c r="J834">
        <f>IFERROR(SEARCH(search!$B$6,samples!E371,1),0)</f>
        <v>0</v>
      </c>
      <c r="K834" t="str">
        <f>IF(samples!F371=0,"",samples!F371)</f>
        <v/>
      </c>
      <c r="L834">
        <f>IFERROR(SEARCH(search!$B$6,samples!F371,1),0)</f>
        <v>0</v>
      </c>
      <c r="M834" t="str">
        <f>IF(samples!G371=0,"",samples!G371)</f>
        <v/>
      </c>
      <c r="N834">
        <f>IFERROR(SEARCH(search!$B$6,samples!G371,1),0)</f>
        <v>0</v>
      </c>
      <c r="O834" t="str">
        <f>IF(samples!H371=0,"",samples!H371)</f>
        <v/>
      </c>
      <c r="P834">
        <f>IFERROR(SEARCH(search!$B$6,samples!H371,1),0)</f>
        <v>0</v>
      </c>
      <c r="Q834" t="str">
        <f>IF(samples!I371=0,"",samples!I371)</f>
        <v/>
      </c>
      <c r="R834">
        <f>IFERROR(SEARCH(search!$B$6,samples!I371,1),0)</f>
        <v>0</v>
      </c>
      <c r="S834" t="str">
        <f>IF(samples!J371=0,"",samples!J371)</f>
        <v/>
      </c>
      <c r="T834">
        <f>IFERROR(SEARCH(search!$B$6,samples!J371,1),0)</f>
        <v>0</v>
      </c>
      <c r="U834" t="str">
        <f>IF(samples!K371=0,"",samples!K371)</f>
        <v/>
      </c>
      <c r="V834">
        <f>IFERROR(SEARCH(search!$B$6,samples!K371,1),0)</f>
        <v>0</v>
      </c>
      <c r="W834" t="str">
        <f>IF(samples!L371=0,"",samples!L371)</f>
        <v/>
      </c>
      <c r="X834">
        <f>IFERROR(SEARCH(search!$B$6,samples!L371,1),0)</f>
        <v>0</v>
      </c>
      <c r="Y834" t="str">
        <f>IF(samples!M371=0,"",samples!M371)</f>
        <v/>
      </c>
      <c r="Z834">
        <f>IFERROR(SEARCH(search!$B$6,samples!M371,1),0)</f>
        <v>0</v>
      </c>
      <c r="AA834" t="str">
        <f>IF(samples!N371=0,"",samples!N371)</f>
        <v/>
      </c>
      <c r="AB834">
        <f>IFERROR(SEARCH(search!$B$6,samples!N371,1),0)</f>
        <v>0</v>
      </c>
      <c r="AC834" t="str">
        <f>IF(samples!O371=0,"",samples!O371)</f>
        <v/>
      </c>
      <c r="AD834">
        <f>IFERROR(SEARCH(search!$B$6,samples!O371,1),0)</f>
        <v>0</v>
      </c>
    </row>
    <row r="835" spans="1:30">
      <c r="A835">
        <f t="shared" ref="A835:A898" si="13">IF(SUM(D835,F835,H835,J835,L835,N835,P835,R835,T835,V835,X835,Z835,AB835,AD835)&gt;0,1,0)</f>
        <v>0</v>
      </c>
      <c r="B835">
        <f>IF(SUM(D835,F835,H835,J835,L835,N835,P835,R835,T835,V835,X835,Z835,AB835,AD835)&gt;0,SUM($A$2:A835),0)</f>
        <v>0</v>
      </c>
      <c r="C835">
        <f>samples!B372</f>
        <v>0</v>
      </c>
      <c r="D835">
        <f>IFERROR(SEARCH(search!$B$6,samples!B372,1),0)</f>
        <v>0</v>
      </c>
      <c r="E835" t="str">
        <f>IF(samples!C372=0,"",samples!C372)</f>
        <v/>
      </c>
      <c r="F835">
        <f>IFERROR(SEARCH(search!$B$6,samples!C372,1),0)</f>
        <v>0</v>
      </c>
      <c r="G835" t="str">
        <f>IF(samples!D372=0,"",samples!D372)</f>
        <v/>
      </c>
      <c r="H835">
        <f>IFERROR(SEARCH(search!$B$6,samples!D372,1),0)</f>
        <v>0</v>
      </c>
      <c r="I835" t="str">
        <f>IF(samples!E372=0,"",samples!E372)</f>
        <v/>
      </c>
      <c r="J835">
        <f>IFERROR(SEARCH(search!$B$6,samples!E372,1),0)</f>
        <v>0</v>
      </c>
      <c r="K835" t="str">
        <f>IF(samples!F372=0,"",samples!F372)</f>
        <v/>
      </c>
      <c r="L835">
        <f>IFERROR(SEARCH(search!$B$6,samples!F372,1),0)</f>
        <v>0</v>
      </c>
      <c r="M835" t="str">
        <f>IF(samples!G372=0,"",samples!G372)</f>
        <v/>
      </c>
      <c r="N835">
        <f>IFERROR(SEARCH(search!$B$6,samples!G372,1),0)</f>
        <v>0</v>
      </c>
      <c r="O835" t="str">
        <f>IF(samples!H372=0,"",samples!H372)</f>
        <v/>
      </c>
      <c r="P835">
        <f>IFERROR(SEARCH(search!$B$6,samples!H372,1),0)</f>
        <v>0</v>
      </c>
      <c r="Q835" t="str">
        <f>IF(samples!I372=0,"",samples!I372)</f>
        <v/>
      </c>
      <c r="R835">
        <f>IFERROR(SEARCH(search!$B$6,samples!I372,1),0)</f>
        <v>0</v>
      </c>
      <c r="S835" t="str">
        <f>IF(samples!J372=0,"",samples!J372)</f>
        <v/>
      </c>
      <c r="T835">
        <f>IFERROR(SEARCH(search!$B$6,samples!J372,1),0)</f>
        <v>0</v>
      </c>
      <c r="U835" t="str">
        <f>IF(samples!K372=0,"",samples!K372)</f>
        <v/>
      </c>
      <c r="V835">
        <f>IFERROR(SEARCH(search!$B$6,samples!K372,1),0)</f>
        <v>0</v>
      </c>
      <c r="W835" t="str">
        <f>IF(samples!L372=0,"",samples!L372)</f>
        <v/>
      </c>
      <c r="X835">
        <f>IFERROR(SEARCH(search!$B$6,samples!L372,1),0)</f>
        <v>0</v>
      </c>
      <c r="Y835" t="str">
        <f>IF(samples!M372=0,"",samples!M372)</f>
        <v/>
      </c>
      <c r="Z835">
        <f>IFERROR(SEARCH(search!$B$6,samples!M372,1),0)</f>
        <v>0</v>
      </c>
      <c r="AA835" t="str">
        <f>IF(samples!N372=0,"",samples!N372)</f>
        <v/>
      </c>
      <c r="AB835">
        <f>IFERROR(SEARCH(search!$B$6,samples!N372,1),0)</f>
        <v>0</v>
      </c>
      <c r="AC835" t="str">
        <f>IF(samples!O372=0,"",samples!O372)</f>
        <v/>
      </c>
      <c r="AD835">
        <f>IFERROR(SEARCH(search!$B$6,samples!O372,1),0)</f>
        <v>0</v>
      </c>
    </row>
    <row r="836" spans="1:30">
      <c r="A836">
        <f t="shared" si="13"/>
        <v>0</v>
      </c>
      <c r="B836">
        <f>IF(SUM(D836,F836,H836,J836,L836,N836,P836,R836,T836,V836,X836,Z836,AB836,AD836)&gt;0,SUM($A$2:A836),0)</f>
        <v>0</v>
      </c>
      <c r="C836">
        <f>samples!B373</f>
        <v>0</v>
      </c>
      <c r="D836">
        <f>IFERROR(SEARCH(search!$B$6,samples!B373,1),0)</f>
        <v>0</v>
      </c>
      <c r="E836" t="str">
        <f>IF(samples!C373=0,"",samples!C373)</f>
        <v/>
      </c>
      <c r="F836">
        <f>IFERROR(SEARCH(search!$B$6,samples!C373,1),0)</f>
        <v>0</v>
      </c>
      <c r="G836" t="str">
        <f>IF(samples!D373=0,"",samples!D373)</f>
        <v/>
      </c>
      <c r="H836">
        <f>IFERROR(SEARCH(search!$B$6,samples!D373,1),0)</f>
        <v>0</v>
      </c>
      <c r="I836" t="str">
        <f>IF(samples!E373=0,"",samples!E373)</f>
        <v/>
      </c>
      <c r="J836">
        <f>IFERROR(SEARCH(search!$B$6,samples!E373,1),0)</f>
        <v>0</v>
      </c>
      <c r="K836" t="str">
        <f>IF(samples!F373=0,"",samples!F373)</f>
        <v/>
      </c>
      <c r="L836">
        <f>IFERROR(SEARCH(search!$B$6,samples!F373,1),0)</f>
        <v>0</v>
      </c>
      <c r="M836" t="str">
        <f>IF(samples!G373=0,"",samples!G373)</f>
        <v/>
      </c>
      <c r="N836">
        <f>IFERROR(SEARCH(search!$B$6,samples!G373,1),0)</f>
        <v>0</v>
      </c>
      <c r="O836" t="str">
        <f>IF(samples!H373=0,"",samples!H373)</f>
        <v/>
      </c>
      <c r="P836">
        <f>IFERROR(SEARCH(search!$B$6,samples!H373,1),0)</f>
        <v>0</v>
      </c>
      <c r="Q836" t="str">
        <f>IF(samples!I373=0,"",samples!I373)</f>
        <v/>
      </c>
      <c r="R836">
        <f>IFERROR(SEARCH(search!$B$6,samples!I373,1),0)</f>
        <v>0</v>
      </c>
      <c r="S836" t="str">
        <f>IF(samples!J373=0,"",samples!J373)</f>
        <v/>
      </c>
      <c r="T836">
        <f>IFERROR(SEARCH(search!$B$6,samples!J373,1),0)</f>
        <v>0</v>
      </c>
      <c r="U836" t="str">
        <f>IF(samples!K373=0,"",samples!K373)</f>
        <v/>
      </c>
      <c r="V836">
        <f>IFERROR(SEARCH(search!$B$6,samples!K373,1),0)</f>
        <v>0</v>
      </c>
      <c r="W836" t="str">
        <f>IF(samples!L373=0,"",samples!L373)</f>
        <v/>
      </c>
      <c r="X836">
        <f>IFERROR(SEARCH(search!$B$6,samples!L373,1),0)</f>
        <v>0</v>
      </c>
      <c r="Y836" t="str">
        <f>IF(samples!M373=0,"",samples!M373)</f>
        <v/>
      </c>
      <c r="Z836">
        <f>IFERROR(SEARCH(search!$B$6,samples!M373,1),0)</f>
        <v>0</v>
      </c>
      <c r="AA836" t="str">
        <f>IF(samples!N373=0,"",samples!N373)</f>
        <v/>
      </c>
      <c r="AB836">
        <f>IFERROR(SEARCH(search!$B$6,samples!N373,1),0)</f>
        <v>0</v>
      </c>
      <c r="AC836" t="str">
        <f>IF(samples!O373=0,"",samples!O373)</f>
        <v/>
      </c>
      <c r="AD836">
        <f>IFERROR(SEARCH(search!$B$6,samples!O373,1),0)</f>
        <v>0</v>
      </c>
    </row>
    <row r="837" spans="1:30">
      <c r="A837">
        <f t="shared" si="13"/>
        <v>0</v>
      </c>
      <c r="B837">
        <f>IF(SUM(D837,F837,H837,J837,L837,N837,P837,R837,T837,V837,X837,Z837,AB837,AD837)&gt;0,SUM($A$2:A837),0)</f>
        <v>0</v>
      </c>
      <c r="C837">
        <f>samples!B374</f>
        <v>0</v>
      </c>
      <c r="D837">
        <f>IFERROR(SEARCH(search!$B$6,samples!B374,1),0)</f>
        <v>0</v>
      </c>
      <c r="E837" t="str">
        <f>IF(samples!C374=0,"",samples!C374)</f>
        <v/>
      </c>
      <c r="F837">
        <f>IFERROR(SEARCH(search!$B$6,samples!C374,1),0)</f>
        <v>0</v>
      </c>
      <c r="G837" t="str">
        <f>IF(samples!D374=0,"",samples!D374)</f>
        <v/>
      </c>
      <c r="H837">
        <f>IFERROR(SEARCH(search!$B$6,samples!D374,1),0)</f>
        <v>0</v>
      </c>
      <c r="I837" t="str">
        <f>IF(samples!E374=0,"",samples!E374)</f>
        <v/>
      </c>
      <c r="J837">
        <f>IFERROR(SEARCH(search!$B$6,samples!E374,1),0)</f>
        <v>0</v>
      </c>
      <c r="K837" t="str">
        <f>IF(samples!F374=0,"",samples!F374)</f>
        <v/>
      </c>
      <c r="L837">
        <f>IFERROR(SEARCH(search!$B$6,samples!F374,1),0)</f>
        <v>0</v>
      </c>
      <c r="M837" t="str">
        <f>IF(samples!G374=0,"",samples!G374)</f>
        <v/>
      </c>
      <c r="N837">
        <f>IFERROR(SEARCH(search!$B$6,samples!G374,1),0)</f>
        <v>0</v>
      </c>
      <c r="O837" t="str">
        <f>IF(samples!H374=0,"",samples!H374)</f>
        <v/>
      </c>
      <c r="P837">
        <f>IFERROR(SEARCH(search!$B$6,samples!H374,1),0)</f>
        <v>0</v>
      </c>
      <c r="Q837" t="str">
        <f>IF(samples!I374=0,"",samples!I374)</f>
        <v/>
      </c>
      <c r="R837">
        <f>IFERROR(SEARCH(search!$B$6,samples!I374,1),0)</f>
        <v>0</v>
      </c>
      <c r="S837" t="str">
        <f>IF(samples!J374=0,"",samples!J374)</f>
        <v/>
      </c>
      <c r="T837">
        <f>IFERROR(SEARCH(search!$B$6,samples!J374,1),0)</f>
        <v>0</v>
      </c>
      <c r="U837" t="str">
        <f>IF(samples!K374=0,"",samples!K374)</f>
        <v/>
      </c>
      <c r="V837">
        <f>IFERROR(SEARCH(search!$B$6,samples!K374,1),0)</f>
        <v>0</v>
      </c>
      <c r="W837" t="str">
        <f>IF(samples!L374=0,"",samples!L374)</f>
        <v/>
      </c>
      <c r="X837">
        <f>IFERROR(SEARCH(search!$B$6,samples!L374,1),0)</f>
        <v>0</v>
      </c>
      <c r="Y837" t="str">
        <f>IF(samples!M374=0,"",samples!M374)</f>
        <v/>
      </c>
      <c r="Z837">
        <f>IFERROR(SEARCH(search!$B$6,samples!M374,1),0)</f>
        <v>0</v>
      </c>
      <c r="AA837" t="str">
        <f>IF(samples!N374=0,"",samples!N374)</f>
        <v/>
      </c>
      <c r="AB837">
        <f>IFERROR(SEARCH(search!$B$6,samples!N374,1),0)</f>
        <v>0</v>
      </c>
      <c r="AC837" t="str">
        <f>IF(samples!O374=0,"",samples!O374)</f>
        <v/>
      </c>
      <c r="AD837">
        <f>IFERROR(SEARCH(search!$B$6,samples!O374,1),0)</f>
        <v>0</v>
      </c>
    </row>
    <row r="838" spans="1:30">
      <c r="A838">
        <f t="shared" si="13"/>
        <v>0</v>
      </c>
      <c r="B838">
        <f>IF(SUM(D838,F838,H838,J838,L838,N838,P838,R838,T838,V838,X838,Z838,AB838,AD838)&gt;0,SUM($A$2:A838),0)</f>
        <v>0</v>
      </c>
      <c r="C838">
        <f>samples!B375</f>
        <v>0</v>
      </c>
      <c r="D838">
        <f>IFERROR(SEARCH(search!$B$6,samples!B375,1),0)</f>
        <v>0</v>
      </c>
      <c r="E838" t="str">
        <f>IF(samples!C375=0,"",samples!C375)</f>
        <v/>
      </c>
      <c r="F838">
        <f>IFERROR(SEARCH(search!$B$6,samples!C375,1),0)</f>
        <v>0</v>
      </c>
      <c r="G838" t="str">
        <f>IF(samples!D375=0,"",samples!D375)</f>
        <v/>
      </c>
      <c r="H838">
        <f>IFERROR(SEARCH(search!$B$6,samples!D375,1),0)</f>
        <v>0</v>
      </c>
      <c r="I838" t="str">
        <f>IF(samples!E375=0,"",samples!E375)</f>
        <v/>
      </c>
      <c r="J838">
        <f>IFERROR(SEARCH(search!$B$6,samples!E375,1),0)</f>
        <v>0</v>
      </c>
      <c r="K838" t="str">
        <f>IF(samples!F375=0,"",samples!F375)</f>
        <v/>
      </c>
      <c r="L838">
        <f>IFERROR(SEARCH(search!$B$6,samples!F375,1),0)</f>
        <v>0</v>
      </c>
      <c r="M838" t="str">
        <f>IF(samples!G375=0,"",samples!G375)</f>
        <v/>
      </c>
      <c r="N838">
        <f>IFERROR(SEARCH(search!$B$6,samples!G375,1),0)</f>
        <v>0</v>
      </c>
      <c r="O838" t="str">
        <f>IF(samples!H375=0,"",samples!H375)</f>
        <v/>
      </c>
      <c r="P838">
        <f>IFERROR(SEARCH(search!$B$6,samples!H375,1),0)</f>
        <v>0</v>
      </c>
      <c r="Q838" t="str">
        <f>IF(samples!I375=0,"",samples!I375)</f>
        <v/>
      </c>
      <c r="R838">
        <f>IFERROR(SEARCH(search!$B$6,samples!I375,1),0)</f>
        <v>0</v>
      </c>
      <c r="S838" t="str">
        <f>IF(samples!J375=0,"",samples!J375)</f>
        <v/>
      </c>
      <c r="T838">
        <f>IFERROR(SEARCH(search!$B$6,samples!J375,1),0)</f>
        <v>0</v>
      </c>
      <c r="U838" t="str">
        <f>IF(samples!K375=0,"",samples!K375)</f>
        <v/>
      </c>
      <c r="V838">
        <f>IFERROR(SEARCH(search!$B$6,samples!K375,1),0)</f>
        <v>0</v>
      </c>
      <c r="W838" t="str">
        <f>IF(samples!L375=0,"",samples!L375)</f>
        <v/>
      </c>
      <c r="X838">
        <f>IFERROR(SEARCH(search!$B$6,samples!L375,1),0)</f>
        <v>0</v>
      </c>
      <c r="Y838" t="str">
        <f>IF(samples!M375=0,"",samples!M375)</f>
        <v/>
      </c>
      <c r="Z838">
        <f>IFERROR(SEARCH(search!$B$6,samples!M375,1),0)</f>
        <v>0</v>
      </c>
      <c r="AA838" t="str">
        <f>IF(samples!N375=0,"",samples!N375)</f>
        <v/>
      </c>
      <c r="AB838">
        <f>IFERROR(SEARCH(search!$B$6,samples!N375,1),0)</f>
        <v>0</v>
      </c>
      <c r="AC838" t="str">
        <f>IF(samples!O375=0,"",samples!O375)</f>
        <v/>
      </c>
      <c r="AD838">
        <f>IFERROR(SEARCH(search!$B$6,samples!O375,1),0)</f>
        <v>0</v>
      </c>
    </row>
    <row r="839" spans="1:30">
      <c r="A839">
        <f t="shared" si="13"/>
        <v>0</v>
      </c>
      <c r="B839">
        <f>IF(SUM(D839,F839,H839,J839,L839,N839,P839,R839,T839,V839,X839,Z839,AB839,AD839)&gt;0,SUM($A$2:A839),0)</f>
        <v>0</v>
      </c>
      <c r="C839">
        <f>samples!B376</f>
        <v>0</v>
      </c>
      <c r="D839">
        <f>IFERROR(SEARCH(search!$B$6,samples!B376,1),0)</f>
        <v>0</v>
      </c>
      <c r="E839" t="str">
        <f>IF(samples!C376=0,"",samples!C376)</f>
        <v/>
      </c>
      <c r="F839">
        <f>IFERROR(SEARCH(search!$B$6,samples!C376,1),0)</f>
        <v>0</v>
      </c>
      <c r="G839" t="str">
        <f>IF(samples!D376=0,"",samples!D376)</f>
        <v/>
      </c>
      <c r="H839">
        <f>IFERROR(SEARCH(search!$B$6,samples!D376,1),0)</f>
        <v>0</v>
      </c>
      <c r="I839" t="str">
        <f>IF(samples!E376=0,"",samples!E376)</f>
        <v/>
      </c>
      <c r="J839">
        <f>IFERROR(SEARCH(search!$B$6,samples!E376,1),0)</f>
        <v>0</v>
      </c>
      <c r="K839" t="str">
        <f>IF(samples!F376=0,"",samples!F376)</f>
        <v/>
      </c>
      <c r="L839">
        <f>IFERROR(SEARCH(search!$B$6,samples!F376,1),0)</f>
        <v>0</v>
      </c>
      <c r="M839" t="str">
        <f>IF(samples!G376=0,"",samples!G376)</f>
        <v/>
      </c>
      <c r="N839">
        <f>IFERROR(SEARCH(search!$B$6,samples!G376,1),0)</f>
        <v>0</v>
      </c>
      <c r="O839" t="str">
        <f>IF(samples!H376=0,"",samples!H376)</f>
        <v/>
      </c>
      <c r="P839">
        <f>IFERROR(SEARCH(search!$B$6,samples!H376,1),0)</f>
        <v>0</v>
      </c>
      <c r="Q839" t="str">
        <f>IF(samples!I376=0,"",samples!I376)</f>
        <v/>
      </c>
      <c r="R839">
        <f>IFERROR(SEARCH(search!$B$6,samples!I376,1),0)</f>
        <v>0</v>
      </c>
      <c r="S839" t="str">
        <f>IF(samples!J376=0,"",samples!J376)</f>
        <v/>
      </c>
      <c r="T839">
        <f>IFERROR(SEARCH(search!$B$6,samples!J376,1),0)</f>
        <v>0</v>
      </c>
      <c r="U839" t="str">
        <f>IF(samples!K376=0,"",samples!K376)</f>
        <v/>
      </c>
      <c r="V839">
        <f>IFERROR(SEARCH(search!$B$6,samples!K376,1),0)</f>
        <v>0</v>
      </c>
      <c r="W839" t="str">
        <f>IF(samples!L376=0,"",samples!L376)</f>
        <v/>
      </c>
      <c r="X839">
        <f>IFERROR(SEARCH(search!$B$6,samples!L376,1),0)</f>
        <v>0</v>
      </c>
      <c r="Y839" t="str">
        <f>IF(samples!M376=0,"",samples!M376)</f>
        <v/>
      </c>
      <c r="Z839">
        <f>IFERROR(SEARCH(search!$B$6,samples!M376,1),0)</f>
        <v>0</v>
      </c>
      <c r="AA839" t="str">
        <f>IF(samples!N376=0,"",samples!N376)</f>
        <v/>
      </c>
      <c r="AB839">
        <f>IFERROR(SEARCH(search!$B$6,samples!N376,1),0)</f>
        <v>0</v>
      </c>
      <c r="AC839" t="str">
        <f>IF(samples!O376=0,"",samples!O376)</f>
        <v/>
      </c>
      <c r="AD839">
        <f>IFERROR(SEARCH(search!$B$6,samples!O376,1),0)</f>
        <v>0</v>
      </c>
    </row>
    <row r="840" spans="1:30">
      <c r="A840">
        <f t="shared" si="13"/>
        <v>0</v>
      </c>
      <c r="B840">
        <f>IF(SUM(D840,F840,H840,J840,L840,N840,P840,R840,T840,V840,X840,Z840,AB840,AD840)&gt;0,SUM($A$2:A840),0)</f>
        <v>0</v>
      </c>
      <c r="C840">
        <f>samples!B377</f>
        <v>0</v>
      </c>
      <c r="D840">
        <f>IFERROR(SEARCH(search!$B$6,samples!B377,1),0)</f>
        <v>0</v>
      </c>
      <c r="E840" t="str">
        <f>IF(samples!C377=0,"",samples!C377)</f>
        <v/>
      </c>
      <c r="F840">
        <f>IFERROR(SEARCH(search!$B$6,samples!C377,1),0)</f>
        <v>0</v>
      </c>
      <c r="G840" t="str">
        <f>IF(samples!D377=0,"",samples!D377)</f>
        <v/>
      </c>
      <c r="H840">
        <f>IFERROR(SEARCH(search!$B$6,samples!D377,1),0)</f>
        <v>0</v>
      </c>
      <c r="I840" t="str">
        <f>IF(samples!E377=0,"",samples!E377)</f>
        <v/>
      </c>
      <c r="J840">
        <f>IFERROR(SEARCH(search!$B$6,samples!E377,1),0)</f>
        <v>0</v>
      </c>
      <c r="K840" t="str">
        <f>IF(samples!F377=0,"",samples!F377)</f>
        <v/>
      </c>
      <c r="L840">
        <f>IFERROR(SEARCH(search!$B$6,samples!F377,1),0)</f>
        <v>0</v>
      </c>
      <c r="M840" t="str">
        <f>IF(samples!G377=0,"",samples!G377)</f>
        <v/>
      </c>
      <c r="N840">
        <f>IFERROR(SEARCH(search!$B$6,samples!G377,1),0)</f>
        <v>0</v>
      </c>
      <c r="O840" t="str">
        <f>IF(samples!H377=0,"",samples!H377)</f>
        <v/>
      </c>
      <c r="P840">
        <f>IFERROR(SEARCH(search!$B$6,samples!H377,1),0)</f>
        <v>0</v>
      </c>
      <c r="Q840" t="str">
        <f>IF(samples!I377=0,"",samples!I377)</f>
        <v/>
      </c>
      <c r="R840">
        <f>IFERROR(SEARCH(search!$B$6,samples!I377,1),0)</f>
        <v>0</v>
      </c>
      <c r="S840" t="str">
        <f>IF(samples!J377=0,"",samples!J377)</f>
        <v/>
      </c>
      <c r="T840">
        <f>IFERROR(SEARCH(search!$B$6,samples!J377,1),0)</f>
        <v>0</v>
      </c>
      <c r="U840" t="str">
        <f>IF(samples!K377=0,"",samples!K377)</f>
        <v/>
      </c>
      <c r="V840">
        <f>IFERROR(SEARCH(search!$B$6,samples!K377,1),0)</f>
        <v>0</v>
      </c>
      <c r="W840" t="str">
        <f>IF(samples!L377=0,"",samples!L377)</f>
        <v/>
      </c>
      <c r="X840">
        <f>IFERROR(SEARCH(search!$B$6,samples!L377,1),0)</f>
        <v>0</v>
      </c>
      <c r="Y840" t="str">
        <f>IF(samples!M377=0,"",samples!M377)</f>
        <v/>
      </c>
      <c r="Z840">
        <f>IFERROR(SEARCH(search!$B$6,samples!M377,1),0)</f>
        <v>0</v>
      </c>
      <c r="AA840" t="str">
        <f>IF(samples!N377=0,"",samples!N377)</f>
        <v/>
      </c>
      <c r="AB840">
        <f>IFERROR(SEARCH(search!$B$6,samples!N377,1),0)</f>
        <v>0</v>
      </c>
      <c r="AC840" t="str">
        <f>IF(samples!O377=0,"",samples!O377)</f>
        <v/>
      </c>
      <c r="AD840">
        <f>IFERROR(SEARCH(search!$B$6,samples!O377,1),0)</f>
        <v>0</v>
      </c>
    </row>
    <row r="841" spans="1:30">
      <c r="A841">
        <f t="shared" si="13"/>
        <v>0</v>
      </c>
      <c r="B841">
        <f>IF(SUM(D841,F841,H841,J841,L841,N841,P841,R841,T841,V841,X841,Z841,AB841,AD841)&gt;0,SUM($A$2:A841),0)</f>
        <v>0</v>
      </c>
      <c r="C841">
        <f>samples!B378</f>
        <v>0</v>
      </c>
      <c r="D841">
        <f>IFERROR(SEARCH(search!$B$6,samples!B378,1),0)</f>
        <v>0</v>
      </c>
      <c r="E841" t="str">
        <f>IF(samples!C378=0,"",samples!C378)</f>
        <v/>
      </c>
      <c r="F841">
        <f>IFERROR(SEARCH(search!$B$6,samples!C378,1),0)</f>
        <v>0</v>
      </c>
      <c r="G841" t="str">
        <f>IF(samples!D378=0,"",samples!D378)</f>
        <v/>
      </c>
      <c r="H841">
        <f>IFERROR(SEARCH(search!$B$6,samples!D378,1),0)</f>
        <v>0</v>
      </c>
      <c r="I841" t="str">
        <f>IF(samples!E378=0,"",samples!E378)</f>
        <v/>
      </c>
      <c r="J841">
        <f>IFERROR(SEARCH(search!$B$6,samples!E378,1),0)</f>
        <v>0</v>
      </c>
      <c r="K841" t="str">
        <f>IF(samples!F378=0,"",samples!F378)</f>
        <v/>
      </c>
      <c r="L841">
        <f>IFERROR(SEARCH(search!$B$6,samples!F378,1),0)</f>
        <v>0</v>
      </c>
      <c r="M841" t="str">
        <f>IF(samples!G378=0,"",samples!G378)</f>
        <v/>
      </c>
      <c r="N841">
        <f>IFERROR(SEARCH(search!$B$6,samples!G378,1),0)</f>
        <v>0</v>
      </c>
      <c r="O841" t="str">
        <f>IF(samples!H378=0,"",samples!H378)</f>
        <v/>
      </c>
      <c r="P841">
        <f>IFERROR(SEARCH(search!$B$6,samples!H378,1),0)</f>
        <v>0</v>
      </c>
      <c r="Q841" t="str">
        <f>IF(samples!I378=0,"",samples!I378)</f>
        <v/>
      </c>
      <c r="R841">
        <f>IFERROR(SEARCH(search!$B$6,samples!I378,1),0)</f>
        <v>0</v>
      </c>
      <c r="S841" t="str">
        <f>IF(samples!J378=0,"",samples!J378)</f>
        <v/>
      </c>
      <c r="T841">
        <f>IFERROR(SEARCH(search!$B$6,samples!J378,1),0)</f>
        <v>0</v>
      </c>
      <c r="U841" t="str">
        <f>IF(samples!K378=0,"",samples!K378)</f>
        <v/>
      </c>
      <c r="V841">
        <f>IFERROR(SEARCH(search!$B$6,samples!K378,1),0)</f>
        <v>0</v>
      </c>
      <c r="W841" t="str">
        <f>IF(samples!L378=0,"",samples!L378)</f>
        <v/>
      </c>
      <c r="X841">
        <f>IFERROR(SEARCH(search!$B$6,samples!L378,1),0)</f>
        <v>0</v>
      </c>
      <c r="Y841" t="str">
        <f>IF(samples!M378=0,"",samples!M378)</f>
        <v/>
      </c>
      <c r="Z841">
        <f>IFERROR(SEARCH(search!$B$6,samples!M378,1),0)</f>
        <v>0</v>
      </c>
      <c r="AA841" t="str">
        <f>IF(samples!N378=0,"",samples!N378)</f>
        <v/>
      </c>
      <c r="AB841">
        <f>IFERROR(SEARCH(search!$B$6,samples!N378,1),0)</f>
        <v>0</v>
      </c>
      <c r="AC841" t="str">
        <f>IF(samples!O378=0,"",samples!O378)</f>
        <v/>
      </c>
      <c r="AD841">
        <f>IFERROR(SEARCH(search!$B$6,samples!O378,1),0)</f>
        <v>0</v>
      </c>
    </row>
    <row r="842" spans="1:30">
      <c r="A842">
        <f t="shared" si="13"/>
        <v>0</v>
      </c>
      <c r="B842">
        <f>IF(SUM(D842,F842,H842,J842,L842,N842,P842,R842,T842,V842,X842,Z842,AB842,AD842)&gt;0,SUM($A$2:A842),0)</f>
        <v>0</v>
      </c>
      <c r="C842">
        <f>samples!B379</f>
        <v>0</v>
      </c>
      <c r="D842">
        <f>IFERROR(SEARCH(search!$B$6,samples!B379,1),0)</f>
        <v>0</v>
      </c>
      <c r="E842" t="str">
        <f>IF(samples!C379=0,"",samples!C379)</f>
        <v/>
      </c>
      <c r="F842">
        <f>IFERROR(SEARCH(search!$B$6,samples!C379,1),0)</f>
        <v>0</v>
      </c>
      <c r="G842" t="str">
        <f>IF(samples!D379=0,"",samples!D379)</f>
        <v/>
      </c>
      <c r="H842">
        <f>IFERROR(SEARCH(search!$B$6,samples!D379,1),0)</f>
        <v>0</v>
      </c>
      <c r="I842" t="str">
        <f>IF(samples!E379=0,"",samples!E379)</f>
        <v/>
      </c>
      <c r="J842">
        <f>IFERROR(SEARCH(search!$B$6,samples!E379,1),0)</f>
        <v>0</v>
      </c>
      <c r="K842" t="str">
        <f>IF(samples!F379=0,"",samples!F379)</f>
        <v/>
      </c>
      <c r="L842">
        <f>IFERROR(SEARCH(search!$B$6,samples!F379,1),0)</f>
        <v>0</v>
      </c>
      <c r="M842" t="str">
        <f>IF(samples!G379=0,"",samples!G379)</f>
        <v/>
      </c>
      <c r="N842">
        <f>IFERROR(SEARCH(search!$B$6,samples!G379,1),0)</f>
        <v>0</v>
      </c>
      <c r="O842" t="str">
        <f>IF(samples!H379=0,"",samples!H379)</f>
        <v/>
      </c>
      <c r="P842">
        <f>IFERROR(SEARCH(search!$B$6,samples!H379,1),0)</f>
        <v>0</v>
      </c>
      <c r="Q842" t="str">
        <f>IF(samples!I379=0,"",samples!I379)</f>
        <v/>
      </c>
      <c r="R842">
        <f>IFERROR(SEARCH(search!$B$6,samples!I379,1),0)</f>
        <v>0</v>
      </c>
      <c r="S842" t="str">
        <f>IF(samples!J379=0,"",samples!J379)</f>
        <v/>
      </c>
      <c r="T842">
        <f>IFERROR(SEARCH(search!$B$6,samples!J379,1),0)</f>
        <v>0</v>
      </c>
      <c r="U842" t="str">
        <f>IF(samples!K379=0,"",samples!K379)</f>
        <v/>
      </c>
      <c r="V842">
        <f>IFERROR(SEARCH(search!$B$6,samples!K379,1),0)</f>
        <v>0</v>
      </c>
      <c r="W842" t="str">
        <f>IF(samples!L379=0,"",samples!L379)</f>
        <v/>
      </c>
      <c r="X842">
        <f>IFERROR(SEARCH(search!$B$6,samples!L379,1),0)</f>
        <v>0</v>
      </c>
      <c r="Y842" t="str">
        <f>IF(samples!M379=0,"",samples!M379)</f>
        <v/>
      </c>
      <c r="Z842">
        <f>IFERROR(SEARCH(search!$B$6,samples!M379,1),0)</f>
        <v>0</v>
      </c>
      <c r="AA842" t="str">
        <f>IF(samples!N379=0,"",samples!N379)</f>
        <v/>
      </c>
      <c r="AB842">
        <f>IFERROR(SEARCH(search!$B$6,samples!N379,1),0)</f>
        <v>0</v>
      </c>
      <c r="AC842" t="str">
        <f>IF(samples!O379=0,"",samples!O379)</f>
        <v/>
      </c>
      <c r="AD842">
        <f>IFERROR(SEARCH(search!$B$6,samples!O379,1),0)</f>
        <v>0</v>
      </c>
    </row>
    <row r="843" spans="1:30">
      <c r="A843">
        <f t="shared" si="13"/>
        <v>0</v>
      </c>
      <c r="B843">
        <f>IF(SUM(D843,F843,H843,J843,L843,N843,P843,R843,T843,V843,X843,Z843,AB843,AD843)&gt;0,SUM($A$2:A843),0)</f>
        <v>0</v>
      </c>
      <c r="C843">
        <f>samples!B380</f>
        <v>0</v>
      </c>
      <c r="D843">
        <f>IFERROR(SEARCH(search!$B$6,samples!B380,1),0)</f>
        <v>0</v>
      </c>
      <c r="E843" t="str">
        <f>IF(samples!C380=0,"",samples!C380)</f>
        <v/>
      </c>
      <c r="F843">
        <f>IFERROR(SEARCH(search!$B$6,samples!C380,1),0)</f>
        <v>0</v>
      </c>
      <c r="G843" t="str">
        <f>IF(samples!D380=0,"",samples!D380)</f>
        <v/>
      </c>
      <c r="H843">
        <f>IFERROR(SEARCH(search!$B$6,samples!D380,1),0)</f>
        <v>0</v>
      </c>
      <c r="I843" t="str">
        <f>IF(samples!E380=0,"",samples!E380)</f>
        <v/>
      </c>
      <c r="J843">
        <f>IFERROR(SEARCH(search!$B$6,samples!E380,1),0)</f>
        <v>0</v>
      </c>
      <c r="K843" t="str">
        <f>IF(samples!F380=0,"",samples!F380)</f>
        <v/>
      </c>
      <c r="L843">
        <f>IFERROR(SEARCH(search!$B$6,samples!F380,1),0)</f>
        <v>0</v>
      </c>
      <c r="M843" t="str">
        <f>IF(samples!G380=0,"",samples!G380)</f>
        <v/>
      </c>
      <c r="N843">
        <f>IFERROR(SEARCH(search!$B$6,samples!G380,1),0)</f>
        <v>0</v>
      </c>
      <c r="O843" t="str">
        <f>IF(samples!H380=0,"",samples!H380)</f>
        <v/>
      </c>
      <c r="P843">
        <f>IFERROR(SEARCH(search!$B$6,samples!H380,1),0)</f>
        <v>0</v>
      </c>
      <c r="Q843" t="str">
        <f>IF(samples!I380=0,"",samples!I380)</f>
        <v/>
      </c>
      <c r="R843">
        <f>IFERROR(SEARCH(search!$B$6,samples!I380,1),0)</f>
        <v>0</v>
      </c>
      <c r="S843" t="str">
        <f>IF(samples!J380=0,"",samples!J380)</f>
        <v/>
      </c>
      <c r="T843">
        <f>IFERROR(SEARCH(search!$B$6,samples!J380,1),0)</f>
        <v>0</v>
      </c>
      <c r="U843" t="str">
        <f>IF(samples!K380=0,"",samples!K380)</f>
        <v/>
      </c>
      <c r="V843">
        <f>IFERROR(SEARCH(search!$B$6,samples!K380,1),0)</f>
        <v>0</v>
      </c>
      <c r="W843" t="str">
        <f>IF(samples!L380=0,"",samples!L380)</f>
        <v/>
      </c>
      <c r="X843">
        <f>IFERROR(SEARCH(search!$B$6,samples!L380,1),0)</f>
        <v>0</v>
      </c>
      <c r="Y843" t="str">
        <f>IF(samples!M380=0,"",samples!M380)</f>
        <v/>
      </c>
      <c r="Z843">
        <f>IFERROR(SEARCH(search!$B$6,samples!M380,1),0)</f>
        <v>0</v>
      </c>
      <c r="AA843" t="str">
        <f>IF(samples!N380=0,"",samples!N380)</f>
        <v/>
      </c>
      <c r="AB843">
        <f>IFERROR(SEARCH(search!$B$6,samples!N380,1),0)</f>
        <v>0</v>
      </c>
      <c r="AC843" t="str">
        <f>IF(samples!O380=0,"",samples!O380)</f>
        <v/>
      </c>
      <c r="AD843">
        <f>IFERROR(SEARCH(search!$B$6,samples!O380,1),0)</f>
        <v>0</v>
      </c>
    </row>
    <row r="844" spans="1:30">
      <c r="A844">
        <f t="shared" si="13"/>
        <v>0</v>
      </c>
      <c r="B844">
        <f>IF(SUM(D844,F844,H844,J844,L844,N844,P844,R844,T844,V844,X844,Z844,AB844,AD844)&gt;0,SUM($A$2:A844),0)</f>
        <v>0</v>
      </c>
      <c r="C844">
        <f>samples!B381</f>
        <v>0</v>
      </c>
      <c r="D844">
        <f>IFERROR(SEARCH(search!$B$6,samples!B381,1),0)</f>
        <v>0</v>
      </c>
      <c r="E844" t="str">
        <f>IF(samples!C381=0,"",samples!C381)</f>
        <v/>
      </c>
      <c r="F844">
        <f>IFERROR(SEARCH(search!$B$6,samples!C381,1),0)</f>
        <v>0</v>
      </c>
      <c r="G844" t="str">
        <f>IF(samples!D381=0,"",samples!D381)</f>
        <v/>
      </c>
      <c r="H844">
        <f>IFERROR(SEARCH(search!$B$6,samples!D381,1),0)</f>
        <v>0</v>
      </c>
      <c r="I844" t="str">
        <f>IF(samples!E381=0,"",samples!E381)</f>
        <v/>
      </c>
      <c r="J844">
        <f>IFERROR(SEARCH(search!$B$6,samples!E381,1),0)</f>
        <v>0</v>
      </c>
      <c r="K844" t="str">
        <f>IF(samples!F381=0,"",samples!F381)</f>
        <v/>
      </c>
      <c r="L844">
        <f>IFERROR(SEARCH(search!$B$6,samples!F381,1),0)</f>
        <v>0</v>
      </c>
      <c r="M844" t="str">
        <f>IF(samples!G381=0,"",samples!G381)</f>
        <v/>
      </c>
      <c r="N844">
        <f>IFERROR(SEARCH(search!$B$6,samples!G381,1),0)</f>
        <v>0</v>
      </c>
      <c r="O844" t="str">
        <f>IF(samples!H381=0,"",samples!H381)</f>
        <v/>
      </c>
      <c r="P844">
        <f>IFERROR(SEARCH(search!$B$6,samples!H381,1),0)</f>
        <v>0</v>
      </c>
      <c r="Q844" t="str">
        <f>IF(samples!I381=0,"",samples!I381)</f>
        <v/>
      </c>
      <c r="R844">
        <f>IFERROR(SEARCH(search!$B$6,samples!I381,1),0)</f>
        <v>0</v>
      </c>
      <c r="S844" t="str">
        <f>IF(samples!J381=0,"",samples!J381)</f>
        <v/>
      </c>
      <c r="T844">
        <f>IFERROR(SEARCH(search!$B$6,samples!J381,1),0)</f>
        <v>0</v>
      </c>
      <c r="U844" t="str">
        <f>IF(samples!K381=0,"",samples!K381)</f>
        <v/>
      </c>
      <c r="V844">
        <f>IFERROR(SEARCH(search!$B$6,samples!K381,1),0)</f>
        <v>0</v>
      </c>
      <c r="W844" t="str">
        <f>IF(samples!L381=0,"",samples!L381)</f>
        <v/>
      </c>
      <c r="X844">
        <f>IFERROR(SEARCH(search!$B$6,samples!L381,1),0)</f>
        <v>0</v>
      </c>
      <c r="Y844" t="str">
        <f>IF(samples!M381=0,"",samples!M381)</f>
        <v/>
      </c>
      <c r="Z844">
        <f>IFERROR(SEARCH(search!$B$6,samples!M381,1),0)</f>
        <v>0</v>
      </c>
      <c r="AA844" t="str">
        <f>IF(samples!N381=0,"",samples!N381)</f>
        <v/>
      </c>
      <c r="AB844">
        <f>IFERROR(SEARCH(search!$B$6,samples!N381,1),0)</f>
        <v>0</v>
      </c>
      <c r="AC844" t="str">
        <f>IF(samples!O381=0,"",samples!O381)</f>
        <v/>
      </c>
      <c r="AD844">
        <f>IFERROR(SEARCH(search!$B$6,samples!O381,1),0)</f>
        <v>0</v>
      </c>
    </row>
    <row r="845" spans="1:30">
      <c r="A845">
        <f t="shared" si="13"/>
        <v>0</v>
      </c>
      <c r="B845">
        <f>IF(SUM(D845,F845,H845,J845,L845,N845,P845,R845,T845,V845,X845,Z845,AB845,AD845)&gt;0,SUM($A$2:A845),0)</f>
        <v>0</v>
      </c>
      <c r="C845">
        <f>samples!B382</f>
        <v>0</v>
      </c>
      <c r="D845">
        <f>IFERROR(SEARCH(search!$B$6,samples!B382,1),0)</f>
        <v>0</v>
      </c>
      <c r="E845" t="str">
        <f>IF(samples!C382=0,"",samples!C382)</f>
        <v/>
      </c>
      <c r="F845">
        <f>IFERROR(SEARCH(search!$B$6,samples!C382,1),0)</f>
        <v>0</v>
      </c>
      <c r="G845" t="str">
        <f>IF(samples!D382=0,"",samples!D382)</f>
        <v/>
      </c>
      <c r="H845">
        <f>IFERROR(SEARCH(search!$B$6,samples!D382,1),0)</f>
        <v>0</v>
      </c>
      <c r="I845" t="str">
        <f>IF(samples!E382=0,"",samples!E382)</f>
        <v/>
      </c>
      <c r="J845">
        <f>IFERROR(SEARCH(search!$B$6,samples!E382,1),0)</f>
        <v>0</v>
      </c>
      <c r="K845" t="str">
        <f>IF(samples!F382=0,"",samples!F382)</f>
        <v/>
      </c>
      <c r="L845">
        <f>IFERROR(SEARCH(search!$B$6,samples!F382,1),0)</f>
        <v>0</v>
      </c>
      <c r="M845" t="str">
        <f>IF(samples!G382=0,"",samples!G382)</f>
        <v/>
      </c>
      <c r="N845">
        <f>IFERROR(SEARCH(search!$B$6,samples!G382,1),0)</f>
        <v>0</v>
      </c>
      <c r="O845" t="str">
        <f>IF(samples!H382=0,"",samples!H382)</f>
        <v/>
      </c>
      <c r="P845">
        <f>IFERROR(SEARCH(search!$B$6,samples!H382,1),0)</f>
        <v>0</v>
      </c>
      <c r="Q845" t="str">
        <f>IF(samples!I382=0,"",samples!I382)</f>
        <v/>
      </c>
      <c r="R845">
        <f>IFERROR(SEARCH(search!$B$6,samples!I382,1),0)</f>
        <v>0</v>
      </c>
      <c r="S845" t="str">
        <f>IF(samples!J382=0,"",samples!J382)</f>
        <v/>
      </c>
      <c r="T845">
        <f>IFERROR(SEARCH(search!$B$6,samples!J382,1),0)</f>
        <v>0</v>
      </c>
      <c r="U845" t="str">
        <f>IF(samples!K382=0,"",samples!K382)</f>
        <v/>
      </c>
      <c r="V845">
        <f>IFERROR(SEARCH(search!$B$6,samples!K382,1),0)</f>
        <v>0</v>
      </c>
      <c r="W845" t="str">
        <f>IF(samples!L382=0,"",samples!L382)</f>
        <v/>
      </c>
      <c r="X845">
        <f>IFERROR(SEARCH(search!$B$6,samples!L382,1),0)</f>
        <v>0</v>
      </c>
      <c r="Y845" t="str">
        <f>IF(samples!M382=0,"",samples!M382)</f>
        <v/>
      </c>
      <c r="Z845">
        <f>IFERROR(SEARCH(search!$B$6,samples!M382,1),0)</f>
        <v>0</v>
      </c>
      <c r="AA845" t="str">
        <f>IF(samples!N382=0,"",samples!N382)</f>
        <v/>
      </c>
      <c r="AB845">
        <f>IFERROR(SEARCH(search!$B$6,samples!N382,1),0)</f>
        <v>0</v>
      </c>
      <c r="AC845" t="str">
        <f>IF(samples!O382=0,"",samples!O382)</f>
        <v/>
      </c>
      <c r="AD845">
        <f>IFERROR(SEARCH(search!$B$6,samples!O382,1),0)</f>
        <v>0</v>
      </c>
    </row>
    <row r="846" spans="1:30">
      <c r="A846">
        <f t="shared" si="13"/>
        <v>0</v>
      </c>
      <c r="B846">
        <f>IF(SUM(D846,F846,H846,J846,L846,N846,P846,R846,T846,V846,X846,Z846,AB846,AD846)&gt;0,SUM($A$2:A846),0)</f>
        <v>0</v>
      </c>
      <c r="C846">
        <f>samples!B383</f>
        <v>0</v>
      </c>
      <c r="D846">
        <f>IFERROR(SEARCH(search!$B$6,samples!B383,1),0)</f>
        <v>0</v>
      </c>
      <c r="E846" t="str">
        <f>IF(samples!C383=0,"",samples!C383)</f>
        <v/>
      </c>
      <c r="F846">
        <f>IFERROR(SEARCH(search!$B$6,samples!C383,1),0)</f>
        <v>0</v>
      </c>
      <c r="G846" t="str">
        <f>IF(samples!D383=0,"",samples!D383)</f>
        <v/>
      </c>
      <c r="H846">
        <f>IFERROR(SEARCH(search!$B$6,samples!D383,1),0)</f>
        <v>0</v>
      </c>
      <c r="I846" t="str">
        <f>IF(samples!E383=0,"",samples!E383)</f>
        <v/>
      </c>
      <c r="J846">
        <f>IFERROR(SEARCH(search!$B$6,samples!E383,1),0)</f>
        <v>0</v>
      </c>
      <c r="K846" t="str">
        <f>IF(samples!F383=0,"",samples!F383)</f>
        <v/>
      </c>
      <c r="L846">
        <f>IFERROR(SEARCH(search!$B$6,samples!F383,1),0)</f>
        <v>0</v>
      </c>
      <c r="M846" t="str">
        <f>IF(samples!G383=0,"",samples!G383)</f>
        <v/>
      </c>
      <c r="N846">
        <f>IFERROR(SEARCH(search!$B$6,samples!G383,1),0)</f>
        <v>0</v>
      </c>
      <c r="O846" t="str">
        <f>IF(samples!H383=0,"",samples!H383)</f>
        <v/>
      </c>
      <c r="P846">
        <f>IFERROR(SEARCH(search!$B$6,samples!H383,1),0)</f>
        <v>0</v>
      </c>
      <c r="Q846" t="str">
        <f>IF(samples!I383=0,"",samples!I383)</f>
        <v/>
      </c>
      <c r="R846">
        <f>IFERROR(SEARCH(search!$B$6,samples!I383,1),0)</f>
        <v>0</v>
      </c>
      <c r="S846" t="str">
        <f>IF(samples!J383=0,"",samples!J383)</f>
        <v/>
      </c>
      <c r="T846">
        <f>IFERROR(SEARCH(search!$B$6,samples!J383,1),0)</f>
        <v>0</v>
      </c>
      <c r="U846" t="str">
        <f>IF(samples!K383=0,"",samples!K383)</f>
        <v/>
      </c>
      <c r="V846">
        <f>IFERROR(SEARCH(search!$B$6,samples!K383,1),0)</f>
        <v>0</v>
      </c>
      <c r="W846" t="str">
        <f>IF(samples!L383=0,"",samples!L383)</f>
        <v/>
      </c>
      <c r="X846">
        <f>IFERROR(SEARCH(search!$B$6,samples!L383,1),0)</f>
        <v>0</v>
      </c>
      <c r="Y846" t="str">
        <f>IF(samples!M383=0,"",samples!M383)</f>
        <v/>
      </c>
      <c r="Z846">
        <f>IFERROR(SEARCH(search!$B$6,samples!M383,1),0)</f>
        <v>0</v>
      </c>
      <c r="AA846" t="str">
        <f>IF(samples!N383=0,"",samples!N383)</f>
        <v/>
      </c>
      <c r="AB846">
        <f>IFERROR(SEARCH(search!$B$6,samples!N383,1),0)</f>
        <v>0</v>
      </c>
      <c r="AC846" t="str">
        <f>IF(samples!O383=0,"",samples!O383)</f>
        <v/>
      </c>
      <c r="AD846">
        <f>IFERROR(SEARCH(search!$B$6,samples!O383,1),0)</f>
        <v>0</v>
      </c>
    </row>
    <row r="847" spans="1:30">
      <c r="A847">
        <f t="shared" si="13"/>
        <v>0</v>
      </c>
      <c r="B847">
        <f>IF(SUM(D847,F847,H847,J847,L847,N847,P847,R847,T847,V847,X847,Z847,AB847,AD847)&gt;0,SUM($A$2:A847),0)</f>
        <v>0</v>
      </c>
      <c r="C847">
        <f>samples!B384</f>
        <v>0</v>
      </c>
      <c r="D847">
        <f>IFERROR(SEARCH(search!$B$6,samples!B384,1),0)</f>
        <v>0</v>
      </c>
      <c r="E847" t="str">
        <f>IF(samples!C384=0,"",samples!C384)</f>
        <v/>
      </c>
      <c r="F847">
        <f>IFERROR(SEARCH(search!$B$6,samples!C384,1),0)</f>
        <v>0</v>
      </c>
      <c r="G847" t="str">
        <f>IF(samples!D384=0,"",samples!D384)</f>
        <v/>
      </c>
      <c r="H847">
        <f>IFERROR(SEARCH(search!$B$6,samples!D384,1),0)</f>
        <v>0</v>
      </c>
      <c r="I847" t="str">
        <f>IF(samples!E384=0,"",samples!E384)</f>
        <v/>
      </c>
      <c r="J847">
        <f>IFERROR(SEARCH(search!$B$6,samples!E384,1),0)</f>
        <v>0</v>
      </c>
      <c r="K847" t="str">
        <f>IF(samples!F384=0,"",samples!F384)</f>
        <v/>
      </c>
      <c r="L847">
        <f>IFERROR(SEARCH(search!$B$6,samples!F384,1),0)</f>
        <v>0</v>
      </c>
      <c r="M847" t="str">
        <f>IF(samples!G384=0,"",samples!G384)</f>
        <v/>
      </c>
      <c r="N847">
        <f>IFERROR(SEARCH(search!$B$6,samples!G384,1),0)</f>
        <v>0</v>
      </c>
      <c r="O847" t="str">
        <f>IF(samples!H384=0,"",samples!H384)</f>
        <v/>
      </c>
      <c r="P847">
        <f>IFERROR(SEARCH(search!$B$6,samples!H384,1),0)</f>
        <v>0</v>
      </c>
      <c r="Q847" t="str">
        <f>IF(samples!I384=0,"",samples!I384)</f>
        <v/>
      </c>
      <c r="R847">
        <f>IFERROR(SEARCH(search!$B$6,samples!I384,1),0)</f>
        <v>0</v>
      </c>
      <c r="S847" t="str">
        <f>IF(samples!J384=0,"",samples!J384)</f>
        <v/>
      </c>
      <c r="T847">
        <f>IFERROR(SEARCH(search!$B$6,samples!J384,1),0)</f>
        <v>0</v>
      </c>
      <c r="U847" t="str">
        <f>IF(samples!K384=0,"",samples!K384)</f>
        <v/>
      </c>
      <c r="V847">
        <f>IFERROR(SEARCH(search!$B$6,samples!K384,1),0)</f>
        <v>0</v>
      </c>
      <c r="W847" t="str">
        <f>IF(samples!L384=0,"",samples!L384)</f>
        <v/>
      </c>
      <c r="X847">
        <f>IFERROR(SEARCH(search!$B$6,samples!L384,1),0)</f>
        <v>0</v>
      </c>
      <c r="Y847" t="str">
        <f>IF(samples!M384=0,"",samples!M384)</f>
        <v/>
      </c>
      <c r="Z847">
        <f>IFERROR(SEARCH(search!$B$6,samples!M384,1),0)</f>
        <v>0</v>
      </c>
      <c r="AA847" t="str">
        <f>IF(samples!N384=0,"",samples!N384)</f>
        <v/>
      </c>
      <c r="AB847">
        <f>IFERROR(SEARCH(search!$B$6,samples!N384,1),0)</f>
        <v>0</v>
      </c>
      <c r="AC847" t="str">
        <f>IF(samples!O384=0,"",samples!O384)</f>
        <v/>
      </c>
      <c r="AD847">
        <f>IFERROR(SEARCH(search!$B$6,samples!O384,1),0)</f>
        <v>0</v>
      </c>
    </row>
    <row r="848" spans="1:30">
      <c r="A848">
        <f t="shared" si="13"/>
        <v>0</v>
      </c>
      <c r="B848">
        <f>IF(SUM(D848,F848,H848,J848,L848,N848,P848,R848,T848,V848,X848,Z848,AB848,AD848)&gt;0,SUM($A$2:A848),0)</f>
        <v>0</v>
      </c>
      <c r="C848">
        <f>samples!B385</f>
        <v>0</v>
      </c>
      <c r="D848">
        <f>IFERROR(SEARCH(search!$B$6,samples!B385,1),0)</f>
        <v>0</v>
      </c>
      <c r="E848" t="str">
        <f>IF(samples!C385=0,"",samples!C385)</f>
        <v/>
      </c>
      <c r="F848">
        <f>IFERROR(SEARCH(search!$B$6,samples!C385,1),0)</f>
        <v>0</v>
      </c>
      <c r="G848" t="str">
        <f>IF(samples!D385=0,"",samples!D385)</f>
        <v/>
      </c>
      <c r="H848">
        <f>IFERROR(SEARCH(search!$B$6,samples!D385,1),0)</f>
        <v>0</v>
      </c>
      <c r="I848" t="str">
        <f>IF(samples!E385=0,"",samples!E385)</f>
        <v/>
      </c>
      <c r="J848">
        <f>IFERROR(SEARCH(search!$B$6,samples!E385,1),0)</f>
        <v>0</v>
      </c>
      <c r="K848" t="str">
        <f>IF(samples!F385=0,"",samples!F385)</f>
        <v/>
      </c>
      <c r="L848">
        <f>IFERROR(SEARCH(search!$B$6,samples!F385,1),0)</f>
        <v>0</v>
      </c>
      <c r="M848" t="str">
        <f>IF(samples!G385=0,"",samples!G385)</f>
        <v/>
      </c>
      <c r="N848">
        <f>IFERROR(SEARCH(search!$B$6,samples!G385,1),0)</f>
        <v>0</v>
      </c>
      <c r="O848" t="str">
        <f>IF(samples!H385=0,"",samples!H385)</f>
        <v/>
      </c>
      <c r="P848">
        <f>IFERROR(SEARCH(search!$B$6,samples!H385,1),0)</f>
        <v>0</v>
      </c>
      <c r="Q848" t="str">
        <f>IF(samples!I385=0,"",samples!I385)</f>
        <v/>
      </c>
      <c r="R848">
        <f>IFERROR(SEARCH(search!$B$6,samples!I385,1),0)</f>
        <v>0</v>
      </c>
      <c r="S848" t="str">
        <f>IF(samples!J385=0,"",samples!J385)</f>
        <v/>
      </c>
      <c r="T848">
        <f>IFERROR(SEARCH(search!$B$6,samples!J385,1),0)</f>
        <v>0</v>
      </c>
      <c r="U848" t="str">
        <f>IF(samples!K385=0,"",samples!K385)</f>
        <v/>
      </c>
      <c r="V848">
        <f>IFERROR(SEARCH(search!$B$6,samples!K385,1),0)</f>
        <v>0</v>
      </c>
      <c r="W848" t="str">
        <f>IF(samples!L385=0,"",samples!L385)</f>
        <v/>
      </c>
      <c r="X848">
        <f>IFERROR(SEARCH(search!$B$6,samples!L385,1),0)</f>
        <v>0</v>
      </c>
      <c r="Y848" t="str">
        <f>IF(samples!M385=0,"",samples!M385)</f>
        <v/>
      </c>
      <c r="Z848">
        <f>IFERROR(SEARCH(search!$B$6,samples!M385,1),0)</f>
        <v>0</v>
      </c>
      <c r="AA848" t="str">
        <f>IF(samples!N385=0,"",samples!N385)</f>
        <v/>
      </c>
      <c r="AB848">
        <f>IFERROR(SEARCH(search!$B$6,samples!N385,1),0)</f>
        <v>0</v>
      </c>
      <c r="AC848" t="str">
        <f>IF(samples!O385=0,"",samples!O385)</f>
        <v/>
      </c>
      <c r="AD848">
        <f>IFERROR(SEARCH(search!$B$6,samples!O385,1),0)</f>
        <v>0</v>
      </c>
    </row>
    <row r="849" spans="1:30">
      <c r="A849">
        <f t="shared" si="13"/>
        <v>0</v>
      </c>
      <c r="B849">
        <f>IF(SUM(D849,F849,H849,J849,L849,N849,P849,R849,T849,V849,X849,Z849,AB849,AD849)&gt;0,SUM($A$2:A849),0)</f>
        <v>0</v>
      </c>
      <c r="C849">
        <f>samples!B386</f>
        <v>0</v>
      </c>
      <c r="D849">
        <f>IFERROR(SEARCH(search!$B$6,samples!B386,1),0)</f>
        <v>0</v>
      </c>
      <c r="E849" t="str">
        <f>IF(samples!C386=0,"",samples!C386)</f>
        <v/>
      </c>
      <c r="F849">
        <f>IFERROR(SEARCH(search!$B$6,samples!C386,1),0)</f>
        <v>0</v>
      </c>
      <c r="G849" t="str">
        <f>IF(samples!D386=0,"",samples!D386)</f>
        <v/>
      </c>
      <c r="H849">
        <f>IFERROR(SEARCH(search!$B$6,samples!D386,1),0)</f>
        <v>0</v>
      </c>
      <c r="I849" t="str">
        <f>IF(samples!E386=0,"",samples!E386)</f>
        <v/>
      </c>
      <c r="J849">
        <f>IFERROR(SEARCH(search!$B$6,samples!E386,1),0)</f>
        <v>0</v>
      </c>
      <c r="K849" t="str">
        <f>IF(samples!F386=0,"",samples!F386)</f>
        <v/>
      </c>
      <c r="L849">
        <f>IFERROR(SEARCH(search!$B$6,samples!F386,1),0)</f>
        <v>0</v>
      </c>
      <c r="M849" t="str">
        <f>IF(samples!G386=0,"",samples!G386)</f>
        <v/>
      </c>
      <c r="N849">
        <f>IFERROR(SEARCH(search!$B$6,samples!G386,1),0)</f>
        <v>0</v>
      </c>
      <c r="O849" t="str">
        <f>IF(samples!H386=0,"",samples!H386)</f>
        <v/>
      </c>
      <c r="P849">
        <f>IFERROR(SEARCH(search!$B$6,samples!H386,1),0)</f>
        <v>0</v>
      </c>
      <c r="Q849" t="str">
        <f>IF(samples!I386=0,"",samples!I386)</f>
        <v/>
      </c>
      <c r="R849">
        <f>IFERROR(SEARCH(search!$B$6,samples!I386,1),0)</f>
        <v>0</v>
      </c>
      <c r="S849" t="str">
        <f>IF(samples!J386=0,"",samples!J386)</f>
        <v/>
      </c>
      <c r="T849">
        <f>IFERROR(SEARCH(search!$B$6,samples!J386,1),0)</f>
        <v>0</v>
      </c>
      <c r="U849" t="str">
        <f>IF(samples!K386=0,"",samples!K386)</f>
        <v/>
      </c>
      <c r="V849">
        <f>IFERROR(SEARCH(search!$B$6,samples!K386,1),0)</f>
        <v>0</v>
      </c>
      <c r="W849" t="str">
        <f>IF(samples!L386=0,"",samples!L386)</f>
        <v/>
      </c>
      <c r="X849">
        <f>IFERROR(SEARCH(search!$B$6,samples!L386,1),0)</f>
        <v>0</v>
      </c>
      <c r="Y849" t="str">
        <f>IF(samples!M386=0,"",samples!M386)</f>
        <v/>
      </c>
      <c r="Z849">
        <f>IFERROR(SEARCH(search!$B$6,samples!M386,1),0)</f>
        <v>0</v>
      </c>
      <c r="AA849" t="str">
        <f>IF(samples!N386=0,"",samples!N386)</f>
        <v/>
      </c>
      <c r="AB849">
        <f>IFERROR(SEARCH(search!$B$6,samples!N386,1),0)</f>
        <v>0</v>
      </c>
      <c r="AC849" t="str">
        <f>IF(samples!O386=0,"",samples!O386)</f>
        <v/>
      </c>
      <c r="AD849">
        <f>IFERROR(SEARCH(search!$B$6,samples!O386,1),0)</f>
        <v>0</v>
      </c>
    </row>
    <row r="850" spans="1:30">
      <c r="A850">
        <f t="shared" si="13"/>
        <v>0</v>
      </c>
      <c r="B850">
        <f>IF(SUM(D850,F850,H850,J850,L850,N850,P850,R850,T850,V850,X850,Z850,AB850,AD850)&gt;0,SUM($A$2:A850),0)</f>
        <v>0</v>
      </c>
      <c r="C850">
        <f>samples!B387</f>
        <v>0</v>
      </c>
      <c r="D850">
        <f>IFERROR(SEARCH(search!$B$6,samples!B387,1),0)</f>
        <v>0</v>
      </c>
      <c r="E850" t="str">
        <f>IF(samples!C387=0,"",samples!C387)</f>
        <v/>
      </c>
      <c r="F850">
        <f>IFERROR(SEARCH(search!$B$6,samples!C387,1),0)</f>
        <v>0</v>
      </c>
      <c r="G850" t="str">
        <f>IF(samples!D387=0,"",samples!D387)</f>
        <v/>
      </c>
      <c r="H850">
        <f>IFERROR(SEARCH(search!$B$6,samples!D387,1),0)</f>
        <v>0</v>
      </c>
      <c r="I850" t="str">
        <f>IF(samples!E387=0,"",samples!E387)</f>
        <v/>
      </c>
      <c r="J850">
        <f>IFERROR(SEARCH(search!$B$6,samples!E387,1),0)</f>
        <v>0</v>
      </c>
      <c r="K850" t="str">
        <f>IF(samples!F387=0,"",samples!F387)</f>
        <v/>
      </c>
      <c r="L850">
        <f>IFERROR(SEARCH(search!$B$6,samples!F387,1),0)</f>
        <v>0</v>
      </c>
      <c r="M850" t="str">
        <f>IF(samples!G387=0,"",samples!G387)</f>
        <v/>
      </c>
      <c r="N850">
        <f>IFERROR(SEARCH(search!$B$6,samples!G387,1),0)</f>
        <v>0</v>
      </c>
      <c r="O850" t="str">
        <f>IF(samples!H387=0,"",samples!H387)</f>
        <v/>
      </c>
      <c r="P850">
        <f>IFERROR(SEARCH(search!$B$6,samples!H387,1),0)</f>
        <v>0</v>
      </c>
      <c r="Q850" t="str">
        <f>IF(samples!I387=0,"",samples!I387)</f>
        <v/>
      </c>
      <c r="R850">
        <f>IFERROR(SEARCH(search!$B$6,samples!I387,1),0)</f>
        <v>0</v>
      </c>
      <c r="S850" t="str">
        <f>IF(samples!J387=0,"",samples!J387)</f>
        <v/>
      </c>
      <c r="T850">
        <f>IFERROR(SEARCH(search!$B$6,samples!J387,1),0)</f>
        <v>0</v>
      </c>
      <c r="U850" t="str">
        <f>IF(samples!K387=0,"",samples!K387)</f>
        <v/>
      </c>
      <c r="V850">
        <f>IFERROR(SEARCH(search!$B$6,samples!K387,1),0)</f>
        <v>0</v>
      </c>
      <c r="W850" t="str">
        <f>IF(samples!L387=0,"",samples!L387)</f>
        <v/>
      </c>
      <c r="X850">
        <f>IFERROR(SEARCH(search!$B$6,samples!L387,1),0)</f>
        <v>0</v>
      </c>
      <c r="Y850" t="str">
        <f>IF(samples!M387=0,"",samples!M387)</f>
        <v/>
      </c>
      <c r="Z850">
        <f>IFERROR(SEARCH(search!$B$6,samples!M387,1),0)</f>
        <v>0</v>
      </c>
      <c r="AA850" t="str">
        <f>IF(samples!N387=0,"",samples!N387)</f>
        <v/>
      </c>
      <c r="AB850">
        <f>IFERROR(SEARCH(search!$B$6,samples!N387,1),0)</f>
        <v>0</v>
      </c>
      <c r="AC850" t="str">
        <f>IF(samples!O387=0,"",samples!O387)</f>
        <v/>
      </c>
      <c r="AD850">
        <f>IFERROR(SEARCH(search!$B$6,samples!O387,1),0)</f>
        <v>0</v>
      </c>
    </row>
    <row r="851" spans="1:30">
      <c r="A851">
        <f t="shared" si="13"/>
        <v>0</v>
      </c>
      <c r="B851">
        <f>IF(SUM(D851,F851,H851,J851,L851,N851,P851,R851,T851,V851,X851,Z851,AB851,AD851)&gt;0,SUM($A$2:A851),0)</f>
        <v>0</v>
      </c>
      <c r="C851">
        <f>samples!B388</f>
        <v>0</v>
      </c>
      <c r="D851">
        <f>IFERROR(SEARCH(search!$B$6,samples!B388,1),0)</f>
        <v>0</v>
      </c>
      <c r="E851" t="str">
        <f>IF(samples!C388=0,"",samples!C388)</f>
        <v/>
      </c>
      <c r="F851">
        <f>IFERROR(SEARCH(search!$B$6,samples!C388,1),0)</f>
        <v>0</v>
      </c>
      <c r="G851" t="str">
        <f>IF(samples!D388=0,"",samples!D388)</f>
        <v/>
      </c>
      <c r="H851">
        <f>IFERROR(SEARCH(search!$B$6,samples!D388,1),0)</f>
        <v>0</v>
      </c>
      <c r="I851" t="str">
        <f>IF(samples!E388=0,"",samples!E388)</f>
        <v/>
      </c>
      <c r="J851">
        <f>IFERROR(SEARCH(search!$B$6,samples!E388,1),0)</f>
        <v>0</v>
      </c>
      <c r="K851" t="str">
        <f>IF(samples!F388=0,"",samples!F388)</f>
        <v/>
      </c>
      <c r="L851">
        <f>IFERROR(SEARCH(search!$B$6,samples!F388,1),0)</f>
        <v>0</v>
      </c>
      <c r="M851" t="str">
        <f>IF(samples!G388=0,"",samples!G388)</f>
        <v/>
      </c>
      <c r="N851">
        <f>IFERROR(SEARCH(search!$B$6,samples!G388,1),0)</f>
        <v>0</v>
      </c>
      <c r="O851" t="str">
        <f>IF(samples!H388=0,"",samples!H388)</f>
        <v/>
      </c>
      <c r="P851">
        <f>IFERROR(SEARCH(search!$B$6,samples!H388,1),0)</f>
        <v>0</v>
      </c>
      <c r="Q851" t="str">
        <f>IF(samples!I388=0,"",samples!I388)</f>
        <v/>
      </c>
      <c r="R851">
        <f>IFERROR(SEARCH(search!$B$6,samples!I388,1),0)</f>
        <v>0</v>
      </c>
      <c r="S851" t="str">
        <f>IF(samples!J388=0,"",samples!J388)</f>
        <v/>
      </c>
      <c r="T851">
        <f>IFERROR(SEARCH(search!$B$6,samples!J388,1),0)</f>
        <v>0</v>
      </c>
      <c r="U851" t="str">
        <f>IF(samples!K388=0,"",samples!K388)</f>
        <v/>
      </c>
      <c r="V851">
        <f>IFERROR(SEARCH(search!$B$6,samples!K388,1),0)</f>
        <v>0</v>
      </c>
      <c r="W851" t="str">
        <f>IF(samples!L388=0,"",samples!L388)</f>
        <v/>
      </c>
      <c r="X851">
        <f>IFERROR(SEARCH(search!$B$6,samples!L388,1),0)</f>
        <v>0</v>
      </c>
      <c r="Y851" t="str">
        <f>IF(samples!M388=0,"",samples!M388)</f>
        <v/>
      </c>
      <c r="Z851">
        <f>IFERROR(SEARCH(search!$B$6,samples!M388,1),0)</f>
        <v>0</v>
      </c>
      <c r="AA851" t="str">
        <f>IF(samples!N388=0,"",samples!N388)</f>
        <v/>
      </c>
      <c r="AB851">
        <f>IFERROR(SEARCH(search!$B$6,samples!N388,1),0)</f>
        <v>0</v>
      </c>
      <c r="AC851" t="str">
        <f>IF(samples!O388=0,"",samples!O388)</f>
        <v/>
      </c>
      <c r="AD851">
        <f>IFERROR(SEARCH(search!$B$6,samples!O388,1),0)</f>
        <v>0</v>
      </c>
    </row>
    <row r="852" spans="1:30">
      <c r="A852">
        <f t="shared" si="13"/>
        <v>0</v>
      </c>
      <c r="B852">
        <f>IF(SUM(D852,F852,H852,J852,L852,N852,P852,R852,T852,V852,X852,Z852,AB852,AD852)&gt;0,SUM($A$2:A852),0)</f>
        <v>0</v>
      </c>
      <c r="C852">
        <f>samples!B389</f>
        <v>0</v>
      </c>
      <c r="D852">
        <f>IFERROR(SEARCH(search!$B$6,samples!B389,1),0)</f>
        <v>0</v>
      </c>
      <c r="E852" t="str">
        <f>IF(samples!C389=0,"",samples!C389)</f>
        <v/>
      </c>
      <c r="F852">
        <f>IFERROR(SEARCH(search!$B$6,samples!C389,1),0)</f>
        <v>0</v>
      </c>
      <c r="G852" t="str">
        <f>IF(samples!D389=0,"",samples!D389)</f>
        <v/>
      </c>
      <c r="H852">
        <f>IFERROR(SEARCH(search!$B$6,samples!D389,1),0)</f>
        <v>0</v>
      </c>
      <c r="I852" t="str">
        <f>IF(samples!E389=0,"",samples!E389)</f>
        <v/>
      </c>
      <c r="J852">
        <f>IFERROR(SEARCH(search!$B$6,samples!E389,1),0)</f>
        <v>0</v>
      </c>
      <c r="K852" t="str">
        <f>IF(samples!F389=0,"",samples!F389)</f>
        <v/>
      </c>
      <c r="L852">
        <f>IFERROR(SEARCH(search!$B$6,samples!F389,1),0)</f>
        <v>0</v>
      </c>
      <c r="M852" t="str">
        <f>IF(samples!G389=0,"",samples!G389)</f>
        <v/>
      </c>
      <c r="N852">
        <f>IFERROR(SEARCH(search!$B$6,samples!G389,1),0)</f>
        <v>0</v>
      </c>
      <c r="O852" t="str">
        <f>IF(samples!H389=0,"",samples!H389)</f>
        <v/>
      </c>
      <c r="P852">
        <f>IFERROR(SEARCH(search!$B$6,samples!H389,1),0)</f>
        <v>0</v>
      </c>
      <c r="Q852" t="str">
        <f>IF(samples!I389=0,"",samples!I389)</f>
        <v/>
      </c>
      <c r="R852">
        <f>IFERROR(SEARCH(search!$B$6,samples!I389,1),0)</f>
        <v>0</v>
      </c>
      <c r="S852" t="str">
        <f>IF(samples!J389=0,"",samples!J389)</f>
        <v/>
      </c>
      <c r="T852">
        <f>IFERROR(SEARCH(search!$B$6,samples!J389,1),0)</f>
        <v>0</v>
      </c>
      <c r="U852" t="str">
        <f>IF(samples!K389=0,"",samples!K389)</f>
        <v/>
      </c>
      <c r="V852">
        <f>IFERROR(SEARCH(search!$B$6,samples!K389,1),0)</f>
        <v>0</v>
      </c>
      <c r="W852" t="str">
        <f>IF(samples!L389=0,"",samples!L389)</f>
        <v/>
      </c>
      <c r="X852">
        <f>IFERROR(SEARCH(search!$B$6,samples!L389,1),0)</f>
        <v>0</v>
      </c>
      <c r="Y852" t="str">
        <f>IF(samples!M389=0,"",samples!M389)</f>
        <v/>
      </c>
      <c r="Z852">
        <f>IFERROR(SEARCH(search!$B$6,samples!M389,1),0)</f>
        <v>0</v>
      </c>
      <c r="AA852" t="str">
        <f>IF(samples!N389=0,"",samples!N389)</f>
        <v/>
      </c>
      <c r="AB852">
        <f>IFERROR(SEARCH(search!$B$6,samples!N389,1),0)</f>
        <v>0</v>
      </c>
      <c r="AC852" t="str">
        <f>IF(samples!O389=0,"",samples!O389)</f>
        <v/>
      </c>
      <c r="AD852">
        <f>IFERROR(SEARCH(search!$B$6,samples!O389,1),0)</f>
        <v>0</v>
      </c>
    </row>
    <row r="853" spans="1:30">
      <c r="A853">
        <f t="shared" si="13"/>
        <v>0</v>
      </c>
      <c r="B853">
        <f>IF(SUM(D853,F853,H853,J853,L853,N853,P853,R853,T853,V853,X853,Z853,AB853,AD853)&gt;0,SUM($A$2:A853),0)</f>
        <v>0</v>
      </c>
      <c r="C853">
        <f>samples!B390</f>
        <v>0</v>
      </c>
      <c r="D853">
        <f>IFERROR(SEARCH(search!$B$6,samples!B390,1),0)</f>
        <v>0</v>
      </c>
      <c r="E853" t="str">
        <f>IF(samples!C390=0,"",samples!C390)</f>
        <v/>
      </c>
      <c r="F853">
        <f>IFERROR(SEARCH(search!$B$6,samples!C390,1),0)</f>
        <v>0</v>
      </c>
      <c r="G853" t="str">
        <f>IF(samples!D390=0,"",samples!D390)</f>
        <v/>
      </c>
      <c r="H853">
        <f>IFERROR(SEARCH(search!$B$6,samples!D390,1),0)</f>
        <v>0</v>
      </c>
      <c r="I853" t="str">
        <f>IF(samples!E390=0,"",samples!E390)</f>
        <v/>
      </c>
      <c r="J853">
        <f>IFERROR(SEARCH(search!$B$6,samples!E390,1),0)</f>
        <v>0</v>
      </c>
      <c r="K853" t="str">
        <f>IF(samples!F390=0,"",samples!F390)</f>
        <v/>
      </c>
      <c r="L853">
        <f>IFERROR(SEARCH(search!$B$6,samples!F390,1),0)</f>
        <v>0</v>
      </c>
      <c r="M853" t="str">
        <f>IF(samples!G390=0,"",samples!G390)</f>
        <v/>
      </c>
      <c r="N853">
        <f>IFERROR(SEARCH(search!$B$6,samples!G390,1),0)</f>
        <v>0</v>
      </c>
      <c r="O853" t="str">
        <f>IF(samples!H390=0,"",samples!H390)</f>
        <v/>
      </c>
      <c r="P853">
        <f>IFERROR(SEARCH(search!$B$6,samples!H390,1),0)</f>
        <v>0</v>
      </c>
      <c r="Q853" t="str">
        <f>IF(samples!I390=0,"",samples!I390)</f>
        <v/>
      </c>
      <c r="R853">
        <f>IFERROR(SEARCH(search!$B$6,samples!I390,1),0)</f>
        <v>0</v>
      </c>
      <c r="S853" t="str">
        <f>IF(samples!J390=0,"",samples!J390)</f>
        <v/>
      </c>
      <c r="T853">
        <f>IFERROR(SEARCH(search!$B$6,samples!J390,1),0)</f>
        <v>0</v>
      </c>
      <c r="U853" t="str">
        <f>IF(samples!K390=0,"",samples!K390)</f>
        <v/>
      </c>
      <c r="V853">
        <f>IFERROR(SEARCH(search!$B$6,samples!K390,1),0)</f>
        <v>0</v>
      </c>
      <c r="W853" t="str">
        <f>IF(samples!L390=0,"",samples!L390)</f>
        <v/>
      </c>
      <c r="X853">
        <f>IFERROR(SEARCH(search!$B$6,samples!L390,1),0)</f>
        <v>0</v>
      </c>
      <c r="Y853" t="str">
        <f>IF(samples!M390=0,"",samples!M390)</f>
        <v/>
      </c>
      <c r="Z853">
        <f>IFERROR(SEARCH(search!$B$6,samples!M390,1),0)</f>
        <v>0</v>
      </c>
      <c r="AA853" t="str">
        <f>IF(samples!N390=0,"",samples!N390)</f>
        <v/>
      </c>
      <c r="AB853">
        <f>IFERROR(SEARCH(search!$B$6,samples!N390,1),0)</f>
        <v>0</v>
      </c>
      <c r="AC853" t="str">
        <f>IF(samples!O390=0,"",samples!O390)</f>
        <v/>
      </c>
      <c r="AD853">
        <f>IFERROR(SEARCH(search!$B$6,samples!O390,1),0)</f>
        <v>0</v>
      </c>
    </row>
    <row r="854" spans="1:30">
      <c r="A854">
        <f t="shared" si="13"/>
        <v>0</v>
      </c>
      <c r="B854">
        <f>IF(SUM(D854,F854,H854,J854,L854,N854,P854,R854,T854,V854,X854,Z854,AB854,AD854)&gt;0,SUM($A$2:A854),0)</f>
        <v>0</v>
      </c>
      <c r="C854">
        <f>samples!B391</f>
        <v>0</v>
      </c>
      <c r="D854">
        <f>IFERROR(SEARCH(search!$B$6,samples!B391,1),0)</f>
        <v>0</v>
      </c>
      <c r="E854" t="str">
        <f>IF(samples!C391=0,"",samples!C391)</f>
        <v/>
      </c>
      <c r="F854">
        <f>IFERROR(SEARCH(search!$B$6,samples!C391,1),0)</f>
        <v>0</v>
      </c>
      <c r="G854" t="str">
        <f>IF(samples!D391=0,"",samples!D391)</f>
        <v/>
      </c>
      <c r="H854">
        <f>IFERROR(SEARCH(search!$B$6,samples!D391,1),0)</f>
        <v>0</v>
      </c>
      <c r="I854" t="str">
        <f>IF(samples!E391=0,"",samples!E391)</f>
        <v/>
      </c>
      <c r="J854">
        <f>IFERROR(SEARCH(search!$B$6,samples!E391,1),0)</f>
        <v>0</v>
      </c>
      <c r="K854" t="str">
        <f>IF(samples!F391=0,"",samples!F391)</f>
        <v/>
      </c>
      <c r="L854">
        <f>IFERROR(SEARCH(search!$B$6,samples!F391,1),0)</f>
        <v>0</v>
      </c>
      <c r="M854" t="str">
        <f>IF(samples!G391=0,"",samples!G391)</f>
        <v/>
      </c>
      <c r="N854">
        <f>IFERROR(SEARCH(search!$B$6,samples!G391,1),0)</f>
        <v>0</v>
      </c>
      <c r="O854" t="str">
        <f>IF(samples!H391=0,"",samples!H391)</f>
        <v/>
      </c>
      <c r="P854">
        <f>IFERROR(SEARCH(search!$B$6,samples!H391,1),0)</f>
        <v>0</v>
      </c>
      <c r="Q854" t="str">
        <f>IF(samples!I391=0,"",samples!I391)</f>
        <v/>
      </c>
      <c r="R854">
        <f>IFERROR(SEARCH(search!$B$6,samples!I391,1),0)</f>
        <v>0</v>
      </c>
      <c r="S854" t="str">
        <f>IF(samples!J391=0,"",samples!J391)</f>
        <v/>
      </c>
      <c r="T854">
        <f>IFERROR(SEARCH(search!$B$6,samples!J391,1),0)</f>
        <v>0</v>
      </c>
      <c r="U854" t="str">
        <f>IF(samples!K391=0,"",samples!K391)</f>
        <v/>
      </c>
      <c r="V854">
        <f>IFERROR(SEARCH(search!$B$6,samples!K391,1),0)</f>
        <v>0</v>
      </c>
      <c r="W854" t="str">
        <f>IF(samples!L391=0,"",samples!L391)</f>
        <v/>
      </c>
      <c r="X854">
        <f>IFERROR(SEARCH(search!$B$6,samples!L391,1),0)</f>
        <v>0</v>
      </c>
      <c r="Y854" t="str">
        <f>IF(samples!M391=0,"",samples!M391)</f>
        <v/>
      </c>
      <c r="Z854">
        <f>IFERROR(SEARCH(search!$B$6,samples!M391,1),0)</f>
        <v>0</v>
      </c>
      <c r="AA854" t="str">
        <f>IF(samples!N391=0,"",samples!N391)</f>
        <v/>
      </c>
      <c r="AB854">
        <f>IFERROR(SEARCH(search!$B$6,samples!N391,1),0)</f>
        <v>0</v>
      </c>
      <c r="AC854" t="str">
        <f>IF(samples!O391=0,"",samples!O391)</f>
        <v/>
      </c>
      <c r="AD854">
        <f>IFERROR(SEARCH(search!$B$6,samples!O391,1),0)</f>
        <v>0</v>
      </c>
    </row>
    <row r="855" spans="1:30">
      <c r="A855">
        <f t="shared" si="13"/>
        <v>0</v>
      </c>
      <c r="B855">
        <f>IF(SUM(D855,F855,H855,J855,L855,N855,P855,R855,T855,V855,X855,Z855,AB855,AD855)&gt;0,SUM($A$2:A855),0)</f>
        <v>0</v>
      </c>
      <c r="C855">
        <f>samples!B392</f>
        <v>0</v>
      </c>
      <c r="D855">
        <f>IFERROR(SEARCH(search!$B$6,samples!B392,1),0)</f>
        <v>0</v>
      </c>
      <c r="E855" t="str">
        <f>IF(samples!C392=0,"",samples!C392)</f>
        <v/>
      </c>
      <c r="F855">
        <f>IFERROR(SEARCH(search!$B$6,samples!C392,1),0)</f>
        <v>0</v>
      </c>
      <c r="G855" t="str">
        <f>IF(samples!D392=0,"",samples!D392)</f>
        <v/>
      </c>
      <c r="H855">
        <f>IFERROR(SEARCH(search!$B$6,samples!D392,1),0)</f>
        <v>0</v>
      </c>
      <c r="I855" t="str">
        <f>IF(samples!E392=0,"",samples!E392)</f>
        <v/>
      </c>
      <c r="J855">
        <f>IFERROR(SEARCH(search!$B$6,samples!E392,1),0)</f>
        <v>0</v>
      </c>
      <c r="K855" t="str">
        <f>IF(samples!F392=0,"",samples!F392)</f>
        <v/>
      </c>
      <c r="L855">
        <f>IFERROR(SEARCH(search!$B$6,samples!F392,1),0)</f>
        <v>0</v>
      </c>
      <c r="M855" t="str">
        <f>IF(samples!G392=0,"",samples!G392)</f>
        <v/>
      </c>
      <c r="N855">
        <f>IFERROR(SEARCH(search!$B$6,samples!G392,1),0)</f>
        <v>0</v>
      </c>
      <c r="O855" t="str">
        <f>IF(samples!H392=0,"",samples!H392)</f>
        <v/>
      </c>
      <c r="P855">
        <f>IFERROR(SEARCH(search!$B$6,samples!H392,1),0)</f>
        <v>0</v>
      </c>
      <c r="Q855" t="str">
        <f>IF(samples!I392=0,"",samples!I392)</f>
        <v/>
      </c>
      <c r="R855">
        <f>IFERROR(SEARCH(search!$B$6,samples!I392,1),0)</f>
        <v>0</v>
      </c>
      <c r="S855" t="str">
        <f>IF(samples!J392=0,"",samples!J392)</f>
        <v/>
      </c>
      <c r="T855">
        <f>IFERROR(SEARCH(search!$B$6,samples!J392,1),0)</f>
        <v>0</v>
      </c>
      <c r="U855" t="str">
        <f>IF(samples!K392=0,"",samples!K392)</f>
        <v/>
      </c>
      <c r="V855">
        <f>IFERROR(SEARCH(search!$B$6,samples!K392,1),0)</f>
        <v>0</v>
      </c>
      <c r="W855" t="str">
        <f>IF(samples!L392=0,"",samples!L392)</f>
        <v/>
      </c>
      <c r="X855">
        <f>IFERROR(SEARCH(search!$B$6,samples!L392,1),0)</f>
        <v>0</v>
      </c>
      <c r="Y855" t="str">
        <f>IF(samples!M392=0,"",samples!M392)</f>
        <v/>
      </c>
      <c r="Z855">
        <f>IFERROR(SEARCH(search!$B$6,samples!M392,1),0)</f>
        <v>0</v>
      </c>
      <c r="AA855" t="str">
        <f>IF(samples!N392=0,"",samples!N392)</f>
        <v/>
      </c>
      <c r="AB855">
        <f>IFERROR(SEARCH(search!$B$6,samples!N392,1),0)</f>
        <v>0</v>
      </c>
      <c r="AC855" t="str">
        <f>IF(samples!O392=0,"",samples!O392)</f>
        <v/>
      </c>
      <c r="AD855">
        <f>IFERROR(SEARCH(search!$B$6,samples!O392,1),0)</f>
        <v>0</v>
      </c>
    </row>
    <row r="856" spans="1:30">
      <c r="A856">
        <f t="shared" si="13"/>
        <v>0</v>
      </c>
      <c r="B856">
        <f>IF(SUM(D856,F856,H856,J856,L856,N856,P856,R856,T856,V856,X856,Z856,AB856,AD856)&gt;0,SUM($A$2:A856),0)</f>
        <v>0</v>
      </c>
      <c r="C856">
        <f>samples!B393</f>
        <v>0</v>
      </c>
      <c r="D856">
        <f>IFERROR(SEARCH(search!$B$6,samples!B393,1),0)</f>
        <v>0</v>
      </c>
      <c r="E856" t="str">
        <f>IF(samples!C393=0,"",samples!C393)</f>
        <v/>
      </c>
      <c r="F856">
        <f>IFERROR(SEARCH(search!$B$6,samples!C393,1),0)</f>
        <v>0</v>
      </c>
      <c r="G856" t="str">
        <f>IF(samples!D393=0,"",samples!D393)</f>
        <v/>
      </c>
      <c r="H856">
        <f>IFERROR(SEARCH(search!$B$6,samples!D393,1),0)</f>
        <v>0</v>
      </c>
      <c r="I856" t="str">
        <f>IF(samples!E393=0,"",samples!E393)</f>
        <v/>
      </c>
      <c r="J856">
        <f>IFERROR(SEARCH(search!$B$6,samples!E393,1),0)</f>
        <v>0</v>
      </c>
      <c r="K856" t="str">
        <f>IF(samples!F393=0,"",samples!F393)</f>
        <v/>
      </c>
      <c r="L856">
        <f>IFERROR(SEARCH(search!$B$6,samples!F393,1),0)</f>
        <v>0</v>
      </c>
      <c r="M856" t="str">
        <f>IF(samples!G393=0,"",samples!G393)</f>
        <v/>
      </c>
      <c r="N856">
        <f>IFERROR(SEARCH(search!$B$6,samples!G393,1),0)</f>
        <v>0</v>
      </c>
      <c r="O856" t="str">
        <f>IF(samples!H393=0,"",samples!H393)</f>
        <v/>
      </c>
      <c r="P856">
        <f>IFERROR(SEARCH(search!$B$6,samples!H393,1),0)</f>
        <v>0</v>
      </c>
      <c r="Q856" t="str">
        <f>IF(samples!I393=0,"",samples!I393)</f>
        <v/>
      </c>
      <c r="R856">
        <f>IFERROR(SEARCH(search!$B$6,samples!I393,1),0)</f>
        <v>0</v>
      </c>
      <c r="S856" t="str">
        <f>IF(samples!J393=0,"",samples!J393)</f>
        <v/>
      </c>
      <c r="T856">
        <f>IFERROR(SEARCH(search!$B$6,samples!J393,1),0)</f>
        <v>0</v>
      </c>
      <c r="U856" t="str">
        <f>IF(samples!K393=0,"",samples!K393)</f>
        <v/>
      </c>
      <c r="V856">
        <f>IFERROR(SEARCH(search!$B$6,samples!K393,1),0)</f>
        <v>0</v>
      </c>
      <c r="W856" t="str">
        <f>IF(samples!L393=0,"",samples!L393)</f>
        <v/>
      </c>
      <c r="X856">
        <f>IFERROR(SEARCH(search!$B$6,samples!L393,1),0)</f>
        <v>0</v>
      </c>
      <c r="Y856" t="str">
        <f>IF(samples!M393=0,"",samples!M393)</f>
        <v/>
      </c>
      <c r="Z856">
        <f>IFERROR(SEARCH(search!$B$6,samples!M393,1),0)</f>
        <v>0</v>
      </c>
      <c r="AA856" t="str">
        <f>IF(samples!N393=0,"",samples!N393)</f>
        <v/>
      </c>
      <c r="AB856">
        <f>IFERROR(SEARCH(search!$B$6,samples!N393,1),0)</f>
        <v>0</v>
      </c>
      <c r="AC856" t="str">
        <f>IF(samples!O393=0,"",samples!O393)</f>
        <v/>
      </c>
      <c r="AD856">
        <f>IFERROR(SEARCH(search!$B$6,samples!O393,1),0)</f>
        <v>0</v>
      </c>
    </row>
    <row r="857" spans="1:30">
      <c r="A857">
        <f t="shared" si="13"/>
        <v>0</v>
      </c>
      <c r="B857">
        <f>IF(SUM(D857,F857,H857,J857,L857,N857,P857,R857,T857,V857,X857,Z857,AB857,AD857)&gt;0,SUM($A$2:A857),0)</f>
        <v>0</v>
      </c>
      <c r="C857">
        <f>samples!B394</f>
        <v>0</v>
      </c>
      <c r="D857">
        <f>IFERROR(SEARCH(search!$B$6,samples!B394,1),0)</f>
        <v>0</v>
      </c>
      <c r="E857" t="str">
        <f>IF(samples!C394=0,"",samples!C394)</f>
        <v/>
      </c>
      <c r="F857">
        <f>IFERROR(SEARCH(search!$B$6,samples!C394,1),0)</f>
        <v>0</v>
      </c>
      <c r="G857" t="str">
        <f>IF(samples!D394=0,"",samples!D394)</f>
        <v/>
      </c>
      <c r="H857">
        <f>IFERROR(SEARCH(search!$B$6,samples!D394,1),0)</f>
        <v>0</v>
      </c>
      <c r="I857" t="str">
        <f>IF(samples!E394=0,"",samples!E394)</f>
        <v/>
      </c>
      <c r="J857">
        <f>IFERROR(SEARCH(search!$B$6,samples!E394,1),0)</f>
        <v>0</v>
      </c>
      <c r="K857" t="str">
        <f>IF(samples!F394=0,"",samples!F394)</f>
        <v/>
      </c>
      <c r="L857">
        <f>IFERROR(SEARCH(search!$B$6,samples!F394,1),0)</f>
        <v>0</v>
      </c>
      <c r="M857" t="str">
        <f>IF(samples!G394=0,"",samples!G394)</f>
        <v/>
      </c>
      <c r="N857">
        <f>IFERROR(SEARCH(search!$B$6,samples!G394,1),0)</f>
        <v>0</v>
      </c>
      <c r="O857" t="str">
        <f>IF(samples!H394=0,"",samples!H394)</f>
        <v/>
      </c>
      <c r="P857">
        <f>IFERROR(SEARCH(search!$B$6,samples!H394,1),0)</f>
        <v>0</v>
      </c>
      <c r="Q857" t="str">
        <f>IF(samples!I394=0,"",samples!I394)</f>
        <v/>
      </c>
      <c r="R857">
        <f>IFERROR(SEARCH(search!$B$6,samples!I394,1),0)</f>
        <v>0</v>
      </c>
      <c r="S857" t="str">
        <f>IF(samples!J394=0,"",samples!J394)</f>
        <v/>
      </c>
      <c r="T857">
        <f>IFERROR(SEARCH(search!$B$6,samples!J394,1),0)</f>
        <v>0</v>
      </c>
      <c r="U857" t="str">
        <f>IF(samples!K394=0,"",samples!K394)</f>
        <v/>
      </c>
      <c r="V857">
        <f>IFERROR(SEARCH(search!$B$6,samples!K394,1),0)</f>
        <v>0</v>
      </c>
      <c r="W857" t="str">
        <f>IF(samples!L394=0,"",samples!L394)</f>
        <v/>
      </c>
      <c r="X857">
        <f>IFERROR(SEARCH(search!$B$6,samples!L394,1),0)</f>
        <v>0</v>
      </c>
      <c r="Y857" t="str">
        <f>IF(samples!M394=0,"",samples!M394)</f>
        <v/>
      </c>
      <c r="Z857">
        <f>IFERROR(SEARCH(search!$B$6,samples!M394,1),0)</f>
        <v>0</v>
      </c>
      <c r="AA857" t="str">
        <f>IF(samples!N394=0,"",samples!N394)</f>
        <v/>
      </c>
      <c r="AB857">
        <f>IFERROR(SEARCH(search!$B$6,samples!N394,1),0)</f>
        <v>0</v>
      </c>
      <c r="AC857" t="str">
        <f>IF(samples!O394=0,"",samples!O394)</f>
        <v/>
      </c>
      <c r="AD857">
        <f>IFERROR(SEARCH(search!$B$6,samples!O394,1),0)</f>
        <v>0</v>
      </c>
    </row>
    <row r="858" spans="1:30">
      <c r="A858">
        <f t="shared" si="13"/>
        <v>0</v>
      </c>
      <c r="B858">
        <f>IF(SUM(D858,F858,H858,J858,L858,N858,P858,R858,T858,V858,X858,Z858,AB858,AD858)&gt;0,SUM($A$2:A858),0)</f>
        <v>0</v>
      </c>
      <c r="C858">
        <f>samples!B395</f>
        <v>0</v>
      </c>
      <c r="D858">
        <f>IFERROR(SEARCH(search!$B$6,samples!B395,1),0)</f>
        <v>0</v>
      </c>
      <c r="E858" t="str">
        <f>IF(samples!C395=0,"",samples!C395)</f>
        <v/>
      </c>
      <c r="F858">
        <f>IFERROR(SEARCH(search!$B$6,samples!C395,1),0)</f>
        <v>0</v>
      </c>
      <c r="G858" t="str">
        <f>IF(samples!D395=0,"",samples!D395)</f>
        <v/>
      </c>
      <c r="H858">
        <f>IFERROR(SEARCH(search!$B$6,samples!D395,1),0)</f>
        <v>0</v>
      </c>
      <c r="I858" t="str">
        <f>IF(samples!E395=0,"",samples!E395)</f>
        <v/>
      </c>
      <c r="J858">
        <f>IFERROR(SEARCH(search!$B$6,samples!E395,1),0)</f>
        <v>0</v>
      </c>
      <c r="K858" t="str">
        <f>IF(samples!F395=0,"",samples!F395)</f>
        <v/>
      </c>
      <c r="L858">
        <f>IFERROR(SEARCH(search!$B$6,samples!F395,1),0)</f>
        <v>0</v>
      </c>
      <c r="M858" t="str">
        <f>IF(samples!G395=0,"",samples!G395)</f>
        <v/>
      </c>
      <c r="N858">
        <f>IFERROR(SEARCH(search!$B$6,samples!G395,1),0)</f>
        <v>0</v>
      </c>
      <c r="O858" t="str">
        <f>IF(samples!H395=0,"",samples!H395)</f>
        <v/>
      </c>
      <c r="P858">
        <f>IFERROR(SEARCH(search!$B$6,samples!H395,1),0)</f>
        <v>0</v>
      </c>
      <c r="Q858" t="str">
        <f>IF(samples!I395=0,"",samples!I395)</f>
        <v/>
      </c>
      <c r="R858">
        <f>IFERROR(SEARCH(search!$B$6,samples!I395,1),0)</f>
        <v>0</v>
      </c>
      <c r="S858" t="str">
        <f>IF(samples!J395=0,"",samples!J395)</f>
        <v/>
      </c>
      <c r="T858">
        <f>IFERROR(SEARCH(search!$B$6,samples!J395,1),0)</f>
        <v>0</v>
      </c>
      <c r="U858" t="str">
        <f>IF(samples!K395=0,"",samples!K395)</f>
        <v/>
      </c>
      <c r="V858">
        <f>IFERROR(SEARCH(search!$B$6,samples!K395,1),0)</f>
        <v>0</v>
      </c>
      <c r="W858" t="str">
        <f>IF(samples!L395=0,"",samples!L395)</f>
        <v/>
      </c>
      <c r="X858">
        <f>IFERROR(SEARCH(search!$B$6,samples!L395,1),0)</f>
        <v>0</v>
      </c>
      <c r="Y858" t="str">
        <f>IF(samples!M395=0,"",samples!M395)</f>
        <v/>
      </c>
      <c r="Z858">
        <f>IFERROR(SEARCH(search!$B$6,samples!M395,1),0)</f>
        <v>0</v>
      </c>
      <c r="AA858" t="str">
        <f>IF(samples!N395=0,"",samples!N395)</f>
        <v/>
      </c>
      <c r="AB858">
        <f>IFERROR(SEARCH(search!$B$6,samples!N395,1),0)</f>
        <v>0</v>
      </c>
      <c r="AC858" t="str">
        <f>IF(samples!O395=0,"",samples!O395)</f>
        <v/>
      </c>
      <c r="AD858">
        <f>IFERROR(SEARCH(search!$B$6,samples!O395,1),0)</f>
        <v>0</v>
      </c>
    </row>
    <row r="859" spans="1:30">
      <c r="A859">
        <f t="shared" si="13"/>
        <v>0</v>
      </c>
      <c r="B859">
        <f>IF(SUM(D859,F859,H859,J859,L859,N859,P859,R859,T859,V859,X859,Z859,AB859,AD859)&gt;0,SUM($A$2:A859),0)</f>
        <v>0</v>
      </c>
      <c r="C859">
        <f>samples!B396</f>
        <v>0</v>
      </c>
      <c r="D859">
        <f>IFERROR(SEARCH(search!$B$6,samples!B396,1),0)</f>
        <v>0</v>
      </c>
      <c r="E859" t="str">
        <f>IF(samples!C396=0,"",samples!C396)</f>
        <v/>
      </c>
      <c r="F859">
        <f>IFERROR(SEARCH(search!$B$6,samples!C396,1),0)</f>
        <v>0</v>
      </c>
      <c r="G859" t="str">
        <f>IF(samples!D396=0,"",samples!D396)</f>
        <v/>
      </c>
      <c r="H859">
        <f>IFERROR(SEARCH(search!$B$6,samples!D396,1),0)</f>
        <v>0</v>
      </c>
      <c r="I859" t="str">
        <f>IF(samples!E396=0,"",samples!E396)</f>
        <v/>
      </c>
      <c r="J859">
        <f>IFERROR(SEARCH(search!$B$6,samples!E396,1),0)</f>
        <v>0</v>
      </c>
      <c r="K859" t="str">
        <f>IF(samples!F396=0,"",samples!F396)</f>
        <v/>
      </c>
      <c r="L859">
        <f>IFERROR(SEARCH(search!$B$6,samples!F396,1),0)</f>
        <v>0</v>
      </c>
      <c r="M859" t="str">
        <f>IF(samples!G396=0,"",samples!G396)</f>
        <v/>
      </c>
      <c r="N859">
        <f>IFERROR(SEARCH(search!$B$6,samples!G396,1),0)</f>
        <v>0</v>
      </c>
      <c r="O859" t="str">
        <f>IF(samples!H396=0,"",samples!H396)</f>
        <v/>
      </c>
      <c r="P859">
        <f>IFERROR(SEARCH(search!$B$6,samples!H396,1),0)</f>
        <v>0</v>
      </c>
      <c r="Q859" t="str">
        <f>IF(samples!I396=0,"",samples!I396)</f>
        <v/>
      </c>
      <c r="R859">
        <f>IFERROR(SEARCH(search!$B$6,samples!I396,1),0)</f>
        <v>0</v>
      </c>
      <c r="S859" t="str">
        <f>IF(samples!J396=0,"",samples!J396)</f>
        <v/>
      </c>
      <c r="T859">
        <f>IFERROR(SEARCH(search!$B$6,samples!J396,1),0)</f>
        <v>0</v>
      </c>
      <c r="U859" t="str">
        <f>IF(samples!K396=0,"",samples!K396)</f>
        <v/>
      </c>
      <c r="V859">
        <f>IFERROR(SEARCH(search!$B$6,samples!K396,1),0)</f>
        <v>0</v>
      </c>
      <c r="W859" t="str">
        <f>IF(samples!L396=0,"",samples!L396)</f>
        <v/>
      </c>
      <c r="X859">
        <f>IFERROR(SEARCH(search!$B$6,samples!L396,1),0)</f>
        <v>0</v>
      </c>
      <c r="Y859" t="str">
        <f>IF(samples!M396=0,"",samples!M396)</f>
        <v/>
      </c>
      <c r="Z859">
        <f>IFERROR(SEARCH(search!$B$6,samples!M396,1),0)</f>
        <v>0</v>
      </c>
      <c r="AA859" t="str">
        <f>IF(samples!N396=0,"",samples!N396)</f>
        <v/>
      </c>
      <c r="AB859">
        <f>IFERROR(SEARCH(search!$B$6,samples!N396,1),0)</f>
        <v>0</v>
      </c>
      <c r="AC859" t="str">
        <f>IF(samples!O396=0,"",samples!O396)</f>
        <v/>
      </c>
      <c r="AD859">
        <f>IFERROR(SEARCH(search!$B$6,samples!O396,1),0)</f>
        <v>0</v>
      </c>
    </row>
    <row r="860" spans="1:30">
      <c r="A860">
        <f t="shared" si="13"/>
        <v>0</v>
      </c>
      <c r="B860">
        <f>IF(SUM(D860,F860,H860,J860,L860,N860,P860,R860,T860,V860,X860,Z860,AB860,AD860)&gt;0,SUM($A$2:A860),0)</f>
        <v>0</v>
      </c>
      <c r="C860">
        <f>samples!B397</f>
        <v>0</v>
      </c>
      <c r="D860">
        <f>IFERROR(SEARCH(search!$B$6,samples!B397,1),0)</f>
        <v>0</v>
      </c>
      <c r="E860" t="str">
        <f>IF(samples!C397=0,"",samples!C397)</f>
        <v/>
      </c>
      <c r="F860">
        <f>IFERROR(SEARCH(search!$B$6,samples!C397,1),0)</f>
        <v>0</v>
      </c>
      <c r="G860" t="str">
        <f>IF(samples!D397=0,"",samples!D397)</f>
        <v/>
      </c>
      <c r="H860">
        <f>IFERROR(SEARCH(search!$B$6,samples!D397,1),0)</f>
        <v>0</v>
      </c>
      <c r="I860" t="str">
        <f>IF(samples!E397=0,"",samples!E397)</f>
        <v/>
      </c>
      <c r="J860">
        <f>IFERROR(SEARCH(search!$B$6,samples!E397,1),0)</f>
        <v>0</v>
      </c>
      <c r="K860" t="str">
        <f>IF(samples!F397=0,"",samples!F397)</f>
        <v/>
      </c>
      <c r="L860">
        <f>IFERROR(SEARCH(search!$B$6,samples!F397,1),0)</f>
        <v>0</v>
      </c>
      <c r="M860" t="str">
        <f>IF(samples!G397=0,"",samples!G397)</f>
        <v/>
      </c>
      <c r="N860">
        <f>IFERROR(SEARCH(search!$B$6,samples!G397,1),0)</f>
        <v>0</v>
      </c>
      <c r="O860" t="str">
        <f>IF(samples!H397=0,"",samples!H397)</f>
        <v/>
      </c>
      <c r="P860">
        <f>IFERROR(SEARCH(search!$B$6,samples!H397,1),0)</f>
        <v>0</v>
      </c>
      <c r="Q860" t="str">
        <f>IF(samples!I397=0,"",samples!I397)</f>
        <v/>
      </c>
      <c r="R860">
        <f>IFERROR(SEARCH(search!$B$6,samples!I397,1),0)</f>
        <v>0</v>
      </c>
      <c r="S860" t="str">
        <f>IF(samples!J397=0,"",samples!J397)</f>
        <v/>
      </c>
      <c r="T860">
        <f>IFERROR(SEARCH(search!$B$6,samples!J397,1),0)</f>
        <v>0</v>
      </c>
      <c r="U860" t="str">
        <f>IF(samples!K397=0,"",samples!K397)</f>
        <v/>
      </c>
      <c r="V860">
        <f>IFERROR(SEARCH(search!$B$6,samples!K397,1),0)</f>
        <v>0</v>
      </c>
      <c r="W860" t="str">
        <f>IF(samples!L397=0,"",samples!L397)</f>
        <v/>
      </c>
      <c r="X860">
        <f>IFERROR(SEARCH(search!$B$6,samples!L397,1),0)</f>
        <v>0</v>
      </c>
      <c r="Y860" t="str">
        <f>IF(samples!M397=0,"",samples!M397)</f>
        <v/>
      </c>
      <c r="Z860">
        <f>IFERROR(SEARCH(search!$B$6,samples!M397,1),0)</f>
        <v>0</v>
      </c>
      <c r="AA860" t="str">
        <f>IF(samples!N397=0,"",samples!N397)</f>
        <v/>
      </c>
      <c r="AB860">
        <f>IFERROR(SEARCH(search!$B$6,samples!N397,1),0)</f>
        <v>0</v>
      </c>
      <c r="AC860" t="str">
        <f>IF(samples!O397=0,"",samples!O397)</f>
        <v/>
      </c>
      <c r="AD860">
        <f>IFERROR(SEARCH(search!$B$6,samples!O397,1),0)</f>
        <v>0</v>
      </c>
    </row>
    <row r="861" spans="1:30">
      <c r="A861">
        <f t="shared" si="13"/>
        <v>0</v>
      </c>
      <c r="B861">
        <f>IF(SUM(D861,F861,H861,J861,L861,N861,P861,R861,T861,V861,X861,Z861,AB861,AD861)&gt;0,SUM($A$2:A861),0)</f>
        <v>0</v>
      </c>
      <c r="C861">
        <f>samples!B398</f>
        <v>0</v>
      </c>
      <c r="D861">
        <f>IFERROR(SEARCH(search!$B$6,samples!B398,1),0)</f>
        <v>0</v>
      </c>
      <c r="E861" t="str">
        <f>IF(samples!C398=0,"",samples!C398)</f>
        <v/>
      </c>
      <c r="F861">
        <f>IFERROR(SEARCH(search!$B$6,samples!C398,1),0)</f>
        <v>0</v>
      </c>
      <c r="G861" t="str">
        <f>IF(samples!D398=0,"",samples!D398)</f>
        <v/>
      </c>
      <c r="H861">
        <f>IFERROR(SEARCH(search!$B$6,samples!D398,1),0)</f>
        <v>0</v>
      </c>
      <c r="I861" t="str">
        <f>IF(samples!E398=0,"",samples!E398)</f>
        <v/>
      </c>
      <c r="J861">
        <f>IFERROR(SEARCH(search!$B$6,samples!E398,1),0)</f>
        <v>0</v>
      </c>
      <c r="K861" t="str">
        <f>IF(samples!F398=0,"",samples!F398)</f>
        <v/>
      </c>
      <c r="L861">
        <f>IFERROR(SEARCH(search!$B$6,samples!F398,1),0)</f>
        <v>0</v>
      </c>
      <c r="M861" t="str">
        <f>IF(samples!G398=0,"",samples!G398)</f>
        <v/>
      </c>
      <c r="N861">
        <f>IFERROR(SEARCH(search!$B$6,samples!G398,1),0)</f>
        <v>0</v>
      </c>
      <c r="O861" t="str">
        <f>IF(samples!H398=0,"",samples!H398)</f>
        <v/>
      </c>
      <c r="P861">
        <f>IFERROR(SEARCH(search!$B$6,samples!H398,1),0)</f>
        <v>0</v>
      </c>
      <c r="Q861" t="str">
        <f>IF(samples!I398=0,"",samples!I398)</f>
        <v/>
      </c>
      <c r="R861">
        <f>IFERROR(SEARCH(search!$B$6,samples!I398,1),0)</f>
        <v>0</v>
      </c>
      <c r="S861" t="str">
        <f>IF(samples!J398=0,"",samples!J398)</f>
        <v/>
      </c>
      <c r="T861">
        <f>IFERROR(SEARCH(search!$B$6,samples!J398,1),0)</f>
        <v>0</v>
      </c>
      <c r="U861" t="str">
        <f>IF(samples!K398=0,"",samples!K398)</f>
        <v/>
      </c>
      <c r="V861">
        <f>IFERROR(SEARCH(search!$B$6,samples!K398,1),0)</f>
        <v>0</v>
      </c>
      <c r="W861" t="str">
        <f>IF(samples!L398=0,"",samples!L398)</f>
        <v/>
      </c>
      <c r="X861">
        <f>IFERROR(SEARCH(search!$B$6,samples!L398,1),0)</f>
        <v>0</v>
      </c>
      <c r="Y861" t="str">
        <f>IF(samples!M398=0,"",samples!M398)</f>
        <v/>
      </c>
      <c r="Z861">
        <f>IFERROR(SEARCH(search!$B$6,samples!M398,1),0)</f>
        <v>0</v>
      </c>
      <c r="AA861" t="str">
        <f>IF(samples!N398=0,"",samples!N398)</f>
        <v/>
      </c>
      <c r="AB861">
        <f>IFERROR(SEARCH(search!$B$6,samples!N398,1),0)</f>
        <v>0</v>
      </c>
      <c r="AC861" t="str">
        <f>IF(samples!O398=0,"",samples!O398)</f>
        <v/>
      </c>
      <c r="AD861">
        <f>IFERROR(SEARCH(search!$B$6,samples!O398,1),0)</f>
        <v>0</v>
      </c>
    </row>
    <row r="862" spans="1:30">
      <c r="A862">
        <f t="shared" si="13"/>
        <v>0</v>
      </c>
      <c r="B862">
        <f>IF(SUM(D862,F862,H862,J862,L862,N862,P862,R862,T862,V862,X862,Z862,AB862,AD862)&gt;0,SUM($A$2:A862),0)</f>
        <v>0</v>
      </c>
      <c r="C862">
        <f>samples!B399</f>
        <v>0</v>
      </c>
      <c r="D862">
        <f>IFERROR(SEARCH(search!$B$6,samples!B399,1),0)</f>
        <v>0</v>
      </c>
      <c r="E862" t="str">
        <f>IF(samples!C399=0,"",samples!C399)</f>
        <v/>
      </c>
      <c r="F862">
        <f>IFERROR(SEARCH(search!$B$6,samples!C399,1),0)</f>
        <v>0</v>
      </c>
      <c r="G862" t="str">
        <f>IF(samples!D399=0,"",samples!D399)</f>
        <v/>
      </c>
      <c r="H862">
        <f>IFERROR(SEARCH(search!$B$6,samples!D399,1),0)</f>
        <v>0</v>
      </c>
      <c r="I862" t="str">
        <f>IF(samples!E399=0,"",samples!E399)</f>
        <v/>
      </c>
      <c r="J862">
        <f>IFERROR(SEARCH(search!$B$6,samples!E399,1),0)</f>
        <v>0</v>
      </c>
      <c r="K862" t="str">
        <f>IF(samples!F399=0,"",samples!F399)</f>
        <v/>
      </c>
      <c r="L862">
        <f>IFERROR(SEARCH(search!$B$6,samples!F399,1),0)</f>
        <v>0</v>
      </c>
      <c r="M862" t="str">
        <f>IF(samples!G399=0,"",samples!G399)</f>
        <v/>
      </c>
      <c r="N862">
        <f>IFERROR(SEARCH(search!$B$6,samples!G399,1),0)</f>
        <v>0</v>
      </c>
      <c r="O862" t="str">
        <f>IF(samples!H399=0,"",samples!H399)</f>
        <v/>
      </c>
      <c r="P862">
        <f>IFERROR(SEARCH(search!$B$6,samples!H399,1),0)</f>
        <v>0</v>
      </c>
      <c r="Q862" t="str">
        <f>IF(samples!I399=0,"",samples!I399)</f>
        <v/>
      </c>
      <c r="R862">
        <f>IFERROR(SEARCH(search!$B$6,samples!I399,1),0)</f>
        <v>0</v>
      </c>
      <c r="S862" t="str">
        <f>IF(samples!J399=0,"",samples!J399)</f>
        <v/>
      </c>
      <c r="T862">
        <f>IFERROR(SEARCH(search!$B$6,samples!J399,1),0)</f>
        <v>0</v>
      </c>
      <c r="U862" t="str">
        <f>IF(samples!K399=0,"",samples!K399)</f>
        <v/>
      </c>
      <c r="V862">
        <f>IFERROR(SEARCH(search!$B$6,samples!K399,1),0)</f>
        <v>0</v>
      </c>
      <c r="W862" t="str">
        <f>IF(samples!L399=0,"",samples!L399)</f>
        <v/>
      </c>
      <c r="X862">
        <f>IFERROR(SEARCH(search!$B$6,samples!L399,1),0)</f>
        <v>0</v>
      </c>
      <c r="Y862" t="str">
        <f>IF(samples!M399=0,"",samples!M399)</f>
        <v/>
      </c>
      <c r="Z862">
        <f>IFERROR(SEARCH(search!$B$6,samples!M399,1),0)</f>
        <v>0</v>
      </c>
      <c r="AA862" t="str">
        <f>IF(samples!N399=0,"",samples!N399)</f>
        <v/>
      </c>
      <c r="AB862">
        <f>IFERROR(SEARCH(search!$B$6,samples!N399,1),0)</f>
        <v>0</v>
      </c>
      <c r="AC862" t="str">
        <f>IF(samples!O399=0,"",samples!O399)</f>
        <v/>
      </c>
      <c r="AD862">
        <f>IFERROR(SEARCH(search!$B$6,samples!O399,1),0)</f>
        <v>0</v>
      </c>
    </row>
    <row r="863" spans="1:30">
      <c r="A863">
        <f t="shared" si="13"/>
        <v>0</v>
      </c>
      <c r="B863">
        <f>IF(SUM(D863,F863,H863,J863,L863,N863,P863,R863,T863,V863,X863,Z863,AB863,AD863)&gt;0,SUM($A$2:A863),0)</f>
        <v>0</v>
      </c>
      <c r="C863">
        <f>samples!B400</f>
        <v>0</v>
      </c>
      <c r="D863">
        <f>IFERROR(SEARCH(search!$B$6,samples!B400,1),0)</f>
        <v>0</v>
      </c>
      <c r="E863" t="str">
        <f>IF(samples!C400=0,"",samples!C400)</f>
        <v/>
      </c>
      <c r="F863">
        <f>IFERROR(SEARCH(search!$B$6,samples!C400,1),0)</f>
        <v>0</v>
      </c>
      <c r="G863" t="str">
        <f>IF(samples!D400=0,"",samples!D400)</f>
        <v/>
      </c>
      <c r="H863">
        <f>IFERROR(SEARCH(search!$B$6,samples!D400,1),0)</f>
        <v>0</v>
      </c>
      <c r="I863" t="str">
        <f>IF(samples!E400=0,"",samples!E400)</f>
        <v/>
      </c>
      <c r="J863">
        <f>IFERROR(SEARCH(search!$B$6,samples!E400,1),0)</f>
        <v>0</v>
      </c>
      <c r="K863" t="str">
        <f>IF(samples!F400=0,"",samples!F400)</f>
        <v/>
      </c>
      <c r="L863">
        <f>IFERROR(SEARCH(search!$B$6,samples!F400,1),0)</f>
        <v>0</v>
      </c>
      <c r="M863" t="str">
        <f>IF(samples!G400=0,"",samples!G400)</f>
        <v/>
      </c>
      <c r="N863">
        <f>IFERROR(SEARCH(search!$B$6,samples!G400,1),0)</f>
        <v>0</v>
      </c>
      <c r="O863" t="str">
        <f>IF(samples!H400=0,"",samples!H400)</f>
        <v/>
      </c>
      <c r="P863">
        <f>IFERROR(SEARCH(search!$B$6,samples!H400,1),0)</f>
        <v>0</v>
      </c>
      <c r="Q863" t="str">
        <f>IF(samples!I400=0,"",samples!I400)</f>
        <v/>
      </c>
      <c r="R863">
        <f>IFERROR(SEARCH(search!$B$6,samples!I400,1),0)</f>
        <v>0</v>
      </c>
      <c r="S863" t="str">
        <f>IF(samples!J400=0,"",samples!J400)</f>
        <v/>
      </c>
      <c r="T863">
        <f>IFERROR(SEARCH(search!$B$6,samples!J400,1),0)</f>
        <v>0</v>
      </c>
      <c r="U863" t="str">
        <f>IF(samples!K400=0,"",samples!K400)</f>
        <v/>
      </c>
      <c r="V863">
        <f>IFERROR(SEARCH(search!$B$6,samples!K400,1),0)</f>
        <v>0</v>
      </c>
      <c r="W863" t="str">
        <f>IF(samples!L400=0,"",samples!L400)</f>
        <v/>
      </c>
      <c r="X863">
        <f>IFERROR(SEARCH(search!$B$6,samples!L400,1),0)</f>
        <v>0</v>
      </c>
      <c r="Y863" t="str">
        <f>IF(samples!M400=0,"",samples!M400)</f>
        <v/>
      </c>
      <c r="Z863">
        <f>IFERROR(SEARCH(search!$B$6,samples!M400,1),0)</f>
        <v>0</v>
      </c>
      <c r="AA863" t="str">
        <f>IF(samples!N400=0,"",samples!N400)</f>
        <v/>
      </c>
      <c r="AB863">
        <f>IFERROR(SEARCH(search!$B$6,samples!N400,1),0)</f>
        <v>0</v>
      </c>
      <c r="AC863" t="str">
        <f>IF(samples!O400=0,"",samples!O400)</f>
        <v/>
      </c>
      <c r="AD863">
        <f>IFERROR(SEARCH(search!$B$6,samples!O400,1),0)</f>
        <v>0</v>
      </c>
    </row>
    <row r="864" spans="1:30">
      <c r="A864">
        <f t="shared" si="13"/>
        <v>0</v>
      </c>
      <c r="B864">
        <f>IF(SUM(D864,F864,H864,J864,L864,N864,P864,R864,T864,V864,X864,Z864,AB864,AD864)&gt;0,SUM($A$2:A864),0)</f>
        <v>0</v>
      </c>
      <c r="C864">
        <f>samples!B401</f>
        <v>0</v>
      </c>
      <c r="D864">
        <f>IFERROR(SEARCH(search!$B$6,samples!B401,1),0)</f>
        <v>0</v>
      </c>
      <c r="E864" t="str">
        <f>IF(samples!C401=0,"",samples!C401)</f>
        <v/>
      </c>
      <c r="F864">
        <f>IFERROR(SEARCH(search!$B$6,samples!C401,1),0)</f>
        <v>0</v>
      </c>
      <c r="G864" t="str">
        <f>IF(samples!D401=0,"",samples!D401)</f>
        <v/>
      </c>
      <c r="H864">
        <f>IFERROR(SEARCH(search!$B$6,samples!D401,1),0)</f>
        <v>0</v>
      </c>
      <c r="I864" t="str">
        <f>IF(samples!E401=0,"",samples!E401)</f>
        <v/>
      </c>
      <c r="J864">
        <f>IFERROR(SEARCH(search!$B$6,samples!E401,1),0)</f>
        <v>0</v>
      </c>
      <c r="K864" t="str">
        <f>IF(samples!F401=0,"",samples!F401)</f>
        <v/>
      </c>
      <c r="L864">
        <f>IFERROR(SEARCH(search!$B$6,samples!F401,1),0)</f>
        <v>0</v>
      </c>
      <c r="M864" t="str">
        <f>IF(samples!G401=0,"",samples!G401)</f>
        <v/>
      </c>
      <c r="N864">
        <f>IFERROR(SEARCH(search!$B$6,samples!G401,1),0)</f>
        <v>0</v>
      </c>
      <c r="O864" t="str">
        <f>IF(samples!H401=0,"",samples!H401)</f>
        <v/>
      </c>
      <c r="P864">
        <f>IFERROR(SEARCH(search!$B$6,samples!H401,1),0)</f>
        <v>0</v>
      </c>
      <c r="Q864" t="str">
        <f>IF(samples!I401=0,"",samples!I401)</f>
        <v/>
      </c>
      <c r="R864">
        <f>IFERROR(SEARCH(search!$B$6,samples!I401,1),0)</f>
        <v>0</v>
      </c>
      <c r="S864" t="str">
        <f>IF(samples!J401=0,"",samples!J401)</f>
        <v/>
      </c>
      <c r="T864">
        <f>IFERROR(SEARCH(search!$B$6,samples!J401,1),0)</f>
        <v>0</v>
      </c>
      <c r="U864" t="str">
        <f>IF(samples!K401=0,"",samples!K401)</f>
        <v/>
      </c>
      <c r="V864">
        <f>IFERROR(SEARCH(search!$B$6,samples!K401,1),0)</f>
        <v>0</v>
      </c>
      <c r="W864" t="str">
        <f>IF(samples!L401=0,"",samples!L401)</f>
        <v/>
      </c>
      <c r="X864">
        <f>IFERROR(SEARCH(search!$B$6,samples!L401,1),0)</f>
        <v>0</v>
      </c>
      <c r="Y864" t="str">
        <f>IF(samples!M401=0,"",samples!M401)</f>
        <v/>
      </c>
      <c r="Z864">
        <f>IFERROR(SEARCH(search!$B$6,samples!M401,1),0)</f>
        <v>0</v>
      </c>
      <c r="AA864" t="str">
        <f>IF(samples!N401=0,"",samples!N401)</f>
        <v/>
      </c>
      <c r="AB864">
        <f>IFERROR(SEARCH(search!$B$6,samples!N401,1),0)</f>
        <v>0</v>
      </c>
      <c r="AC864" t="str">
        <f>IF(samples!O401=0,"",samples!O401)</f>
        <v/>
      </c>
      <c r="AD864">
        <f>IFERROR(SEARCH(search!$B$6,samples!O401,1),0)</f>
        <v>0</v>
      </c>
    </row>
    <row r="865" spans="1:30">
      <c r="A865">
        <f t="shared" si="13"/>
        <v>0</v>
      </c>
      <c r="B865">
        <f>IF(SUM(D865,F865,H865,J865,L865,N865,P865,R865,T865,V865,X865,Z865,AB865,AD865)&gt;0,SUM($A$2:A865),0)</f>
        <v>0</v>
      </c>
      <c r="C865">
        <f>samples!B402</f>
        <v>0</v>
      </c>
      <c r="D865">
        <f>IFERROR(SEARCH(search!$B$6,samples!B402,1),0)</f>
        <v>0</v>
      </c>
      <c r="E865" t="str">
        <f>IF(samples!C402=0,"",samples!C402)</f>
        <v/>
      </c>
      <c r="F865">
        <f>IFERROR(SEARCH(search!$B$6,samples!C402,1),0)</f>
        <v>0</v>
      </c>
      <c r="G865" t="str">
        <f>IF(samples!D402=0,"",samples!D402)</f>
        <v/>
      </c>
      <c r="H865">
        <f>IFERROR(SEARCH(search!$B$6,samples!D402,1),0)</f>
        <v>0</v>
      </c>
      <c r="I865" t="str">
        <f>IF(samples!E402=0,"",samples!E402)</f>
        <v/>
      </c>
      <c r="J865">
        <f>IFERROR(SEARCH(search!$B$6,samples!E402,1),0)</f>
        <v>0</v>
      </c>
      <c r="K865" t="str">
        <f>IF(samples!F402=0,"",samples!F402)</f>
        <v/>
      </c>
      <c r="L865">
        <f>IFERROR(SEARCH(search!$B$6,samples!F402,1),0)</f>
        <v>0</v>
      </c>
      <c r="M865" t="str">
        <f>IF(samples!G402=0,"",samples!G402)</f>
        <v/>
      </c>
      <c r="N865">
        <f>IFERROR(SEARCH(search!$B$6,samples!G402,1),0)</f>
        <v>0</v>
      </c>
      <c r="O865" t="str">
        <f>IF(samples!H402=0,"",samples!H402)</f>
        <v/>
      </c>
      <c r="P865">
        <f>IFERROR(SEARCH(search!$B$6,samples!H402,1),0)</f>
        <v>0</v>
      </c>
      <c r="Q865" t="str">
        <f>IF(samples!I402=0,"",samples!I402)</f>
        <v/>
      </c>
      <c r="R865">
        <f>IFERROR(SEARCH(search!$B$6,samples!I402,1),0)</f>
        <v>0</v>
      </c>
      <c r="S865" t="str">
        <f>IF(samples!J402=0,"",samples!J402)</f>
        <v/>
      </c>
      <c r="T865">
        <f>IFERROR(SEARCH(search!$B$6,samples!J402,1),0)</f>
        <v>0</v>
      </c>
      <c r="U865" t="str">
        <f>IF(samples!K402=0,"",samples!K402)</f>
        <v/>
      </c>
      <c r="V865">
        <f>IFERROR(SEARCH(search!$B$6,samples!K402,1),0)</f>
        <v>0</v>
      </c>
      <c r="W865" t="str">
        <f>IF(samples!L402=0,"",samples!L402)</f>
        <v/>
      </c>
      <c r="X865">
        <f>IFERROR(SEARCH(search!$B$6,samples!L402,1),0)</f>
        <v>0</v>
      </c>
      <c r="Y865" t="str">
        <f>IF(samples!M402=0,"",samples!M402)</f>
        <v/>
      </c>
      <c r="Z865">
        <f>IFERROR(SEARCH(search!$B$6,samples!M402,1),0)</f>
        <v>0</v>
      </c>
      <c r="AA865" t="str">
        <f>IF(samples!N402=0,"",samples!N402)</f>
        <v/>
      </c>
      <c r="AB865">
        <f>IFERROR(SEARCH(search!$B$6,samples!N402,1),0)</f>
        <v>0</v>
      </c>
      <c r="AC865" t="str">
        <f>IF(samples!O402=0,"",samples!O402)</f>
        <v/>
      </c>
      <c r="AD865">
        <f>IFERROR(SEARCH(search!$B$6,samples!O402,1),0)</f>
        <v>0</v>
      </c>
    </row>
    <row r="866" spans="1:30">
      <c r="A866">
        <f t="shared" si="13"/>
        <v>0</v>
      </c>
      <c r="B866">
        <f>IF(SUM(D866,F866,H866,J866,L866,N866,P866,R866,T866,V866,X866,Z866,AB866,AD866)&gt;0,SUM($A$2:A866),0)</f>
        <v>0</v>
      </c>
      <c r="C866">
        <f>samples!B403</f>
        <v>0</v>
      </c>
      <c r="D866">
        <f>IFERROR(SEARCH(search!$B$6,samples!B403,1),0)</f>
        <v>0</v>
      </c>
      <c r="E866" t="str">
        <f>IF(samples!C403=0,"",samples!C403)</f>
        <v/>
      </c>
      <c r="F866">
        <f>IFERROR(SEARCH(search!$B$6,samples!C403,1),0)</f>
        <v>0</v>
      </c>
      <c r="G866" t="str">
        <f>IF(samples!D403=0,"",samples!D403)</f>
        <v/>
      </c>
      <c r="H866">
        <f>IFERROR(SEARCH(search!$B$6,samples!D403,1),0)</f>
        <v>0</v>
      </c>
      <c r="I866" t="str">
        <f>IF(samples!E403=0,"",samples!E403)</f>
        <v/>
      </c>
      <c r="J866">
        <f>IFERROR(SEARCH(search!$B$6,samples!E403,1),0)</f>
        <v>0</v>
      </c>
      <c r="K866" t="str">
        <f>IF(samples!F403=0,"",samples!F403)</f>
        <v/>
      </c>
      <c r="L866">
        <f>IFERROR(SEARCH(search!$B$6,samples!F403,1),0)</f>
        <v>0</v>
      </c>
      <c r="M866" t="str">
        <f>IF(samples!G403=0,"",samples!G403)</f>
        <v/>
      </c>
      <c r="N866">
        <f>IFERROR(SEARCH(search!$B$6,samples!G403,1),0)</f>
        <v>0</v>
      </c>
      <c r="O866" t="str">
        <f>IF(samples!H403=0,"",samples!H403)</f>
        <v/>
      </c>
      <c r="P866">
        <f>IFERROR(SEARCH(search!$B$6,samples!H403,1),0)</f>
        <v>0</v>
      </c>
      <c r="Q866" t="str">
        <f>IF(samples!I403=0,"",samples!I403)</f>
        <v/>
      </c>
      <c r="R866">
        <f>IFERROR(SEARCH(search!$B$6,samples!I403,1),0)</f>
        <v>0</v>
      </c>
      <c r="S866" t="str">
        <f>IF(samples!J403=0,"",samples!J403)</f>
        <v/>
      </c>
      <c r="T866">
        <f>IFERROR(SEARCH(search!$B$6,samples!J403,1),0)</f>
        <v>0</v>
      </c>
      <c r="U866" t="str">
        <f>IF(samples!K403=0,"",samples!K403)</f>
        <v/>
      </c>
      <c r="V866">
        <f>IFERROR(SEARCH(search!$B$6,samples!K403,1),0)</f>
        <v>0</v>
      </c>
      <c r="W866" t="str">
        <f>IF(samples!L403=0,"",samples!L403)</f>
        <v/>
      </c>
      <c r="X866">
        <f>IFERROR(SEARCH(search!$B$6,samples!L403,1),0)</f>
        <v>0</v>
      </c>
      <c r="Y866" t="str">
        <f>IF(samples!M403=0,"",samples!M403)</f>
        <v/>
      </c>
      <c r="Z866">
        <f>IFERROR(SEARCH(search!$B$6,samples!M403,1),0)</f>
        <v>0</v>
      </c>
      <c r="AA866" t="str">
        <f>IF(samples!N403=0,"",samples!N403)</f>
        <v/>
      </c>
      <c r="AB866">
        <f>IFERROR(SEARCH(search!$B$6,samples!N403,1),0)</f>
        <v>0</v>
      </c>
      <c r="AC866" t="str">
        <f>IF(samples!O403=0,"",samples!O403)</f>
        <v/>
      </c>
      <c r="AD866">
        <f>IFERROR(SEARCH(search!$B$6,samples!O403,1),0)</f>
        <v>0</v>
      </c>
    </row>
    <row r="867" spans="1:30">
      <c r="A867">
        <f t="shared" si="13"/>
        <v>0</v>
      </c>
      <c r="B867">
        <f>IF(SUM(D867,F867,H867,J867,L867,N867,P867,R867,T867,V867,X867,Z867,AB867,AD867)&gt;0,SUM($A$2:A867),0)</f>
        <v>0</v>
      </c>
      <c r="C867">
        <f>samples!B404</f>
        <v>0</v>
      </c>
      <c r="D867">
        <f>IFERROR(SEARCH(search!$B$6,samples!B404,1),0)</f>
        <v>0</v>
      </c>
      <c r="E867" t="str">
        <f>IF(samples!C404=0,"",samples!C404)</f>
        <v/>
      </c>
      <c r="F867">
        <f>IFERROR(SEARCH(search!$B$6,samples!C404,1),0)</f>
        <v>0</v>
      </c>
      <c r="G867" t="str">
        <f>IF(samples!D404=0,"",samples!D404)</f>
        <v/>
      </c>
      <c r="H867">
        <f>IFERROR(SEARCH(search!$B$6,samples!D404,1),0)</f>
        <v>0</v>
      </c>
      <c r="I867" t="str">
        <f>IF(samples!E404=0,"",samples!E404)</f>
        <v/>
      </c>
      <c r="J867">
        <f>IFERROR(SEARCH(search!$B$6,samples!E404,1),0)</f>
        <v>0</v>
      </c>
      <c r="K867" t="str">
        <f>IF(samples!F404=0,"",samples!F404)</f>
        <v/>
      </c>
      <c r="L867">
        <f>IFERROR(SEARCH(search!$B$6,samples!F404,1),0)</f>
        <v>0</v>
      </c>
      <c r="M867" t="str">
        <f>IF(samples!G404=0,"",samples!G404)</f>
        <v/>
      </c>
      <c r="N867">
        <f>IFERROR(SEARCH(search!$B$6,samples!G404,1),0)</f>
        <v>0</v>
      </c>
      <c r="O867" t="str">
        <f>IF(samples!H404=0,"",samples!H404)</f>
        <v/>
      </c>
      <c r="P867">
        <f>IFERROR(SEARCH(search!$B$6,samples!H404,1),0)</f>
        <v>0</v>
      </c>
      <c r="Q867" t="str">
        <f>IF(samples!I404=0,"",samples!I404)</f>
        <v/>
      </c>
      <c r="R867">
        <f>IFERROR(SEARCH(search!$B$6,samples!I404,1),0)</f>
        <v>0</v>
      </c>
      <c r="S867" t="str">
        <f>IF(samples!J404=0,"",samples!J404)</f>
        <v/>
      </c>
      <c r="T867">
        <f>IFERROR(SEARCH(search!$B$6,samples!J404,1),0)</f>
        <v>0</v>
      </c>
      <c r="U867" t="str">
        <f>IF(samples!K404=0,"",samples!K404)</f>
        <v/>
      </c>
      <c r="V867">
        <f>IFERROR(SEARCH(search!$B$6,samples!K404,1),0)</f>
        <v>0</v>
      </c>
      <c r="W867" t="str">
        <f>IF(samples!L404=0,"",samples!L404)</f>
        <v/>
      </c>
      <c r="X867">
        <f>IFERROR(SEARCH(search!$B$6,samples!L404,1),0)</f>
        <v>0</v>
      </c>
      <c r="Y867" t="str">
        <f>IF(samples!M404=0,"",samples!M404)</f>
        <v/>
      </c>
      <c r="Z867">
        <f>IFERROR(SEARCH(search!$B$6,samples!M404,1),0)</f>
        <v>0</v>
      </c>
      <c r="AA867" t="str">
        <f>IF(samples!N404=0,"",samples!N404)</f>
        <v/>
      </c>
      <c r="AB867">
        <f>IFERROR(SEARCH(search!$B$6,samples!N404,1),0)</f>
        <v>0</v>
      </c>
      <c r="AC867" t="str">
        <f>IF(samples!O404=0,"",samples!O404)</f>
        <v/>
      </c>
      <c r="AD867">
        <f>IFERROR(SEARCH(search!$B$6,samples!O404,1),0)</f>
        <v>0</v>
      </c>
    </row>
    <row r="868" spans="1:30">
      <c r="A868">
        <f t="shared" si="13"/>
        <v>0</v>
      </c>
      <c r="B868">
        <f>IF(SUM(D868,F868,H868,J868,L868,N868,P868,R868,T868,V868,X868,Z868,AB868,AD868)&gt;0,SUM($A$2:A868),0)</f>
        <v>0</v>
      </c>
      <c r="C868">
        <f>samples!B405</f>
        <v>0</v>
      </c>
      <c r="D868">
        <f>IFERROR(SEARCH(search!$B$6,samples!B405,1),0)</f>
        <v>0</v>
      </c>
      <c r="E868" t="str">
        <f>IF(samples!C405=0,"",samples!C405)</f>
        <v/>
      </c>
      <c r="F868">
        <f>IFERROR(SEARCH(search!$B$6,samples!C405,1),0)</f>
        <v>0</v>
      </c>
      <c r="G868" t="str">
        <f>IF(samples!D405=0,"",samples!D405)</f>
        <v/>
      </c>
      <c r="H868">
        <f>IFERROR(SEARCH(search!$B$6,samples!D405,1),0)</f>
        <v>0</v>
      </c>
      <c r="I868" t="str">
        <f>IF(samples!E405=0,"",samples!E405)</f>
        <v/>
      </c>
      <c r="J868">
        <f>IFERROR(SEARCH(search!$B$6,samples!E405,1),0)</f>
        <v>0</v>
      </c>
      <c r="K868" t="str">
        <f>IF(samples!F405=0,"",samples!F405)</f>
        <v/>
      </c>
      <c r="L868">
        <f>IFERROR(SEARCH(search!$B$6,samples!F405,1),0)</f>
        <v>0</v>
      </c>
      <c r="M868" t="str">
        <f>IF(samples!G405=0,"",samples!G405)</f>
        <v/>
      </c>
      <c r="N868">
        <f>IFERROR(SEARCH(search!$B$6,samples!G405,1),0)</f>
        <v>0</v>
      </c>
      <c r="O868" t="str">
        <f>IF(samples!H405=0,"",samples!H405)</f>
        <v/>
      </c>
      <c r="P868">
        <f>IFERROR(SEARCH(search!$B$6,samples!H405,1),0)</f>
        <v>0</v>
      </c>
      <c r="Q868" t="str">
        <f>IF(samples!I405=0,"",samples!I405)</f>
        <v/>
      </c>
      <c r="R868">
        <f>IFERROR(SEARCH(search!$B$6,samples!I405,1),0)</f>
        <v>0</v>
      </c>
      <c r="S868" t="str">
        <f>IF(samples!J405=0,"",samples!J405)</f>
        <v/>
      </c>
      <c r="T868">
        <f>IFERROR(SEARCH(search!$B$6,samples!J405,1),0)</f>
        <v>0</v>
      </c>
      <c r="U868" t="str">
        <f>IF(samples!K405=0,"",samples!K405)</f>
        <v/>
      </c>
      <c r="V868">
        <f>IFERROR(SEARCH(search!$B$6,samples!K405,1),0)</f>
        <v>0</v>
      </c>
      <c r="W868" t="str">
        <f>IF(samples!L405=0,"",samples!L405)</f>
        <v/>
      </c>
      <c r="X868">
        <f>IFERROR(SEARCH(search!$B$6,samples!L405,1),0)</f>
        <v>0</v>
      </c>
      <c r="Y868" t="str">
        <f>IF(samples!M405=0,"",samples!M405)</f>
        <v/>
      </c>
      <c r="Z868">
        <f>IFERROR(SEARCH(search!$B$6,samples!M405,1),0)</f>
        <v>0</v>
      </c>
      <c r="AA868" t="str">
        <f>IF(samples!N405=0,"",samples!N405)</f>
        <v/>
      </c>
      <c r="AB868">
        <f>IFERROR(SEARCH(search!$B$6,samples!N405,1),0)</f>
        <v>0</v>
      </c>
      <c r="AC868" t="str">
        <f>IF(samples!O405=0,"",samples!O405)</f>
        <v/>
      </c>
      <c r="AD868">
        <f>IFERROR(SEARCH(search!$B$6,samples!O405,1),0)</f>
        <v>0</v>
      </c>
    </row>
    <row r="869" spans="1:30">
      <c r="A869">
        <f t="shared" si="13"/>
        <v>0</v>
      </c>
      <c r="B869">
        <f>IF(SUM(D869,F869,H869,J869,L869,N869,P869,R869,T869,V869,X869,Z869,AB869,AD869)&gt;0,SUM($A$2:A869),0)</f>
        <v>0</v>
      </c>
      <c r="C869">
        <f>samples!B406</f>
        <v>0</v>
      </c>
      <c r="D869">
        <f>IFERROR(SEARCH(search!$B$6,samples!B406,1),0)</f>
        <v>0</v>
      </c>
      <c r="E869" t="str">
        <f>IF(samples!C406=0,"",samples!C406)</f>
        <v/>
      </c>
      <c r="F869">
        <f>IFERROR(SEARCH(search!$B$6,samples!C406,1),0)</f>
        <v>0</v>
      </c>
      <c r="G869" t="str">
        <f>IF(samples!D406=0,"",samples!D406)</f>
        <v/>
      </c>
      <c r="H869">
        <f>IFERROR(SEARCH(search!$B$6,samples!D406,1),0)</f>
        <v>0</v>
      </c>
      <c r="I869" t="str">
        <f>IF(samples!E406=0,"",samples!E406)</f>
        <v/>
      </c>
      <c r="J869">
        <f>IFERROR(SEARCH(search!$B$6,samples!E406,1),0)</f>
        <v>0</v>
      </c>
      <c r="K869" t="str">
        <f>IF(samples!F406=0,"",samples!F406)</f>
        <v/>
      </c>
      <c r="L869">
        <f>IFERROR(SEARCH(search!$B$6,samples!F406,1),0)</f>
        <v>0</v>
      </c>
      <c r="M869" t="str">
        <f>IF(samples!G406=0,"",samples!G406)</f>
        <v/>
      </c>
      <c r="N869">
        <f>IFERROR(SEARCH(search!$B$6,samples!G406,1),0)</f>
        <v>0</v>
      </c>
      <c r="O869" t="str">
        <f>IF(samples!H406=0,"",samples!H406)</f>
        <v/>
      </c>
      <c r="P869">
        <f>IFERROR(SEARCH(search!$B$6,samples!H406,1),0)</f>
        <v>0</v>
      </c>
      <c r="Q869" t="str">
        <f>IF(samples!I406=0,"",samples!I406)</f>
        <v/>
      </c>
      <c r="R869">
        <f>IFERROR(SEARCH(search!$B$6,samples!I406,1),0)</f>
        <v>0</v>
      </c>
      <c r="S869" t="str">
        <f>IF(samples!J406=0,"",samples!J406)</f>
        <v/>
      </c>
      <c r="T869">
        <f>IFERROR(SEARCH(search!$B$6,samples!J406,1),0)</f>
        <v>0</v>
      </c>
      <c r="U869" t="str">
        <f>IF(samples!K406=0,"",samples!K406)</f>
        <v/>
      </c>
      <c r="V869">
        <f>IFERROR(SEARCH(search!$B$6,samples!K406,1),0)</f>
        <v>0</v>
      </c>
      <c r="W869" t="str">
        <f>IF(samples!L406=0,"",samples!L406)</f>
        <v/>
      </c>
      <c r="X869">
        <f>IFERROR(SEARCH(search!$B$6,samples!L406,1),0)</f>
        <v>0</v>
      </c>
      <c r="Y869" t="str">
        <f>IF(samples!M406=0,"",samples!M406)</f>
        <v/>
      </c>
      <c r="Z869">
        <f>IFERROR(SEARCH(search!$B$6,samples!M406,1),0)</f>
        <v>0</v>
      </c>
      <c r="AA869" t="str">
        <f>IF(samples!N406=0,"",samples!N406)</f>
        <v/>
      </c>
      <c r="AB869">
        <f>IFERROR(SEARCH(search!$B$6,samples!N406,1),0)</f>
        <v>0</v>
      </c>
      <c r="AC869" t="str">
        <f>IF(samples!O406=0,"",samples!O406)</f>
        <v/>
      </c>
      <c r="AD869">
        <f>IFERROR(SEARCH(search!$B$6,samples!O406,1),0)</f>
        <v>0</v>
      </c>
    </row>
    <row r="870" spans="1:30">
      <c r="A870">
        <f t="shared" si="13"/>
        <v>0</v>
      </c>
      <c r="B870">
        <f>IF(SUM(D870,F870,H870,J870,L870,N870,P870,R870,T870,V870,X870,Z870,AB870,AD870)&gt;0,SUM($A$2:A870),0)</f>
        <v>0</v>
      </c>
      <c r="C870">
        <f>samples!B407</f>
        <v>0</v>
      </c>
      <c r="D870">
        <f>IFERROR(SEARCH(search!$B$6,samples!B407,1),0)</f>
        <v>0</v>
      </c>
      <c r="E870" t="str">
        <f>IF(samples!C407=0,"",samples!C407)</f>
        <v/>
      </c>
      <c r="F870">
        <f>IFERROR(SEARCH(search!$B$6,samples!C407,1),0)</f>
        <v>0</v>
      </c>
      <c r="G870" t="str">
        <f>IF(samples!D407=0,"",samples!D407)</f>
        <v/>
      </c>
      <c r="H870">
        <f>IFERROR(SEARCH(search!$B$6,samples!D407,1),0)</f>
        <v>0</v>
      </c>
      <c r="I870" t="str">
        <f>IF(samples!E407=0,"",samples!E407)</f>
        <v/>
      </c>
      <c r="J870">
        <f>IFERROR(SEARCH(search!$B$6,samples!E407,1),0)</f>
        <v>0</v>
      </c>
      <c r="K870" t="str">
        <f>IF(samples!F407=0,"",samples!F407)</f>
        <v/>
      </c>
      <c r="L870">
        <f>IFERROR(SEARCH(search!$B$6,samples!F407,1),0)</f>
        <v>0</v>
      </c>
      <c r="M870" t="str">
        <f>IF(samples!G407=0,"",samples!G407)</f>
        <v/>
      </c>
      <c r="N870">
        <f>IFERROR(SEARCH(search!$B$6,samples!G407,1),0)</f>
        <v>0</v>
      </c>
      <c r="O870" t="str">
        <f>IF(samples!H407=0,"",samples!H407)</f>
        <v/>
      </c>
      <c r="P870">
        <f>IFERROR(SEARCH(search!$B$6,samples!H407,1),0)</f>
        <v>0</v>
      </c>
      <c r="Q870" t="str">
        <f>IF(samples!I407=0,"",samples!I407)</f>
        <v/>
      </c>
      <c r="R870">
        <f>IFERROR(SEARCH(search!$B$6,samples!I407,1),0)</f>
        <v>0</v>
      </c>
      <c r="S870" t="str">
        <f>IF(samples!J407=0,"",samples!J407)</f>
        <v/>
      </c>
      <c r="T870">
        <f>IFERROR(SEARCH(search!$B$6,samples!J407,1),0)</f>
        <v>0</v>
      </c>
      <c r="U870" t="str">
        <f>IF(samples!K407=0,"",samples!K407)</f>
        <v/>
      </c>
      <c r="V870">
        <f>IFERROR(SEARCH(search!$B$6,samples!K407,1),0)</f>
        <v>0</v>
      </c>
      <c r="W870" t="str">
        <f>IF(samples!L407=0,"",samples!L407)</f>
        <v/>
      </c>
      <c r="X870">
        <f>IFERROR(SEARCH(search!$B$6,samples!L407,1),0)</f>
        <v>0</v>
      </c>
      <c r="Y870" t="str">
        <f>IF(samples!M407=0,"",samples!M407)</f>
        <v/>
      </c>
      <c r="Z870">
        <f>IFERROR(SEARCH(search!$B$6,samples!M407,1),0)</f>
        <v>0</v>
      </c>
      <c r="AA870" t="str">
        <f>IF(samples!N407=0,"",samples!N407)</f>
        <v/>
      </c>
      <c r="AB870">
        <f>IFERROR(SEARCH(search!$B$6,samples!N407,1),0)</f>
        <v>0</v>
      </c>
      <c r="AC870" t="str">
        <f>IF(samples!O407=0,"",samples!O407)</f>
        <v/>
      </c>
      <c r="AD870">
        <f>IFERROR(SEARCH(search!$B$6,samples!O407,1),0)</f>
        <v>0</v>
      </c>
    </row>
    <row r="871" spans="1:30">
      <c r="A871">
        <f t="shared" si="13"/>
        <v>0</v>
      </c>
      <c r="B871">
        <f>IF(SUM(D871,F871,H871,J871,L871,N871,P871,R871,T871,V871,X871,Z871,AB871,AD871)&gt;0,SUM($A$2:A871),0)</f>
        <v>0</v>
      </c>
      <c r="C871">
        <f>samples!B408</f>
        <v>0</v>
      </c>
      <c r="D871">
        <f>IFERROR(SEARCH(search!$B$6,samples!B408,1),0)</f>
        <v>0</v>
      </c>
      <c r="E871" t="str">
        <f>IF(samples!C408=0,"",samples!C408)</f>
        <v/>
      </c>
      <c r="F871">
        <f>IFERROR(SEARCH(search!$B$6,samples!C408,1),0)</f>
        <v>0</v>
      </c>
      <c r="G871" t="str">
        <f>IF(samples!D408=0,"",samples!D408)</f>
        <v/>
      </c>
      <c r="H871">
        <f>IFERROR(SEARCH(search!$B$6,samples!D408,1),0)</f>
        <v>0</v>
      </c>
      <c r="I871" t="str">
        <f>IF(samples!E408=0,"",samples!E408)</f>
        <v/>
      </c>
      <c r="J871">
        <f>IFERROR(SEARCH(search!$B$6,samples!E408,1),0)</f>
        <v>0</v>
      </c>
      <c r="K871" t="str">
        <f>IF(samples!F408=0,"",samples!F408)</f>
        <v/>
      </c>
      <c r="L871">
        <f>IFERROR(SEARCH(search!$B$6,samples!F408,1),0)</f>
        <v>0</v>
      </c>
      <c r="M871" t="str">
        <f>IF(samples!G408=0,"",samples!G408)</f>
        <v/>
      </c>
      <c r="N871">
        <f>IFERROR(SEARCH(search!$B$6,samples!G408,1),0)</f>
        <v>0</v>
      </c>
      <c r="O871" t="str">
        <f>IF(samples!H408=0,"",samples!H408)</f>
        <v/>
      </c>
      <c r="P871">
        <f>IFERROR(SEARCH(search!$B$6,samples!H408,1),0)</f>
        <v>0</v>
      </c>
      <c r="Q871" t="str">
        <f>IF(samples!I408=0,"",samples!I408)</f>
        <v/>
      </c>
      <c r="R871">
        <f>IFERROR(SEARCH(search!$B$6,samples!I408,1),0)</f>
        <v>0</v>
      </c>
      <c r="S871" t="str">
        <f>IF(samples!J408=0,"",samples!J408)</f>
        <v/>
      </c>
      <c r="T871">
        <f>IFERROR(SEARCH(search!$B$6,samples!J408,1),0)</f>
        <v>0</v>
      </c>
      <c r="U871" t="str">
        <f>IF(samples!K408=0,"",samples!K408)</f>
        <v/>
      </c>
      <c r="V871">
        <f>IFERROR(SEARCH(search!$B$6,samples!K408,1),0)</f>
        <v>0</v>
      </c>
      <c r="W871" t="str">
        <f>IF(samples!L408=0,"",samples!L408)</f>
        <v/>
      </c>
      <c r="X871">
        <f>IFERROR(SEARCH(search!$B$6,samples!L408,1),0)</f>
        <v>0</v>
      </c>
      <c r="Y871" t="str">
        <f>IF(samples!M408=0,"",samples!M408)</f>
        <v/>
      </c>
      <c r="Z871">
        <f>IFERROR(SEARCH(search!$B$6,samples!M408,1),0)</f>
        <v>0</v>
      </c>
      <c r="AA871" t="str">
        <f>IF(samples!N408=0,"",samples!N408)</f>
        <v/>
      </c>
      <c r="AB871">
        <f>IFERROR(SEARCH(search!$B$6,samples!N408,1),0)</f>
        <v>0</v>
      </c>
      <c r="AC871" t="str">
        <f>IF(samples!O408=0,"",samples!O408)</f>
        <v/>
      </c>
      <c r="AD871">
        <f>IFERROR(SEARCH(search!$B$6,samples!O408,1),0)</f>
        <v>0</v>
      </c>
    </row>
    <row r="872" spans="1:30">
      <c r="A872">
        <f t="shared" si="13"/>
        <v>0</v>
      </c>
      <c r="B872">
        <f>IF(SUM(D872,F872,H872,J872,L872,N872,P872,R872,T872,V872,X872,Z872,AB872,AD872)&gt;0,SUM($A$2:A872),0)</f>
        <v>0</v>
      </c>
      <c r="C872">
        <f>samples!B409</f>
        <v>0</v>
      </c>
      <c r="D872">
        <f>IFERROR(SEARCH(search!$B$6,samples!B409,1),0)</f>
        <v>0</v>
      </c>
      <c r="E872" t="str">
        <f>IF(samples!C409=0,"",samples!C409)</f>
        <v/>
      </c>
      <c r="F872">
        <f>IFERROR(SEARCH(search!$B$6,samples!C409,1),0)</f>
        <v>0</v>
      </c>
      <c r="G872" t="str">
        <f>IF(samples!D409=0,"",samples!D409)</f>
        <v/>
      </c>
      <c r="H872">
        <f>IFERROR(SEARCH(search!$B$6,samples!D409,1),0)</f>
        <v>0</v>
      </c>
      <c r="I872" t="str">
        <f>IF(samples!E409=0,"",samples!E409)</f>
        <v/>
      </c>
      <c r="J872">
        <f>IFERROR(SEARCH(search!$B$6,samples!E409,1),0)</f>
        <v>0</v>
      </c>
      <c r="K872" t="str">
        <f>IF(samples!F409=0,"",samples!F409)</f>
        <v/>
      </c>
      <c r="L872">
        <f>IFERROR(SEARCH(search!$B$6,samples!F409,1),0)</f>
        <v>0</v>
      </c>
      <c r="M872" t="str">
        <f>IF(samples!G409=0,"",samples!G409)</f>
        <v/>
      </c>
      <c r="N872">
        <f>IFERROR(SEARCH(search!$B$6,samples!G409,1),0)</f>
        <v>0</v>
      </c>
      <c r="O872" t="str">
        <f>IF(samples!H409=0,"",samples!H409)</f>
        <v/>
      </c>
      <c r="P872">
        <f>IFERROR(SEARCH(search!$B$6,samples!H409,1),0)</f>
        <v>0</v>
      </c>
      <c r="Q872" t="str">
        <f>IF(samples!I409=0,"",samples!I409)</f>
        <v/>
      </c>
      <c r="R872">
        <f>IFERROR(SEARCH(search!$B$6,samples!I409,1),0)</f>
        <v>0</v>
      </c>
      <c r="S872" t="str">
        <f>IF(samples!J409=0,"",samples!J409)</f>
        <v/>
      </c>
      <c r="T872">
        <f>IFERROR(SEARCH(search!$B$6,samples!J409,1),0)</f>
        <v>0</v>
      </c>
      <c r="U872" t="str">
        <f>IF(samples!K409=0,"",samples!K409)</f>
        <v/>
      </c>
      <c r="V872">
        <f>IFERROR(SEARCH(search!$B$6,samples!K409,1),0)</f>
        <v>0</v>
      </c>
      <c r="W872" t="str">
        <f>IF(samples!L409=0,"",samples!L409)</f>
        <v/>
      </c>
      <c r="X872">
        <f>IFERROR(SEARCH(search!$B$6,samples!L409,1),0)</f>
        <v>0</v>
      </c>
      <c r="Y872" t="str">
        <f>IF(samples!M409=0,"",samples!M409)</f>
        <v/>
      </c>
      <c r="Z872">
        <f>IFERROR(SEARCH(search!$B$6,samples!M409,1),0)</f>
        <v>0</v>
      </c>
      <c r="AA872" t="str">
        <f>IF(samples!N409=0,"",samples!N409)</f>
        <v/>
      </c>
      <c r="AB872">
        <f>IFERROR(SEARCH(search!$B$6,samples!N409,1),0)</f>
        <v>0</v>
      </c>
      <c r="AC872" t="str">
        <f>IF(samples!O409=0,"",samples!O409)</f>
        <v/>
      </c>
      <c r="AD872">
        <f>IFERROR(SEARCH(search!$B$6,samples!O409,1),0)</f>
        <v>0</v>
      </c>
    </row>
    <row r="873" spans="1:30">
      <c r="A873">
        <f t="shared" si="13"/>
        <v>0</v>
      </c>
      <c r="B873">
        <f>IF(SUM(D873,F873,H873,J873,L873,N873,P873,R873,T873,V873,X873,Z873,AB873,AD873)&gt;0,SUM($A$2:A873),0)</f>
        <v>0</v>
      </c>
      <c r="C873">
        <f>samples!B410</f>
        <v>0</v>
      </c>
      <c r="D873">
        <f>IFERROR(SEARCH(search!$B$6,samples!B410,1),0)</f>
        <v>0</v>
      </c>
      <c r="E873" t="str">
        <f>IF(samples!C410=0,"",samples!C410)</f>
        <v/>
      </c>
      <c r="F873">
        <f>IFERROR(SEARCH(search!$B$6,samples!C410,1),0)</f>
        <v>0</v>
      </c>
      <c r="G873" t="str">
        <f>IF(samples!D410=0,"",samples!D410)</f>
        <v/>
      </c>
      <c r="H873">
        <f>IFERROR(SEARCH(search!$B$6,samples!D410,1),0)</f>
        <v>0</v>
      </c>
      <c r="I873" t="str">
        <f>IF(samples!E410=0,"",samples!E410)</f>
        <v/>
      </c>
      <c r="J873">
        <f>IFERROR(SEARCH(search!$B$6,samples!E410,1),0)</f>
        <v>0</v>
      </c>
      <c r="K873" t="str">
        <f>IF(samples!F410=0,"",samples!F410)</f>
        <v/>
      </c>
      <c r="L873">
        <f>IFERROR(SEARCH(search!$B$6,samples!F410,1),0)</f>
        <v>0</v>
      </c>
      <c r="M873" t="str">
        <f>IF(samples!G410=0,"",samples!G410)</f>
        <v/>
      </c>
      <c r="N873">
        <f>IFERROR(SEARCH(search!$B$6,samples!G410,1),0)</f>
        <v>0</v>
      </c>
      <c r="O873" t="str">
        <f>IF(samples!H410=0,"",samples!H410)</f>
        <v/>
      </c>
      <c r="P873">
        <f>IFERROR(SEARCH(search!$B$6,samples!H410,1),0)</f>
        <v>0</v>
      </c>
      <c r="Q873" t="str">
        <f>IF(samples!I410=0,"",samples!I410)</f>
        <v/>
      </c>
      <c r="R873">
        <f>IFERROR(SEARCH(search!$B$6,samples!I410,1),0)</f>
        <v>0</v>
      </c>
      <c r="S873" t="str">
        <f>IF(samples!J410=0,"",samples!J410)</f>
        <v/>
      </c>
      <c r="T873">
        <f>IFERROR(SEARCH(search!$B$6,samples!J410,1),0)</f>
        <v>0</v>
      </c>
      <c r="U873" t="str">
        <f>IF(samples!K410=0,"",samples!K410)</f>
        <v/>
      </c>
      <c r="V873">
        <f>IFERROR(SEARCH(search!$B$6,samples!K410,1),0)</f>
        <v>0</v>
      </c>
      <c r="W873" t="str">
        <f>IF(samples!L410=0,"",samples!L410)</f>
        <v/>
      </c>
      <c r="X873">
        <f>IFERROR(SEARCH(search!$B$6,samples!L410,1),0)</f>
        <v>0</v>
      </c>
      <c r="Y873" t="str">
        <f>IF(samples!M410=0,"",samples!M410)</f>
        <v/>
      </c>
      <c r="Z873">
        <f>IFERROR(SEARCH(search!$B$6,samples!M410,1),0)</f>
        <v>0</v>
      </c>
      <c r="AA873" t="str">
        <f>IF(samples!N410=0,"",samples!N410)</f>
        <v/>
      </c>
      <c r="AB873">
        <f>IFERROR(SEARCH(search!$B$6,samples!N410,1),0)</f>
        <v>0</v>
      </c>
      <c r="AC873" t="str">
        <f>IF(samples!O410=0,"",samples!O410)</f>
        <v/>
      </c>
      <c r="AD873">
        <f>IFERROR(SEARCH(search!$B$6,samples!O410,1),0)</f>
        <v>0</v>
      </c>
    </row>
    <row r="874" spans="1:30">
      <c r="A874">
        <f t="shared" si="13"/>
        <v>0</v>
      </c>
      <c r="B874">
        <f>IF(SUM(D874,F874,H874,J874,L874,N874,P874,R874,T874,V874,X874,Z874,AB874,AD874)&gt;0,SUM($A$2:A874),0)</f>
        <v>0</v>
      </c>
      <c r="C874">
        <f>samples!B411</f>
        <v>0</v>
      </c>
      <c r="D874">
        <f>IFERROR(SEARCH(search!$B$6,samples!B411,1),0)</f>
        <v>0</v>
      </c>
      <c r="E874" t="str">
        <f>IF(samples!C411=0,"",samples!C411)</f>
        <v/>
      </c>
      <c r="F874">
        <f>IFERROR(SEARCH(search!$B$6,samples!C411,1),0)</f>
        <v>0</v>
      </c>
      <c r="G874" t="str">
        <f>IF(samples!D411=0,"",samples!D411)</f>
        <v/>
      </c>
      <c r="H874">
        <f>IFERROR(SEARCH(search!$B$6,samples!D411,1),0)</f>
        <v>0</v>
      </c>
      <c r="I874" t="str">
        <f>IF(samples!E411=0,"",samples!E411)</f>
        <v/>
      </c>
      <c r="J874">
        <f>IFERROR(SEARCH(search!$B$6,samples!E411,1),0)</f>
        <v>0</v>
      </c>
      <c r="K874" t="str">
        <f>IF(samples!F411=0,"",samples!F411)</f>
        <v/>
      </c>
      <c r="L874">
        <f>IFERROR(SEARCH(search!$B$6,samples!F411,1),0)</f>
        <v>0</v>
      </c>
      <c r="M874" t="str">
        <f>IF(samples!G411=0,"",samples!G411)</f>
        <v/>
      </c>
      <c r="N874">
        <f>IFERROR(SEARCH(search!$B$6,samples!G411,1),0)</f>
        <v>0</v>
      </c>
      <c r="O874" t="str">
        <f>IF(samples!H411=0,"",samples!H411)</f>
        <v/>
      </c>
      <c r="P874">
        <f>IFERROR(SEARCH(search!$B$6,samples!H411,1),0)</f>
        <v>0</v>
      </c>
      <c r="Q874" t="str">
        <f>IF(samples!I411=0,"",samples!I411)</f>
        <v/>
      </c>
      <c r="R874">
        <f>IFERROR(SEARCH(search!$B$6,samples!I411,1),0)</f>
        <v>0</v>
      </c>
      <c r="S874" t="str">
        <f>IF(samples!J411=0,"",samples!J411)</f>
        <v/>
      </c>
      <c r="T874">
        <f>IFERROR(SEARCH(search!$B$6,samples!J411,1),0)</f>
        <v>0</v>
      </c>
      <c r="U874" t="str">
        <f>IF(samples!K411=0,"",samples!K411)</f>
        <v/>
      </c>
      <c r="V874">
        <f>IFERROR(SEARCH(search!$B$6,samples!K411,1),0)</f>
        <v>0</v>
      </c>
      <c r="W874" t="str">
        <f>IF(samples!L411=0,"",samples!L411)</f>
        <v/>
      </c>
      <c r="X874">
        <f>IFERROR(SEARCH(search!$B$6,samples!L411,1),0)</f>
        <v>0</v>
      </c>
      <c r="Y874" t="str">
        <f>IF(samples!M411=0,"",samples!M411)</f>
        <v/>
      </c>
      <c r="Z874">
        <f>IFERROR(SEARCH(search!$B$6,samples!M411,1),0)</f>
        <v>0</v>
      </c>
      <c r="AA874" t="str">
        <f>IF(samples!N411=0,"",samples!N411)</f>
        <v/>
      </c>
      <c r="AB874">
        <f>IFERROR(SEARCH(search!$B$6,samples!N411,1),0)</f>
        <v>0</v>
      </c>
      <c r="AC874" t="str">
        <f>IF(samples!O411=0,"",samples!O411)</f>
        <v/>
      </c>
      <c r="AD874">
        <f>IFERROR(SEARCH(search!$B$6,samples!O411,1),0)</f>
        <v>0</v>
      </c>
    </row>
    <row r="875" spans="1:30">
      <c r="A875">
        <f t="shared" si="13"/>
        <v>0</v>
      </c>
      <c r="B875">
        <f>IF(SUM(D875,F875,H875,J875,L875,N875,P875,R875,T875,V875,X875,Z875,AB875,AD875)&gt;0,SUM($A$2:A875),0)</f>
        <v>0</v>
      </c>
      <c r="C875">
        <f>samples!B412</f>
        <v>0</v>
      </c>
      <c r="D875">
        <f>IFERROR(SEARCH(search!$B$6,samples!B412,1),0)</f>
        <v>0</v>
      </c>
      <c r="E875" t="str">
        <f>IF(samples!C412=0,"",samples!C412)</f>
        <v/>
      </c>
      <c r="F875">
        <f>IFERROR(SEARCH(search!$B$6,samples!C412,1),0)</f>
        <v>0</v>
      </c>
      <c r="G875" t="str">
        <f>IF(samples!D412=0,"",samples!D412)</f>
        <v/>
      </c>
      <c r="H875">
        <f>IFERROR(SEARCH(search!$B$6,samples!D412,1),0)</f>
        <v>0</v>
      </c>
      <c r="I875" t="str">
        <f>IF(samples!E412=0,"",samples!E412)</f>
        <v/>
      </c>
      <c r="J875">
        <f>IFERROR(SEARCH(search!$B$6,samples!E412,1),0)</f>
        <v>0</v>
      </c>
      <c r="K875" t="str">
        <f>IF(samples!F412=0,"",samples!F412)</f>
        <v/>
      </c>
      <c r="L875">
        <f>IFERROR(SEARCH(search!$B$6,samples!F412,1),0)</f>
        <v>0</v>
      </c>
      <c r="M875" t="str">
        <f>IF(samples!G412=0,"",samples!G412)</f>
        <v/>
      </c>
      <c r="N875">
        <f>IFERROR(SEARCH(search!$B$6,samples!G412,1),0)</f>
        <v>0</v>
      </c>
      <c r="O875" t="str">
        <f>IF(samples!H412=0,"",samples!H412)</f>
        <v/>
      </c>
      <c r="P875">
        <f>IFERROR(SEARCH(search!$B$6,samples!H412,1),0)</f>
        <v>0</v>
      </c>
      <c r="Q875" t="str">
        <f>IF(samples!I412=0,"",samples!I412)</f>
        <v/>
      </c>
      <c r="R875">
        <f>IFERROR(SEARCH(search!$B$6,samples!I412,1),0)</f>
        <v>0</v>
      </c>
      <c r="S875" t="str">
        <f>IF(samples!J412=0,"",samples!J412)</f>
        <v/>
      </c>
      <c r="T875">
        <f>IFERROR(SEARCH(search!$B$6,samples!J412,1),0)</f>
        <v>0</v>
      </c>
      <c r="U875" t="str">
        <f>IF(samples!K412=0,"",samples!K412)</f>
        <v/>
      </c>
      <c r="V875">
        <f>IFERROR(SEARCH(search!$B$6,samples!K412,1),0)</f>
        <v>0</v>
      </c>
      <c r="W875" t="str">
        <f>IF(samples!L412=0,"",samples!L412)</f>
        <v/>
      </c>
      <c r="X875">
        <f>IFERROR(SEARCH(search!$B$6,samples!L412,1),0)</f>
        <v>0</v>
      </c>
      <c r="Y875" t="str">
        <f>IF(samples!M412=0,"",samples!M412)</f>
        <v/>
      </c>
      <c r="Z875">
        <f>IFERROR(SEARCH(search!$B$6,samples!M412,1),0)</f>
        <v>0</v>
      </c>
      <c r="AA875" t="str">
        <f>IF(samples!N412=0,"",samples!N412)</f>
        <v/>
      </c>
      <c r="AB875">
        <f>IFERROR(SEARCH(search!$B$6,samples!N412,1),0)</f>
        <v>0</v>
      </c>
      <c r="AC875" t="str">
        <f>IF(samples!O412=0,"",samples!O412)</f>
        <v/>
      </c>
      <c r="AD875">
        <f>IFERROR(SEARCH(search!$B$6,samples!O412,1),0)</f>
        <v>0</v>
      </c>
    </row>
    <row r="876" spans="1:30">
      <c r="A876">
        <f t="shared" si="13"/>
        <v>0</v>
      </c>
      <c r="B876">
        <f>IF(SUM(D876,F876,H876,J876,L876,N876,P876,R876,T876,V876,X876,Z876,AB876,AD876)&gt;0,SUM($A$2:A876),0)</f>
        <v>0</v>
      </c>
      <c r="C876">
        <f>samples!B413</f>
        <v>0</v>
      </c>
      <c r="D876">
        <f>IFERROR(SEARCH(search!$B$6,samples!B413,1),0)</f>
        <v>0</v>
      </c>
      <c r="E876" t="str">
        <f>IF(samples!C413=0,"",samples!C413)</f>
        <v/>
      </c>
      <c r="F876">
        <f>IFERROR(SEARCH(search!$B$6,samples!C413,1),0)</f>
        <v>0</v>
      </c>
      <c r="G876" t="str">
        <f>IF(samples!D413=0,"",samples!D413)</f>
        <v/>
      </c>
      <c r="H876">
        <f>IFERROR(SEARCH(search!$B$6,samples!D413,1),0)</f>
        <v>0</v>
      </c>
      <c r="I876" t="str">
        <f>IF(samples!E413=0,"",samples!E413)</f>
        <v/>
      </c>
      <c r="J876">
        <f>IFERROR(SEARCH(search!$B$6,samples!E413,1),0)</f>
        <v>0</v>
      </c>
      <c r="K876" t="str">
        <f>IF(samples!F413=0,"",samples!F413)</f>
        <v/>
      </c>
      <c r="L876">
        <f>IFERROR(SEARCH(search!$B$6,samples!F413,1),0)</f>
        <v>0</v>
      </c>
      <c r="M876" t="str">
        <f>IF(samples!G413=0,"",samples!G413)</f>
        <v/>
      </c>
      <c r="N876">
        <f>IFERROR(SEARCH(search!$B$6,samples!G413,1),0)</f>
        <v>0</v>
      </c>
      <c r="O876" t="str">
        <f>IF(samples!H413=0,"",samples!H413)</f>
        <v/>
      </c>
      <c r="P876">
        <f>IFERROR(SEARCH(search!$B$6,samples!H413,1),0)</f>
        <v>0</v>
      </c>
      <c r="Q876" t="str">
        <f>IF(samples!I413=0,"",samples!I413)</f>
        <v/>
      </c>
      <c r="R876">
        <f>IFERROR(SEARCH(search!$B$6,samples!I413,1),0)</f>
        <v>0</v>
      </c>
      <c r="S876" t="str">
        <f>IF(samples!J413=0,"",samples!J413)</f>
        <v/>
      </c>
      <c r="T876">
        <f>IFERROR(SEARCH(search!$B$6,samples!J413,1),0)</f>
        <v>0</v>
      </c>
      <c r="U876" t="str">
        <f>IF(samples!K413=0,"",samples!K413)</f>
        <v/>
      </c>
      <c r="V876">
        <f>IFERROR(SEARCH(search!$B$6,samples!K413,1),0)</f>
        <v>0</v>
      </c>
      <c r="W876" t="str">
        <f>IF(samples!L413=0,"",samples!L413)</f>
        <v/>
      </c>
      <c r="X876">
        <f>IFERROR(SEARCH(search!$B$6,samples!L413,1),0)</f>
        <v>0</v>
      </c>
      <c r="Y876" t="str">
        <f>IF(samples!M413=0,"",samples!M413)</f>
        <v/>
      </c>
      <c r="Z876">
        <f>IFERROR(SEARCH(search!$B$6,samples!M413,1),0)</f>
        <v>0</v>
      </c>
      <c r="AA876" t="str">
        <f>IF(samples!N413=0,"",samples!N413)</f>
        <v/>
      </c>
      <c r="AB876">
        <f>IFERROR(SEARCH(search!$B$6,samples!N413,1),0)</f>
        <v>0</v>
      </c>
      <c r="AC876" t="str">
        <f>IF(samples!O413=0,"",samples!O413)</f>
        <v/>
      </c>
      <c r="AD876">
        <f>IFERROR(SEARCH(search!$B$6,samples!O413,1),0)</f>
        <v>0</v>
      </c>
    </row>
    <row r="877" spans="1:30">
      <c r="A877">
        <f t="shared" si="13"/>
        <v>0</v>
      </c>
      <c r="B877">
        <f>IF(SUM(D877,F877,H877,J877,L877,N877,P877,R877,T877,V877,X877,Z877,AB877,AD877)&gt;0,SUM($A$2:A877),0)</f>
        <v>0</v>
      </c>
      <c r="C877">
        <f>samples!B414</f>
        <v>0</v>
      </c>
      <c r="D877">
        <f>IFERROR(SEARCH(search!$B$6,samples!B414,1),0)</f>
        <v>0</v>
      </c>
      <c r="E877" t="str">
        <f>IF(samples!C414=0,"",samples!C414)</f>
        <v/>
      </c>
      <c r="F877">
        <f>IFERROR(SEARCH(search!$B$6,samples!C414,1),0)</f>
        <v>0</v>
      </c>
      <c r="G877" t="str">
        <f>IF(samples!D414=0,"",samples!D414)</f>
        <v/>
      </c>
      <c r="H877">
        <f>IFERROR(SEARCH(search!$B$6,samples!D414,1),0)</f>
        <v>0</v>
      </c>
      <c r="I877" t="str">
        <f>IF(samples!E414=0,"",samples!E414)</f>
        <v/>
      </c>
      <c r="J877">
        <f>IFERROR(SEARCH(search!$B$6,samples!E414,1),0)</f>
        <v>0</v>
      </c>
      <c r="K877" t="str">
        <f>IF(samples!F414=0,"",samples!F414)</f>
        <v/>
      </c>
      <c r="L877">
        <f>IFERROR(SEARCH(search!$B$6,samples!F414,1),0)</f>
        <v>0</v>
      </c>
      <c r="M877" t="str">
        <f>IF(samples!G414=0,"",samples!G414)</f>
        <v/>
      </c>
      <c r="N877">
        <f>IFERROR(SEARCH(search!$B$6,samples!G414,1),0)</f>
        <v>0</v>
      </c>
      <c r="O877" t="str">
        <f>IF(samples!H414=0,"",samples!H414)</f>
        <v/>
      </c>
      <c r="P877">
        <f>IFERROR(SEARCH(search!$B$6,samples!H414,1),0)</f>
        <v>0</v>
      </c>
      <c r="Q877" t="str">
        <f>IF(samples!I414=0,"",samples!I414)</f>
        <v/>
      </c>
      <c r="R877">
        <f>IFERROR(SEARCH(search!$B$6,samples!I414,1),0)</f>
        <v>0</v>
      </c>
      <c r="S877" t="str">
        <f>IF(samples!J414=0,"",samples!J414)</f>
        <v/>
      </c>
      <c r="T877">
        <f>IFERROR(SEARCH(search!$B$6,samples!J414,1),0)</f>
        <v>0</v>
      </c>
      <c r="U877" t="str">
        <f>IF(samples!K414=0,"",samples!K414)</f>
        <v/>
      </c>
      <c r="V877">
        <f>IFERROR(SEARCH(search!$B$6,samples!K414,1),0)</f>
        <v>0</v>
      </c>
      <c r="W877" t="str">
        <f>IF(samples!L414=0,"",samples!L414)</f>
        <v/>
      </c>
      <c r="X877">
        <f>IFERROR(SEARCH(search!$B$6,samples!L414,1),0)</f>
        <v>0</v>
      </c>
      <c r="Y877" t="str">
        <f>IF(samples!M414=0,"",samples!M414)</f>
        <v/>
      </c>
      <c r="Z877">
        <f>IFERROR(SEARCH(search!$B$6,samples!M414,1),0)</f>
        <v>0</v>
      </c>
      <c r="AA877" t="str">
        <f>IF(samples!N414=0,"",samples!N414)</f>
        <v/>
      </c>
      <c r="AB877">
        <f>IFERROR(SEARCH(search!$B$6,samples!N414,1),0)</f>
        <v>0</v>
      </c>
      <c r="AC877" t="str">
        <f>IF(samples!O414=0,"",samples!O414)</f>
        <v/>
      </c>
      <c r="AD877">
        <f>IFERROR(SEARCH(search!$B$6,samples!O414,1),0)</f>
        <v>0</v>
      </c>
    </row>
    <row r="878" spans="1:30">
      <c r="A878">
        <f t="shared" si="13"/>
        <v>0</v>
      </c>
      <c r="B878">
        <f>IF(SUM(D878,F878,H878,J878,L878,N878,P878,R878,T878,V878,X878,Z878,AB878,AD878)&gt;0,SUM($A$2:A878),0)</f>
        <v>0</v>
      </c>
      <c r="C878">
        <f>samples!B415</f>
        <v>0</v>
      </c>
      <c r="D878">
        <f>IFERROR(SEARCH(search!$B$6,samples!B415,1),0)</f>
        <v>0</v>
      </c>
      <c r="E878" t="str">
        <f>IF(samples!C415=0,"",samples!C415)</f>
        <v/>
      </c>
      <c r="F878">
        <f>IFERROR(SEARCH(search!$B$6,samples!C415,1),0)</f>
        <v>0</v>
      </c>
      <c r="G878" t="str">
        <f>IF(samples!D415=0,"",samples!D415)</f>
        <v/>
      </c>
      <c r="H878">
        <f>IFERROR(SEARCH(search!$B$6,samples!D415,1),0)</f>
        <v>0</v>
      </c>
      <c r="I878" t="str">
        <f>IF(samples!E415=0,"",samples!E415)</f>
        <v/>
      </c>
      <c r="J878">
        <f>IFERROR(SEARCH(search!$B$6,samples!E415,1),0)</f>
        <v>0</v>
      </c>
      <c r="K878" t="str">
        <f>IF(samples!F415=0,"",samples!F415)</f>
        <v/>
      </c>
      <c r="L878">
        <f>IFERROR(SEARCH(search!$B$6,samples!F415,1),0)</f>
        <v>0</v>
      </c>
      <c r="M878" t="str">
        <f>IF(samples!G415=0,"",samples!G415)</f>
        <v/>
      </c>
      <c r="N878">
        <f>IFERROR(SEARCH(search!$B$6,samples!G415,1),0)</f>
        <v>0</v>
      </c>
      <c r="O878" t="str">
        <f>IF(samples!H415=0,"",samples!H415)</f>
        <v/>
      </c>
      <c r="P878">
        <f>IFERROR(SEARCH(search!$B$6,samples!H415,1),0)</f>
        <v>0</v>
      </c>
      <c r="Q878" t="str">
        <f>IF(samples!I415=0,"",samples!I415)</f>
        <v/>
      </c>
      <c r="R878">
        <f>IFERROR(SEARCH(search!$B$6,samples!I415,1),0)</f>
        <v>0</v>
      </c>
      <c r="S878" t="str">
        <f>IF(samples!J415=0,"",samples!J415)</f>
        <v/>
      </c>
      <c r="T878">
        <f>IFERROR(SEARCH(search!$B$6,samples!J415,1),0)</f>
        <v>0</v>
      </c>
      <c r="U878" t="str">
        <f>IF(samples!K415=0,"",samples!K415)</f>
        <v/>
      </c>
      <c r="V878">
        <f>IFERROR(SEARCH(search!$B$6,samples!K415,1),0)</f>
        <v>0</v>
      </c>
      <c r="W878" t="str">
        <f>IF(samples!L415=0,"",samples!L415)</f>
        <v/>
      </c>
      <c r="X878">
        <f>IFERROR(SEARCH(search!$B$6,samples!L415,1),0)</f>
        <v>0</v>
      </c>
      <c r="Y878" t="str">
        <f>IF(samples!M415=0,"",samples!M415)</f>
        <v/>
      </c>
      <c r="Z878">
        <f>IFERROR(SEARCH(search!$B$6,samples!M415,1),0)</f>
        <v>0</v>
      </c>
      <c r="AA878" t="str">
        <f>IF(samples!N415=0,"",samples!N415)</f>
        <v/>
      </c>
      <c r="AB878">
        <f>IFERROR(SEARCH(search!$B$6,samples!N415,1),0)</f>
        <v>0</v>
      </c>
      <c r="AC878" t="str">
        <f>IF(samples!O415=0,"",samples!O415)</f>
        <v/>
      </c>
      <c r="AD878">
        <f>IFERROR(SEARCH(search!$B$6,samples!O415,1),0)</f>
        <v>0</v>
      </c>
    </row>
    <row r="879" spans="1:30">
      <c r="A879">
        <f t="shared" si="13"/>
        <v>0</v>
      </c>
      <c r="B879">
        <f>IF(SUM(D879,F879,H879,J879,L879,N879,P879,R879,T879,V879,X879,Z879,AB879,AD879)&gt;0,SUM($A$2:A879),0)</f>
        <v>0</v>
      </c>
      <c r="C879">
        <f>samples!B416</f>
        <v>0</v>
      </c>
      <c r="D879">
        <f>IFERROR(SEARCH(search!$B$6,samples!B416,1),0)</f>
        <v>0</v>
      </c>
      <c r="E879" t="str">
        <f>IF(samples!C416=0,"",samples!C416)</f>
        <v/>
      </c>
      <c r="F879">
        <f>IFERROR(SEARCH(search!$B$6,samples!C416,1),0)</f>
        <v>0</v>
      </c>
      <c r="G879" t="str">
        <f>IF(samples!D416=0,"",samples!D416)</f>
        <v/>
      </c>
      <c r="H879">
        <f>IFERROR(SEARCH(search!$B$6,samples!D416,1),0)</f>
        <v>0</v>
      </c>
      <c r="I879" t="str">
        <f>IF(samples!E416=0,"",samples!E416)</f>
        <v/>
      </c>
      <c r="J879">
        <f>IFERROR(SEARCH(search!$B$6,samples!E416,1),0)</f>
        <v>0</v>
      </c>
      <c r="K879" t="str">
        <f>IF(samples!F416=0,"",samples!F416)</f>
        <v/>
      </c>
      <c r="L879">
        <f>IFERROR(SEARCH(search!$B$6,samples!F416,1),0)</f>
        <v>0</v>
      </c>
      <c r="M879" t="str">
        <f>IF(samples!G416=0,"",samples!G416)</f>
        <v/>
      </c>
      <c r="N879">
        <f>IFERROR(SEARCH(search!$B$6,samples!G416,1),0)</f>
        <v>0</v>
      </c>
      <c r="O879" t="str">
        <f>IF(samples!H416=0,"",samples!H416)</f>
        <v/>
      </c>
      <c r="P879">
        <f>IFERROR(SEARCH(search!$B$6,samples!H416,1),0)</f>
        <v>0</v>
      </c>
      <c r="Q879" t="str">
        <f>IF(samples!I416=0,"",samples!I416)</f>
        <v/>
      </c>
      <c r="R879">
        <f>IFERROR(SEARCH(search!$B$6,samples!I416,1),0)</f>
        <v>0</v>
      </c>
      <c r="S879" t="str">
        <f>IF(samples!J416=0,"",samples!J416)</f>
        <v/>
      </c>
      <c r="T879">
        <f>IFERROR(SEARCH(search!$B$6,samples!J416,1),0)</f>
        <v>0</v>
      </c>
      <c r="U879" t="str">
        <f>IF(samples!K416=0,"",samples!K416)</f>
        <v/>
      </c>
      <c r="V879">
        <f>IFERROR(SEARCH(search!$B$6,samples!K416,1),0)</f>
        <v>0</v>
      </c>
      <c r="W879" t="str">
        <f>IF(samples!L416=0,"",samples!L416)</f>
        <v/>
      </c>
      <c r="X879">
        <f>IFERROR(SEARCH(search!$B$6,samples!L416,1),0)</f>
        <v>0</v>
      </c>
      <c r="Y879" t="str">
        <f>IF(samples!M416=0,"",samples!M416)</f>
        <v/>
      </c>
      <c r="Z879">
        <f>IFERROR(SEARCH(search!$B$6,samples!M416,1),0)</f>
        <v>0</v>
      </c>
      <c r="AA879" t="str">
        <f>IF(samples!N416=0,"",samples!N416)</f>
        <v/>
      </c>
      <c r="AB879">
        <f>IFERROR(SEARCH(search!$B$6,samples!N416,1),0)</f>
        <v>0</v>
      </c>
      <c r="AC879" t="str">
        <f>IF(samples!O416=0,"",samples!O416)</f>
        <v/>
      </c>
      <c r="AD879">
        <f>IFERROR(SEARCH(search!$B$6,samples!O416,1),0)</f>
        <v>0</v>
      </c>
    </row>
    <row r="880" spans="1:30">
      <c r="A880">
        <f t="shared" si="13"/>
        <v>0</v>
      </c>
      <c r="B880">
        <f>IF(SUM(D880,F880,H880,J880,L880,N880,P880,R880,T880,V880,X880,Z880,AB880,AD880)&gt;0,SUM($A$2:A880),0)</f>
        <v>0</v>
      </c>
      <c r="C880">
        <f>samples!B417</f>
        <v>0</v>
      </c>
      <c r="D880">
        <f>IFERROR(SEARCH(search!$B$6,samples!B417,1),0)</f>
        <v>0</v>
      </c>
      <c r="E880" t="str">
        <f>IF(samples!C417=0,"",samples!C417)</f>
        <v/>
      </c>
      <c r="F880">
        <f>IFERROR(SEARCH(search!$B$6,samples!C417,1),0)</f>
        <v>0</v>
      </c>
      <c r="G880" t="str">
        <f>IF(samples!D417=0,"",samples!D417)</f>
        <v/>
      </c>
      <c r="H880">
        <f>IFERROR(SEARCH(search!$B$6,samples!D417,1),0)</f>
        <v>0</v>
      </c>
      <c r="I880" t="str">
        <f>IF(samples!E417=0,"",samples!E417)</f>
        <v/>
      </c>
      <c r="J880">
        <f>IFERROR(SEARCH(search!$B$6,samples!E417,1),0)</f>
        <v>0</v>
      </c>
      <c r="K880" t="str">
        <f>IF(samples!F417=0,"",samples!F417)</f>
        <v/>
      </c>
      <c r="L880">
        <f>IFERROR(SEARCH(search!$B$6,samples!F417,1),0)</f>
        <v>0</v>
      </c>
      <c r="M880" t="str">
        <f>IF(samples!G417=0,"",samples!G417)</f>
        <v/>
      </c>
      <c r="N880">
        <f>IFERROR(SEARCH(search!$B$6,samples!G417,1),0)</f>
        <v>0</v>
      </c>
      <c r="O880" t="str">
        <f>IF(samples!H417=0,"",samples!H417)</f>
        <v/>
      </c>
      <c r="P880">
        <f>IFERROR(SEARCH(search!$B$6,samples!H417,1),0)</f>
        <v>0</v>
      </c>
      <c r="Q880" t="str">
        <f>IF(samples!I417=0,"",samples!I417)</f>
        <v/>
      </c>
      <c r="R880">
        <f>IFERROR(SEARCH(search!$B$6,samples!I417,1),0)</f>
        <v>0</v>
      </c>
      <c r="S880" t="str">
        <f>IF(samples!J417=0,"",samples!J417)</f>
        <v/>
      </c>
      <c r="T880">
        <f>IFERROR(SEARCH(search!$B$6,samples!J417,1),0)</f>
        <v>0</v>
      </c>
      <c r="U880" t="str">
        <f>IF(samples!K417=0,"",samples!K417)</f>
        <v/>
      </c>
      <c r="V880">
        <f>IFERROR(SEARCH(search!$B$6,samples!K417,1),0)</f>
        <v>0</v>
      </c>
      <c r="W880" t="str">
        <f>IF(samples!L417=0,"",samples!L417)</f>
        <v/>
      </c>
      <c r="X880">
        <f>IFERROR(SEARCH(search!$B$6,samples!L417,1),0)</f>
        <v>0</v>
      </c>
      <c r="Y880" t="str">
        <f>IF(samples!M417=0,"",samples!M417)</f>
        <v/>
      </c>
      <c r="Z880">
        <f>IFERROR(SEARCH(search!$B$6,samples!M417,1),0)</f>
        <v>0</v>
      </c>
      <c r="AA880" t="str">
        <f>IF(samples!N417=0,"",samples!N417)</f>
        <v/>
      </c>
      <c r="AB880">
        <f>IFERROR(SEARCH(search!$B$6,samples!N417,1),0)</f>
        <v>0</v>
      </c>
      <c r="AC880" t="str">
        <f>IF(samples!O417=0,"",samples!O417)</f>
        <v/>
      </c>
      <c r="AD880">
        <f>IFERROR(SEARCH(search!$B$6,samples!O417,1),0)</f>
        <v>0</v>
      </c>
    </row>
    <row r="881" spans="1:30">
      <c r="A881">
        <f t="shared" si="13"/>
        <v>0</v>
      </c>
      <c r="B881">
        <f>IF(SUM(D881,F881,H881,J881,L881,N881,P881,R881,T881,V881,X881,Z881,AB881,AD881)&gt;0,SUM($A$2:A881),0)</f>
        <v>0</v>
      </c>
      <c r="C881">
        <f>samples!B418</f>
        <v>0</v>
      </c>
      <c r="D881">
        <f>IFERROR(SEARCH(search!$B$6,samples!B418,1),0)</f>
        <v>0</v>
      </c>
      <c r="E881" t="str">
        <f>IF(samples!C418=0,"",samples!C418)</f>
        <v/>
      </c>
      <c r="F881">
        <f>IFERROR(SEARCH(search!$B$6,samples!C418,1),0)</f>
        <v>0</v>
      </c>
      <c r="G881" t="str">
        <f>IF(samples!D418=0,"",samples!D418)</f>
        <v/>
      </c>
      <c r="H881">
        <f>IFERROR(SEARCH(search!$B$6,samples!D418,1),0)</f>
        <v>0</v>
      </c>
      <c r="I881" t="str">
        <f>IF(samples!E418=0,"",samples!E418)</f>
        <v/>
      </c>
      <c r="J881">
        <f>IFERROR(SEARCH(search!$B$6,samples!E418,1),0)</f>
        <v>0</v>
      </c>
      <c r="K881" t="str">
        <f>IF(samples!F418=0,"",samples!F418)</f>
        <v/>
      </c>
      <c r="L881">
        <f>IFERROR(SEARCH(search!$B$6,samples!F418,1),0)</f>
        <v>0</v>
      </c>
      <c r="M881" t="str">
        <f>IF(samples!G418=0,"",samples!G418)</f>
        <v/>
      </c>
      <c r="N881">
        <f>IFERROR(SEARCH(search!$B$6,samples!G418,1),0)</f>
        <v>0</v>
      </c>
      <c r="O881" t="str">
        <f>IF(samples!H418=0,"",samples!H418)</f>
        <v/>
      </c>
      <c r="P881">
        <f>IFERROR(SEARCH(search!$B$6,samples!H418,1),0)</f>
        <v>0</v>
      </c>
      <c r="Q881" t="str">
        <f>IF(samples!I418=0,"",samples!I418)</f>
        <v/>
      </c>
      <c r="R881">
        <f>IFERROR(SEARCH(search!$B$6,samples!I418,1),0)</f>
        <v>0</v>
      </c>
      <c r="S881" t="str">
        <f>IF(samples!J418=0,"",samples!J418)</f>
        <v/>
      </c>
      <c r="T881">
        <f>IFERROR(SEARCH(search!$B$6,samples!J418,1),0)</f>
        <v>0</v>
      </c>
      <c r="U881" t="str">
        <f>IF(samples!K418=0,"",samples!K418)</f>
        <v/>
      </c>
      <c r="V881">
        <f>IFERROR(SEARCH(search!$B$6,samples!K418,1),0)</f>
        <v>0</v>
      </c>
      <c r="W881" t="str">
        <f>IF(samples!L418=0,"",samples!L418)</f>
        <v/>
      </c>
      <c r="X881">
        <f>IFERROR(SEARCH(search!$B$6,samples!L418,1),0)</f>
        <v>0</v>
      </c>
      <c r="Y881" t="str">
        <f>IF(samples!M418=0,"",samples!M418)</f>
        <v/>
      </c>
      <c r="Z881">
        <f>IFERROR(SEARCH(search!$B$6,samples!M418,1),0)</f>
        <v>0</v>
      </c>
      <c r="AA881" t="str">
        <f>IF(samples!N418=0,"",samples!N418)</f>
        <v/>
      </c>
      <c r="AB881">
        <f>IFERROR(SEARCH(search!$B$6,samples!N418,1),0)</f>
        <v>0</v>
      </c>
      <c r="AC881" t="str">
        <f>IF(samples!O418=0,"",samples!O418)</f>
        <v/>
      </c>
      <c r="AD881">
        <f>IFERROR(SEARCH(search!$B$6,samples!O418,1),0)</f>
        <v>0</v>
      </c>
    </row>
    <row r="882" spans="1:30">
      <c r="A882">
        <f t="shared" si="13"/>
        <v>0</v>
      </c>
      <c r="B882">
        <f>IF(SUM(D882,F882,H882,J882,L882,N882,P882,R882,T882,V882,X882,Z882,AB882,AD882)&gt;0,SUM($A$2:A882),0)</f>
        <v>0</v>
      </c>
      <c r="C882">
        <f>samples!B419</f>
        <v>0</v>
      </c>
      <c r="D882">
        <f>IFERROR(SEARCH(search!$B$6,samples!B419,1),0)</f>
        <v>0</v>
      </c>
      <c r="E882" t="str">
        <f>IF(samples!C419=0,"",samples!C419)</f>
        <v/>
      </c>
      <c r="F882">
        <f>IFERROR(SEARCH(search!$B$6,samples!C419,1),0)</f>
        <v>0</v>
      </c>
      <c r="G882" t="str">
        <f>IF(samples!D419=0,"",samples!D419)</f>
        <v/>
      </c>
      <c r="H882">
        <f>IFERROR(SEARCH(search!$B$6,samples!D419,1),0)</f>
        <v>0</v>
      </c>
      <c r="I882" t="str">
        <f>IF(samples!E419=0,"",samples!E419)</f>
        <v/>
      </c>
      <c r="J882">
        <f>IFERROR(SEARCH(search!$B$6,samples!E419,1),0)</f>
        <v>0</v>
      </c>
      <c r="K882" t="str">
        <f>IF(samples!F419=0,"",samples!F419)</f>
        <v/>
      </c>
      <c r="L882">
        <f>IFERROR(SEARCH(search!$B$6,samples!F419,1),0)</f>
        <v>0</v>
      </c>
      <c r="M882" t="str">
        <f>IF(samples!G419=0,"",samples!G419)</f>
        <v/>
      </c>
      <c r="N882">
        <f>IFERROR(SEARCH(search!$B$6,samples!G419,1),0)</f>
        <v>0</v>
      </c>
      <c r="O882" t="str">
        <f>IF(samples!H419=0,"",samples!H419)</f>
        <v/>
      </c>
      <c r="P882">
        <f>IFERROR(SEARCH(search!$B$6,samples!H419,1),0)</f>
        <v>0</v>
      </c>
      <c r="Q882" t="str">
        <f>IF(samples!I419=0,"",samples!I419)</f>
        <v/>
      </c>
      <c r="R882">
        <f>IFERROR(SEARCH(search!$B$6,samples!I419,1),0)</f>
        <v>0</v>
      </c>
      <c r="S882" t="str">
        <f>IF(samples!J419=0,"",samples!J419)</f>
        <v/>
      </c>
      <c r="T882">
        <f>IFERROR(SEARCH(search!$B$6,samples!J419,1),0)</f>
        <v>0</v>
      </c>
      <c r="U882" t="str">
        <f>IF(samples!K419=0,"",samples!K419)</f>
        <v/>
      </c>
      <c r="V882">
        <f>IFERROR(SEARCH(search!$B$6,samples!K419,1),0)</f>
        <v>0</v>
      </c>
      <c r="W882" t="str">
        <f>IF(samples!L419=0,"",samples!L419)</f>
        <v/>
      </c>
      <c r="X882">
        <f>IFERROR(SEARCH(search!$B$6,samples!L419,1),0)</f>
        <v>0</v>
      </c>
      <c r="Y882" t="str">
        <f>IF(samples!M419=0,"",samples!M419)</f>
        <v/>
      </c>
      <c r="Z882">
        <f>IFERROR(SEARCH(search!$B$6,samples!M419,1),0)</f>
        <v>0</v>
      </c>
      <c r="AA882" t="str">
        <f>IF(samples!N419=0,"",samples!N419)</f>
        <v/>
      </c>
      <c r="AB882">
        <f>IFERROR(SEARCH(search!$B$6,samples!N419,1),0)</f>
        <v>0</v>
      </c>
      <c r="AC882" t="str">
        <f>IF(samples!O419=0,"",samples!O419)</f>
        <v/>
      </c>
      <c r="AD882">
        <f>IFERROR(SEARCH(search!$B$6,samples!O419,1),0)</f>
        <v>0</v>
      </c>
    </row>
    <row r="883" spans="1:30">
      <c r="A883">
        <f t="shared" si="13"/>
        <v>0</v>
      </c>
      <c r="B883">
        <f>IF(SUM(D883,F883,H883,J883,L883,N883,P883,R883,T883,V883,X883,Z883,AB883,AD883)&gt;0,SUM($A$2:A883),0)</f>
        <v>0</v>
      </c>
      <c r="C883">
        <f>samples!B420</f>
        <v>0</v>
      </c>
      <c r="D883">
        <f>IFERROR(SEARCH(search!$B$6,samples!B420,1),0)</f>
        <v>0</v>
      </c>
      <c r="E883" t="str">
        <f>IF(samples!C420=0,"",samples!C420)</f>
        <v/>
      </c>
      <c r="F883">
        <f>IFERROR(SEARCH(search!$B$6,samples!C420,1),0)</f>
        <v>0</v>
      </c>
      <c r="G883" t="str">
        <f>IF(samples!D420=0,"",samples!D420)</f>
        <v/>
      </c>
      <c r="H883">
        <f>IFERROR(SEARCH(search!$B$6,samples!D420,1),0)</f>
        <v>0</v>
      </c>
      <c r="I883" t="str">
        <f>IF(samples!E420=0,"",samples!E420)</f>
        <v/>
      </c>
      <c r="J883">
        <f>IFERROR(SEARCH(search!$B$6,samples!E420,1),0)</f>
        <v>0</v>
      </c>
      <c r="K883" t="str">
        <f>IF(samples!F420=0,"",samples!F420)</f>
        <v/>
      </c>
      <c r="L883">
        <f>IFERROR(SEARCH(search!$B$6,samples!F420,1),0)</f>
        <v>0</v>
      </c>
      <c r="M883" t="str">
        <f>IF(samples!G420=0,"",samples!G420)</f>
        <v/>
      </c>
      <c r="N883">
        <f>IFERROR(SEARCH(search!$B$6,samples!G420,1),0)</f>
        <v>0</v>
      </c>
      <c r="O883" t="str">
        <f>IF(samples!H420=0,"",samples!H420)</f>
        <v/>
      </c>
      <c r="P883">
        <f>IFERROR(SEARCH(search!$B$6,samples!H420,1),0)</f>
        <v>0</v>
      </c>
      <c r="Q883" t="str">
        <f>IF(samples!I420=0,"",samples!I420)</f>
        <v/>
      </c>
      <c r="R883">
        <f>IFERROR(SEARCH(search!$B$6,samples!I420,1),0)</f>
        <v>0</v>
      </c>
      <c r="S883" t="str">
        <f>IF(samples!J420=0,"",samples!J420)</f>
        <v/>
      </c>
      <c r="T883">
        <f>IFERROR(SEARCH(search!$B$6,samples!J420,1),0)</f>
        <v>0</v>
      </c>
      <c r="U883" t="str">
        <f>IF(samples!K420=0,"",samples!K420)</f>
        <v/>
      </c>
      <c r="V883">
        <f>IFERROR(SEARCH(search!$B$6,samples!K420,1),0)</f>
        <v>0</v>
      </c>
      <c r="W883" t="str">
        <f>IF(samples!L420=0,"",samples!L420)</f>
        <v/>
      </c>
      <c r="X883">
        <f>IFERROR(SEARCH(search!$B$6,samples!L420,1),0)</f>
        <v>0</v>
      </c>
      <c r="Y883" t="str">
        <f>IF(samples!M420=0,"",samples!M420)</f>
        <v/>
      </c>
      <c r="Z883">
        <f>IFERROR(SEARCH(search!$B$6,samples!M420,1),0)</f>
        <v>0</v>
      </c>
      <c r="AA883" t="str">
        <f>IF(samples!N420=0,"",samples!N420)</f>
        <v/>
      </c>
      <c r="AB883">
        <f>IFERROR(SEARCH(search!$B$6,samples!N420,1),0)</f>
        <v>0</v>
      </c>
      <c r="AC883" t="str">
        <f>IF(samples!O420=0,"",samples!O420)</f>
        <v/>
      </c>
      <c r="AD883">
        <f>IFERROR(SEARCH(search!$B$6,samples!O420,1),0)</f>
        <v>0</v>
      </c>
    </row>
    <row r="884" spans="1:30">
      <c r="A884">
        <f t="shared" si="13"/>
        <v>0</v>
      </c>
      <c r="B884">
        <f>IF(SUM(D884,F884,H884,J884,L884,N884,P884,R884,T884,V884,X884,Z884,AB884,AD884)&gt;0,SUM($A$2:A884),0)</f>
        <v>0</v>
      </c>
      <c r="C884">
        <f>samples!B421</f>
        <v>0</v>
      </c>
      <c r="D884">
        <f>IFERROR(SEARCH(search!$B$6,samples!B421,1),0)</f>
        <v>0</v>
      </c>
      <c r="E884" t="str">
        <f>IF(samples!C421=0,"",samples!C421)</f>
        <v/>
      </c>
      <c r="F884">
        <f>IFERROR(SEARCH(search!$B$6,samples!C421,1),0)</f>
        <v>0</v>
      </c>
      <c r="G884" t="str">
        <f>IF(samples!D421=0,"",samples!D421)</f>
        <v/>
      </c>
      <c r="H884">
        <f>IFERROR(SEARCH(search!$B$6,samples!D421,1),0)</f>
        <v>0</v>
      </c>
      <c r="I884" t="str">
        <f>IF(samples!E421=0,"",samples!E421)</f>
        <v/>
      </c>
      <c r="J884">
        <f>IFERROR(SEARCH(search!$B$6,samples!E421,1),0)</f>
        <v>0</v>
      </c>
      <c r="K884" t="str">
        <f>IF(samples!F421=0,"",samples!F421)</f>
        <v/>
      </c>
      <c r="L884">
        <f>IFERROR(SEARCH(search!$B$6,samples!F421,1),0)</f>
        <v>0</v>
      </c>
      <c r="M884" t="str">
        <f>IF(samples!G421=0,"",samples!G421)</f>
        <v/>
      </c>
      <c r="N884">
        <f>IFERROR(SEARCH(search!$B$6,samples!G421,1),0)</f>
        <v>0</v>
      </c>
      <c r="O884" t="str">
        <f>IF(samples!H421=0,"",samples!H421)</f>
        <v/>
      </c>
      <c r="P884">
        <f>IFERROR(SEARCH(search!$B$6,samples!H421,1),0)</f>
        <v>0</v>
      </c>
      <c r="Q884" t="str">
        <f>IF(samples!I421=0,"",samples!I421)</f>
        <v/>
      </c>
      <c r="R884">
        <f>IFERROR(SEARCH(search!$B$6,samples!I421,1),0)</f>
        <v>0</v>
      </c>
      <c r="S884" t="str">
        <f>IF(samples!J421=0,"",samples!J421)</f>
        <v/>
      </c>
      <c r="T884">
        <f>IFERROR(SEARCH(search!$B$6,samples!J421,1),0)</f>
        <v>0</v>
      </c>
      <c r="U884" t="str">
        <f>IF(samples!K421=0,"",samples!K421)</f>
        <v/>
      </c>
      <c r="V884">
        <f>IFERROR(SEARCH(search!$B$6,samples!K421,1),0)</f>
        <v>0</v>
      </c>
      <c r="W884" t="str">
        <f>IF(samples!L421=0,"",samples!L421)</f>
        <v/>
      </c>
      <c r="X884">
        <f>IFERROR(SEARCH(search!$B$6,samples!L421,1),0)</f>
        <v>0</v>
      </c>
      <c r="Y884" t="str">
        <f>IF(samples!M421=0,"",samples!M421)</f>
        <v/>
      </c>
      <c r="Z884">
        <f>IFERROR(SEARCH(search!$B$6,samples!M421,1),0)</f>
        <v>0</v>
      </c>
      <c r="AA884" t="str">
        <f>IF(samples!N421=0,"",samples!N421)</f>
        <v/>
      </c>
      <c r="AB884">
        <f>IFERROR(SEARCH(search!$B$6,samples!N421,1),0)</f>
        <v>0</v>
      </c>
      <c r="AC884" t="str">
        <f>IF(samples!O421=0,"",samples!O421)</f>
        <v/>
      </c>
      <c r="AD884">
        <f>IFERROR(SEARCH(search!$B$6,samples!O421,1),0)</f>
        <v>0</v>
      </c>
    </row>
    <row r="885" spans="1:30">
      <c r="A885">
        <f t="shared" si="13"/>
        <v>0</v>
      </c>
      <c r="B885">
        <f>IF(SUM(D885,F885,H885,J885,L885,N885,P885,R885,T885,V885,X885,Z885,AB885,AD885)&gt;0,SUM($A$2:A885),0)</f>
        <v>0</v>
      </c>
      <c r="C885">
        <f>samples!B422</f>
        <v>0</v>
      </c>
      <c r="D885">
        <f>IFERROR(SEARCH(search!$B$6,samples!B422,1),0)</f>
        <v>0</v>
      </c>
      <c r="E885" t="str">
        <f>IF(samples!C422=0,"",samples!C422)</f>
        <v/>
      </c>
      <c r="F885">
        <f>IFERROR(SEARCH(search!$B$6,samples!C422,1),0)</f>
        <v>0</v>
      </c>
      <c r="G885" t="str">
        <f>IF(samples!D422=0,"",samples!D422)</f>
        <v/>
      </c>
      <c r="H885">
        <f>IFERROR(SEARCH(search!$B$6,samples!D422,1),0)</f>
        <v>0</v>
      </c>
      <c r="I885" t="str">
        <f>IF(samples!E422=0,"",samples!E422)</f>
        <v/>
      </c>
      <c r="J885">
        <f>IFERROR(SEARCH(search!$B$6,samples!E422,1),0)</f>
        <v>0</v>
      </c>
      <c r="K885" t="str">
        <f>IF(samples!F422=0,"",samples!F422)</f>
        <v/>
      </c>
      <c r="L885">
        <f>IFERROR(SEARCH(search!$B$6,samples!F422,1),0)</f>
        <v>0</v>
      </c>
      <c r="M885" t="str">
        <f>IF(samples!G422=0,"",samples!G422)</f>
        <v/>
      </c>
      <c r="N885">
        <f>IFERROR(SEARCH(search!$B$6,samples!G422,1),0)</f>
        <v>0</v>
      </c>
      <c r="O885" t="str">
        <f>IF(samples!H422=0,"",samples!H422)</f>
        <v/>
      </c>
      <c r="P885">
        <f>IFERROR(SEARCH(search!$B$6,samples!H422,1),0)</f>
        <v>0</v>
      </c>
      <c r="Q885" t="str">
        <f>IF(samples!I422=0,"",samples!I422)</f>
        <v/>
      </c>
      <c r="R885">
        <f>IFERROR(SEARCH(search!$B$6,samples!I422,1),0)</f>
        <v>0</v>
      </c>
      <c r="S885" t="str">
        <f>IF(samples!J422=0,"",samples!J422)</f>
        <v/>
      </c>
      <c r="T885">
        <f>IFERROR(SEARCH(search!$B$6,samples!J422,1),0)</f>
        <v>0</v>
      </c>
      <c r="U885" t="str">
        <f>IF(samples!K422=0,"",samples!K422)</f>
        <v/>
      </c>
      <c r="V885">
        <f>IFERROR(SEARCH(search!$B$6,samples!K422,1),0)</f>
        <v>0</v>
      </c>
      <c r="W885" t="str">
        <f>IF(samples!L422=0,"",samples!L422)</f>
        <v/>
      </c>
      <c r="X885">
        <f>IFERROR(SEARCH(search!$B$6,samples!L422,1),0)</f>
        <v>0</v>
      </c>
      <c r="Y885" t="str">
        <f>IF(samples!M422=0,"",samples!M422)</f>
        <v/>
      </c>
      <c r="Z885">
        <f>IFERROR(SEARCH(search!$B$6,samples!M422,1),0)</f>
        <v>0</v>
      </c>
      <c r="AA885" t="str">
        <f>IF(samples!N422=0,"",samples!N422)</f>
        <v/>
      </c>
      <c r="AB885">
        <f>IFERROR(SEARCH(search!$B$6,samples!N422,1),0)</f>
        <v>0</v>
      </c>
      <c r="AC885" t="str">
        <f>IF(samples!O422=0,"",samples!O422)</f>
        <v/>
      </c>
      <c r="AD885">
        <f>IFERROR(SEARCH(search!$B$6,samples!O422,1),0)</f>
        <v>0</v>
      </c>
    </row>
    <row r="886" spans="1:30">
      <c r="A886">
        <f t="shared" si="13"/>
        <v>0</v>
      </c>
      <c r="B886">
        <f>IF(SUM(D886,F886,H886,J886,L886,N886,P886,R886,T886,V886,X886,Z886,AB886,AD886)&gt;0,SUM($A$2:A886),0)</f>
        <v>0</v>
      </c>
      <c r="C886">
        <f>samples!B423</f>
        <v>0</v>
      </c>
      <c r="D886">
        <f>IFERROR(SEARCH(search!$B$6,samples!B423,1),0)</f>
        <v>0</v>
      </c>
      <c r="E886" t="str">
        <f>IF(samples!C423=0,"",samples!C423)</f>
        <v/>
      </c>
      <c r="F886">
        <f>IFERROR(SEARCH(search!$B$6,samples!C423,1),0)</f>
        <v>0</v>
      </c>
      <c r="G886" t="str">
        <f>IF(samples!D423=0,"",samples!D423)</f>
        <v/>
      </c>
      <c r="H886">
        <f>IFERROR(SEARCH(search!$B$6,samples!D423,1),0)</f>
        <v>0</v>
      </c>
      <c r="I886" t="str">
        <f>IF(samples!E423=0,"",samples!E423)</f>
        <v/>
      </c>
      <c r="J886">
        <f>IFERROR(SEARCH(search!$B$6,samples!E423,1),0)</f>
        <v>0</v>
      </c>
      <c r="K886" t="str">
        <f>IF(samples!F423=0,"",samples!F423)</f>
        <v/>
      </c>
      <c r="L886">
        <f>IFERROR(SEARCH(search!$B$6,samples!F423,1),0)</f>
        <v>0</v>
      </c>
      <c r="M886" t="str">
        <f>IF(samples!G423=0,"",samples!G423)</f>
        <v/>
      </c>
      <c r="N886">
        <f>IFERROR(SEARCH(search!$B$6,samples!G423,1),0)</f>
        <v>0</v>
      </c>
      <c r="O886" t="str">
        <f>IF(samples!H423=0,"",samples!H423)</f>
        <v/>
      </c>
      <c r="P886">
        <f>IFERROR(SEARCH(search!$B$6,samples!H423,1),0)</f>
        <v>0</v>
      </c>
      <c r="Q886" t="str">
        <f>IF(samples!I423=0,"",samples!I423)</f>
        <v/>
      </c>
      <c r="R886">
        <f>IFERROR(SEARCH(search!$B$6,samples!I423,1),0)</f>
        <v>0</v>
      </c>
      <c r="S886" t="str">
        <f>IF(samples!J423=0,"",samples!J423)</f>
        <v/>
      </c>
      <c r="T886">
        <f>IFERROR(SEARCH(search!$B$6,samples!J423,1),0)</f>
        <v>0</v>
      </c>
      <c r="U886" t="str">
        <f>IF(samples!K423=0,"",samples!K423)</f>
        <v/>
      </c>
      <c r="V886">
        <f>IFERROR(SEARCH(search!$B$6,samples!K423,1),0)</f>
        <v>0</v>
      </c>
      <c r="W886" t="str">
        <f>IF(samples!L423=0,"",samples!L423)</f>
        <v/>
      </c>
      <c r="X886">
        <f>IFERROR(SEARCH(search!$B$6,samples!L423,1),0)</f>
        <v>0</v>
      </c>
      <c r="Y886" t="str">
        <f>IF(samples!M423=0,"",samples!M423)</f>
        <v/>
      </c>
      <c r="Z886">
        <f>IFERROR(SEARCH(search!$B$6,samples!M423,1),0)</f>
        <v>0</v>
      </c>
      <c r="AA886" t="str">
        <f>IF(samples!N423=0,"",samples!N423)</f>
        <v/>
      </c>
      <c r="AB886">
        <f>IFERROR(SEARCH(search!$B$6,samples!N423,1),0)</f>
        <v>0</v>
      </c>
      <c r="AC886" t="str">
        <f>IF(samples!O423=0,"",samples!O423)</f>
        <v/>
      </c>
      <c r="AD886">
        <f>IFERROR(SEARCH(search!$B$6,samples!O423,1),0)</f>
        <v>0</v>
      </c>
    </row>
    <row r="887" spans="1:30">
      <c r="A887">
        <f t="shared" si="13"/>
        <v>0</v>
      </c>
      <c r="B887">
        <f>IF(SUM(D887,F887,H887,J887,L887,N887,P887,R887,T887,V887,X887,Z887,AB887,AD887)&gt;0,SUM($A$2:A887),0)</f>
        <v>0</v>
      </c>
      <c r="C887">
        <f>samples!B424</f>
        <v>0</v>
      </c>
      <c r="D887">
        <f>IFERROR(SEARCH(search!$B$6,samples!B424,1),0)</f>
        <v>0</v>
      </c>
      <c r="E887" t="str">
        <f>IF(samples!C424=0,"",samples!C424)</f>
        <v/>
      </c>
      <c r="F887">
        <f>IFERROR(SEARCH(search!$B$6,samples!C424,1),0)</f>
        <v>0</v>
      </c>
      <c r="G887" t="str">
        <f>IF(samples!D424=0,"",samples!D424)</f>
        <v/>
      </c>
      <c r="H887">
        <f>IFERROR(SEARCH(search!$B$6,samples!D424,1),0)</f>
        <v>0</v>
      </c>
      <c r="I887" t="str">
        <f>IF(samples!E424=0,"",samples!E424)</f>
        <v/>
      </c>
      <c r="J887">
        <f>IFERROR(SEARCH(search!$B$6,samples!E424,1),0)</f>
        <v>0</v>
      </c>
      <c r="K887" t="str">
        <f>IF(samples!F424=0,"",samples!F424)</f>
        <v/>
      </c>
      <c r="L887">
        <f>IFERROR(SEARCH(search!$B$6,samples!F424,1),0)</f>
        <v>0</v>
      </c>
      <c r="M887" t="str">
        <f>IF(samples!G424=0,"",samples!G424)</f>
        <v/>
      </c>
      <c r="N887">
        <f>IFERROR(SEARCH(search!$B$6,samples!G424,1),0)</f>
        <v>0</v>
      </c>
      <c r="O887" t="str">
        <f>IF(samples!H424=0,"",samples!H424)</f>
        <v/>
      </c>
      <c r="P887">
        <f>IFERROR(SEARCH(search!$B$6,samples!H424,1),0)</f>
        <v>0</v>
      </c>
      <c r="Q887" t="str">
        <f>IF(samples!I424=0,"",samples!I424)</f>
        <v/>
      </c>
      <c r="R887">
        <f>IFERROR(SEARCH(search!$B$6,samples!I424,1),0)</f>
        <v>0</v>
      </c>
      <c r="S887" t="str">
        <f>IF(samples!J424=0,"",samples!J424)</f>
        <v/>
      </c>
      <c r="T887">
        <f>IFERROR(SEARCH(search!$B$6,samples!J424,1),0)</f>
        <v>0</v>
      </c>
      <c r="U887" t="str">
        <f>IF(samples!K424=0,"",samples!K424)</f>
        <v/>
      </c>
      <c r="V887">
        <f>IFERROR(SEARCH(search!$B$6,samples!K424,1),0)</f>
        <v>0</v>
      </c>
      <c r="W887" t="str">
        <f>IF(samples!L424=0,"",samples!L424)</f>
        <v/>
      </c>
      <c r="X887">
        <f>IFERROR(SEARCH(search!$B$6,samples!L424,1),0)</f>
        <v>0</v>
      </c>
      <c r="Y887" t="str">
        <f>IF(samples!M424=0,"",samples!M424)</f>
        <v/>
      </c>
      <c r="Z887">
        <f>IFERROR(SEARCH(search!$B$6,samples!M424,1),0)</f>
        <v>0</v>
      </c>
      <c r="AA887" t="str">
        <f>IF(samples!N424=0,"",samples!N424)</f>
        <v/>
      </c>
      <c r="AB887">
        <f>IFERROR(SEARCH(search!$B$6,samples!N424,1),0)</f>
        <v>0</v>
      </c>
      <c r="AC887" t="str">
        <f>IF(samples!O424=0,"",samples!O424)</f>
        <v/>
      </c>
      <c r="AD887">
        <f>IFERROR(SEARCH(search!$B$6,samples!O424,1),0)</f>
        <v>0</v>
      </c>
    </row>
    <row r="888" spans="1:30">
      <c r="A888">
        <f t="shared" si="13"/>
        <v>0</v>
      </c>
      <c r="B888">
        <f>IF(SUM(D888,F888,H888,J888,L888,N888,P888,R888,T888,V888,X888,Z888,AB888,AD888)&gt;0,SUM($A$2:A888),0)</f>
        <v>0</v>
      </c>
      <c r="C888">
        <f>samples!B425</f>
        <v>0</v>
      </c>
      <c r="D888">
        <f>IFERROR(SEARCH(search!$B$6,samples!B425,1),0)</f>
        <v>0</v>
      </c>
      <c r="E888" t="str">
        <f>IF(samples!C425=0,"",samples!C425)</f>
        <v/>
      </c>
      <c r="F888">
        <f>IFERROR(SEARCH(search!$B$6,samples!C425,1),0)</f>
        <v>0</v>
      </c>
      <c r="G888" t="str">
        <f>IF(samples!D425=0,"",samples!D425)</f>
        <v/>
      </c>
      <c r="H888">
        <f>IFERROR(SEARCH(search!$B$6,samples!D425,1),0)</f>
        <v>0</v>
      </c>
      <c r="I888" t="str">
        <f>IF(samples!E425=0,"",samples!E425)</f>
        <v/>
      </c>
      <c r="J888">
        <f>IFERROR(SEARCH(search!$B$6,samples!E425,1),0)</f>
        <v>0</v>
      </c>
      <c r="K888" t="str">
        <f>IF(samples!F425=0,"",samples!F425)</f>
        <v/>
      </c>
      <c r="L888">
        <f>IFERROR(SEARCH(search!$B$6,samples!F425,1),0)</f>
        <v>0</v>
      </c>
      <c r="M888" t="str">
        <f>IF(samples!G425=0,"",samples!G425)</f>
        <v/>
      </c>
      <c r="N888">
        <f>IFERROR(SEARCH(search!$B$6,samples!G425,1),0)</f>
        <v>0</v>
      </c>
      <c r="O888" t="str">
        <f>IF(samples!H425=0,"",samples!H425)</f>
        <v/>
      </c>
      <c r="P888">
        <f>IFERROR(SEARCH(search!$B$6,samples!H425,1),0)</f>
        <v>0</v>
      </c>
      <c r="Q888" t="str">
        <f>IF(samples!I425=0,"",samples!I425)</f>
        <v/>
      </c>
      <c r="R888">
        <f>IFERROR(SEARCH(search!$B$6,samples!I425,1),0)</f>
        <v>0</v>
      </c>
      <c r="S888" t="str">
        <f>IF(samples!J425=0,"",samples!J425)</f>
        <v/>
      </c>
      <c r="T888">
        <f>IFERROR(SEARCH(search!$B$6,samples!J425,1),0)</f>
        <v>0</v>
      </c>
      <c r="U888" t="str">
        <f>IF(samples!K425=0,"",samples!K425)</f>
        <v/>
      </c>
      <c r="V888">
        <f>IFERROR(SEARCH(search!$B$6,samples!K425,1),0)</f>
        <v>0</v>
      </c>
      <c r="W888" t="str">
        <f>IF(samples!L425=0,"",samples!L425)</f>
        <v/>
      </c>
      <c r="X888">
        <f>IFERROR(SEARCH(search!$B$6,samples!L425,1),0)</f>
        <v>0</v>
      </c>
      <c r="Y888" t="str">
        <f>IF(samples!M425=0,"",samples!M425)</f>
        <v/>
      </c>
      <c r="Z888">
        <f>IFERROR(SEARCH(search!$B$6,samples!M425,1),0)</f>
        <v>0</v>
      </c>
      <c r="AA888" t="str">
        <f>IF(samples!N425=0,"",samples!N425)</f>
        <v/>
      </c>
      <c r="AB888">
        <f>IFERROR(SEARCH(search!$B$6,samples!N425,1),0)</f>
        <v>0</v>
      </c>
      <c r="AC888" t="str">
        <f>IF(samples!O425=0,"",samples!O425)</f>
        <v/>
      </c>
      <c r="AD888">
        <f>IFERROR(SEARCH(search!$B$6,samples!O425,1),0)</f>
        <v>0</v>
      </c>
    </row>
    <row r="889" spans="1:30">
      <c r="A889">
        <f t="shared" si="13"/>
        <v>0</v>
      </c>
      <c r="B889">
        <f>IF(SUM(D889,F889,H889,J889,L889,N889,P889,R889,T889,V889,X889,Z889,AB889,AD889)&gt;0,SUM($A$2:A889),0)</f>
        <v>0</v>
      </c>
      <c r="C889">
        <f>samples!B426</f>
        <v>0</v>
      </c>
      <c r="D889">
        <f>IFERROR(SEARCH(search!$B$6,samples!B426,1),0)</f>
        <v>0</v>
      </c>
      <c r="E889" t="str">
        <f>IF(samples!C426=0,"",samples!C426)</f>
        <v/>
      </c>
      <c r="F889">
        <f>IFERROR(SEARCH(search!$B$6,samples!C426,1),0)</f>
        <v>0</v>
      </c>
      <c r="G889" t="str">
        <f>IF(samples!D426=0,"",samples!D426)</f>
        <v/>
      </c>
      <c r="H889">
        <f>IFERROR(SEARCH(search!$B$6,samples!D426,1),0)</f>
        <v>0</v>
      </c>
      <c r="I889" t="str">
        <f>IF(samples!E426=0,"",samples!E426)</f>
        <v/>
      </c>
      <c r="J889">
        <f>IFERROR(SEARCH(search!$B$6,samples!E426,1),0)</f>
        <v>0</v>
      </c>
      <c r="K889" t="str">
        <f>IF(samples!F426=0,"",samples!F426)</f>
        <v/>
      </c>
      <c r="L889">
        <f>IFERROR(SEARCH(search!$B$6,samples!F426,1),0)</f>
        <v>0</v>
      </c>
      <c r="M889" t="str">
        <f>IF(samples!G426=0,"",samples!G426)</f>
        <v/>
      </c>
      <c r="N889">
        <f>IFERROR(SEARCH(search!$B$6,samples!G426,1),0)</f>
        <v>0</v>
      </c>
      <c r="O889" t="str">
        <f>IF(samples!H426=0,"",samples!H426)</f>
        <v/>
      </c>
      <c r="P889">
        <f>IFERROR(SEARCH(search!$B$6,samples!H426,1),0)</f>
        <v>0</v>
      </c>
      <c r="Q889" t="str">
        <f>IF(samples!I426=0,"",samples!I426)</f>
        <v/>
      </c>
      <c r="R889">
        <f>IFERROR(SEARCH(search!$B$6,samples!I426,1),0)</f>
        <v>0</v>
      </c>
      <c r="S889" t="str">
        <f>IF(samples!J426=0,"",samples!J426)</f>
        <v/>
      </c>
      <c r="T889">
        <f>IFERROR(SEARCH(search!$B$6,samples!J426,1),0)</f>
        <v>0</v>
      </c>
      <c r="U889" t="str">
        <f>IF(samples!K426=0,"",samples!K426)</f>
        <v/>
      </c>
      <c r="V889">
        <f>IFERROR(SEARCH(search!$B$6,samples!K426,1),0)</f>
        <v>0</v>
      </c>
      <c r="W889" t="str">
        <f>IF(samples!L426=0,"",samples!L426)</f>
        <v/>
      </c>
      <c r="X889">
        <f>IFERROR(SEARCH(search!$B$6,samples!L426,1),0)</f>
        <v>0</v>
      </c>
      <c r="Y889" t="str">
        <f>IF(samples!M426=0,"",samples!M426)</f>
        <v/>
      </c>
      <c r="Z889">
        <f>IFERROR(SEARCH(search!$B$6,samples!M426,1),0)</f>
        <v>0</v>
      </c>
      <c r="AA889" t="str">
        <f>IF(samples!N426=0,"",samples!N426)</f>
        <v/>
      </c>
      <c r="AB889">
        <f>IFERROR(SEARCH(search!$B$6,samples!N426,1),0)</f>
        <v>0</v>
      </c>
      <c r="AC889" t="str">
        <f>IF(samples!O426=0,"",samples!O426)</f>
        <v/>
      </c>
      <c r="AD889">
        <f>IFERROR(SEARCH(search!$B$6,samples!O426,1),0)</f>
        <v>0</v>
      </c>
    </row>
    <row r="890" spans="1:30">
      <c r="A890">
        <f t="shared" si="13"/>
        <v>0</v>
      </c>
      <c r="B890">
        <f>IF(SUM(D890,F890,H890,J890,L890,N890,P890,R890,T890,V890,X890,Z890,AB890,AD890)&gt;0,SUM($A$2:A890),0)</f>
        <v>0</v>
      </c>
      <c r="C890">
        <f>samples!B427</f>
        <v>0</v>
      </c>
      <c r="D890">
        <f>IFERROR(SEARCH(search!$B$6,samples!B427,1),0)</f>
        <v>0</v>
      </c>
      <c r="E890" t="str">
        <f>IF(samples!C427=0,"",samples!C427)</f>
        <v/>
      </c>
      <c r="F890">
        <f>IFERROR(SEARCH(search!$B$6,samples!C427,1),0)</f>
        <v>0</v>
      </c>
      <c r="G890" t="str">
        <f>IF(samples!D427=0,"",samples!D427)</f>
        <v/>
      </c>
      <c r="H890">
        <f>IFERROR(SEARCH(search!$B$6,samples!D427,1),0)</f>
        <v>0</v>
      </c>
      <c r="I890" t="str">
        <f>IF(samples!E427=0,"",samples!E427)</f>
        <v/>
      </c>
      <c r="J890">
        <f>IFERROR(SEARCH(search!$B$6,samples!E427,1),0)</f>
        <v>0</v>
      </c>
      <c r="K890" t="str">
        <f>IF(samples!F427=0,"",samples!F427)</f>
        <v/>
      </c>
      <c r="L890">
        <f>IFERROR(SEARCH(search!$B$6,samples!F427,1),0)</f>
        <v>0</v>
      </c>
      <c r="M890" t="str">
        <f>IF(samples!G427=0,"",samples!G427)</f>
        <v/>
      </c>
      <c r="N890">
        <f>IFERROR(SEARCH(search!$B$6,samples!G427,1),0)</f>
        <v>0</v>
      </c>
      <c r="O890" t="str">
        <f>IF(samples!H427=0,"",samples!H427)</f>
        <v/>
      </c>
      <c r="P890">
        <f>IFERROR(SEARCH(search!$B$6,samples!H427,1),0)</f>
        <v>0</v>
      </c>
      <c r="Q890" t="str">
        <f>IF(samples!I427=0,"",samples!I427)</f>
        <v/>
      </c>
      <c r="R890">
        <f>IFERROR(SEARCH(search!$B$6,samples!I427,1),0)</f>
        <v>0</v>
      </c>
      <c r="S890" t="str">
        <f>IF(samples!J427=0,"",samples!J427)</f>
        <v/>
      </c>
      <c r="T890">
        <f>IFERROR(SEARCH(search!$B$6,samples!J427,1),0)</f>
        <v>0</v>
      </c>
      <c r="U890" t="str">
        <f>IF(samples!K427=0,"",samples!K427)</f>
        <v/>
      </c>
      <c r="V890">
        <f>IFERROR(SEARCH(search!$B$6,samples!K427,1),0)</f>
        <v>0</v>
      </c>
      <c r="W890" t="str">
        <f>IF(samples!L427=0,"",samples!L427)</f>
        <v/>
      </c>
      <c r="X890">
        <f>IFERROR(SEARCH(search!$B$6,samples!L427,1),0)</f>
        <v>0</v>
      </c>
      <c r="Y890" t="str">
        <f>IF(samples!M427=0,"",samples!M427)</f>
        <v/>
      </c>
      <c r="Z890">
        <f>IFERROR(SEARCH(search!$B$6,samples!M427,1),0)</f>
        <v>0</v>
      </c>
      <c r="AA890" t="str">
        <f>IF(samples!N427=0,"",samples!N427)</f>
        <v/>
      </c>
      <c r="AB890">
        <f>IFERROR(SEARCH(search!$B$6,samples!N427,1),0)</f>
        <v>0</v>
      </c>
      <c r="AC890" t="str">
        <f>IF(samples!O427=0,"",samples!O427)</f>
        <v/>
      </c>
      <c r="AD890">
        <f>IFERROR(SEARCH(search!$B$6,samples!O427,1),0)</f>
        <v>0</v>
      </c>
    </row>
    <row r="891" spans="1:30">
      <c r="A891">
        <f t="shared" si="13"/>
        <v>0</v>
      </c>
      <c r="B891">
        <f>IF(SUM(D891,F891,H891,J891,L891,N891,P891,R891,T891,V891,X891,Z891,AB891,AD891)&gt;0,SUM($A$2:A891),0)</f>
        <v>0</v>
      </c>
      <c r="C891">
        <f>samples!B428</f>
        <v>0</v>
      </c>
      <c r="D891">
        <f>IFERROR(SEARCH(search!$B$6,samples!B428,1),0)</f>
        <v>0</v>
      </c>
      <c r="E891" t="str">
        <f>IF(samples!C428=0,"",samples!C428)</f>
        <v/>
      </c>
      <c r="F891">
        <f>IFERROR(SEARCH(search!$B$6,samples!C428,1),0)</f>
        <v>0</v>
      </c>
      <c r="G891" t="str">
        <f>IF(samples!D428=0,"",samples!D428)</f>
        <v/>
      </c>
      <c r="H891">
        <f>IFERROR(SEARCH(search!$B$6,samples!D428,1),0)</f>
        <v>0</v>
      </c>
      <c r="I891" t="str">
        <f>IF(samples!E428=0,"",samples!E428)</f>
        <v/>
      </c>
      <c r="J891">
        <f>IFERROR(SEARCH(search!$B$6,samples!E428,1),0)</f>
        <v>0</v>
      </c>
      <c r="K891" t="str">
        <f>IF(samples!F428=0,"",samples!F428)</f>
        <v/>
      </c>
      <c r="L891">
        <f>IFERROR(SEARCH(search!$B$6,samples!F428,1),0)</f>
        <v>0</v>
      </c>
      <c r="M891" t="str">
        <f>IF(samples!G428=0,"",samples!G428)</f>
        <v/>
      </c>
      <c r="N891">
        <f>IFERROR(SEARCH(search!$B$6,samples!G428,1),0)</f>
        <v>0</v>
      </c>
      <c r="O891" t="str">
        <f>IF(samples!H428=0,"",samples!H428)</f>
        <v/>
      </c>
      <c r="P891">
        <f>IFERROR(SEARCH(search!$B$6,samples!H428,1),0)</f>
        <v>0</v>
      </c>
      <c r="Q891" t="str">
        <f>IF(samples!I428=0,"",samples!I428)</f>
        <v/>
      </c>
      <c r="R891">
        <f>IFERROR(SEARCH(search!$B$6,samples!I428,1),0)</f>
        <v>0</v>
      </c>
      <c r="S891" t="str">
        <f>IF(samples!J428=0,"",samples!J428)</f>
        <v/>
      </c>
      <c r="T891">
        <f>IFERROR(SEARCH(search!$B$6,samples!J428,1),0)</f>
        <v>0</v>
      </c>
      <c r="U891" t="str">
        <f>IF(samples!K428=0,"",samples!K428)</f>
        <v/>
      </c>
      <c r="V891">
        <f>IFERROR(SEARCH(search!$B$6,samples!K428,1),0)</f>
        <v>0</v>
      </c>
      <c r="W891" t="str">
        <f>IF(samples!L428=0,"",samples!L428)</f>
        <v/>
      </c>
      <c r="X891">
        <f>IFERROR(SEARCH(search!$B$6,samples!L428,1),0)</f>
        <v>0</v>
      </c>
      <c r="Y891" t="str">
        <f>IF(samples!M428=0,"",samples!M428)</f>
        <v/>
      </c>
      <c r="Z891">
        <f>IFERROR(SEARCH(search!$B$6,samples!M428,1),0)</f>
        <v>0</v>
      </c>
      <c r="AA891" t="str">
        <f>IF(samples!N428=0,"",samples!N428)</f>
        <v/>
      </c>
      <c r="AB891">
        <f>IFERROR(SEARCH(search!$B$6,samples!N428,1),0)</f>
        <v>0</v>
      </c>
      <c r="AC891" t="str">
        <f>IF(samples!O428=0,"",samples!O428)</f>
        <v/>
      </c>
      <c r="AD891">
        <f>IFERROR(SEARCH(search!$B$6,samples!O428,1),0)</f>
        <v>0</v>
      </c>
    </row>
    <row r="892" spans="1:30">
      <c r="A892">
        <f t="shared" si="13"/>
        <v>0</v>
      </c>
      <c r="B892">
        <f>IF(SUM(D892,F892,H892,J892,L892,N892,P892,R892,T892,V892,X892,Z892,AB892,AD892)&gt;0,SUM($A$2:A892),0)</f>
        <v>0</v>
      </c>
      <c r="C892">
        <f>samples!B429</f>
        <v>0</v>
      </c>
      <c r="D892">
        <f>IFERROR(SEARCH(search!$B$6,samples!B429,1),0)</f>
        <v>0</v>
      </c>
      <c r="E892" t="str">
        <f>IF(samples!C429=0,"",samples!C429)</f>
        <v/>
      </c>
      <c r="F892">
        <f>IFERROR(SEARCH(search!$B$6,samples!C429,1),0)</f>
        <v>0</v>
      </c>
      <c r="G892" t="str">
        <f>IF(samples!D429=0,"",samples!D429)</f>
        <v/>
      </c>
      <c r="H892">
        <f>IFERROR(SEARCH(search!$B$6,samples!D429,1),0)</f>
        <v>0</v>
      </c>
      <c r="I892" t="str">
        <f>IF(samples!E429=0,"",samples!E429)</f>
        <v/>
      </c>
      <c r="J892">
        <f>IFERROR(SEARCH(search!$B$6,samples!E429,1),0)</f>
        <v>0</v>
      </c>
      <c r="K892" t="str">
        <f>IF(samples!F429=0,"",samples!F429)</f>
        <v/>
      </c>
      <c r="L892">
        <f>IFERROR(SEARCH(search!$B$6,samples!F429,1),0)</f>
        <v>0</v>
      </c>
      <c r="M892" t="str">
        <f>IF(samples!G429=0,"",samples!G429)</f>
        <v/>
      </c>
      <c r="N892">
        <f>IFERROR(SEARCH(search!$B$6,samples!G429,1),0)</f>
        <v>0</v>
      </c>
      <c r="O892" t="str">
        <f>IF(samples!H429=0,"",samples!H429)</f>
        <v/>
      </c>
      <c r="P892">
        <f>IFERROR(SEARCH(search!$B$6,samples!H429,1),0)</f>
        <v>0</v>
      </c>
      <c r="Q892" t="str">
        <f>IF(samples!I429=0,"",samples!I429)</f>
        <v/>
      </c>
      <c r="R892">
        <f>IFERROR(SEARCH(search!$B$6,samples!I429,1),0)</f>
        <v>0</v>
      </c>
      <c r="S892" t="str">
        <f>IF(samples!J429=0,"",samples!J429)</f>
        <v/>
      </c>
      <c r="T892">
        <f>IFERROR(SEARCH(search!$B$6,samples!J429,1),0)</f>
        <v>0</v>
      </c>
      <c r="U892" t="str">
        <f>IF(samples!K429=0,"",samples!K429)</f>
        <v/>
      </c>
      <c r="V892">
        <f>IFERROR(SEARCH(search!$B$6,samples!K429,1),0)</f>
        <v>0</v>
      </c>
      <c r="W892" t="str">
        <f>IF(samples!L429=0,"",samples!L429)</f>
        <v/>
      </c>
      <c r="X892">
        <f>IFERROR(SEARCH(search!$B$6,samples!L429,1),0)</f>
        <v>0</v>
      </c>
      <c r="Y892" t="str">
        <f>IF(samples!M429=0,"",samples!M429)</f>
        <v/>
      </c>
      <c r="Z892">
        <f>IFERROR(SEARCH(search!$B$6,samples!M429,1),0)</f>
        <v>0</v>
      </c>
      <c r="AA892" t="str">
        <f>IF(samples!N429=0,"",samples!N429)</f>
        <v/>
      </c>
      <c r="AB892">
        <f>IFERROR(SEARCH(search!$B$6,samples!N429,1),0)</f>
        <v>0</v>
      </c>
      <c r="AC892" t="str">
        <f>IF(samples!O429=0,"",samples!O429)</f>
        <v/>
      </c>
      <c r="AD892">
        <f>IFERROR(SEARCH(search!$B$6,samples!O429,1),0)</f>
        <v>0</v>
      </c>
    </row>
    <row r="893" spans="1:30">
      <c r="A893">
        <f t="shared" si="13"/>
        <v>0</v>
      </c>
      <c r="B893">
        <f>IF(SUM(D893,F893,H893,J893,L893,N893,P893,R893,T893,V893,X893,Z893,AB893,AD893)&gt;0,SUM($A$2:A893),0)</f>
        <v>0</v>
      </c>
      <c r="C893">
        <f>samples!B430</f>
        <v>0</v>
      </c>
      <c r="D893">
        <f>IFERROR(SEARCH(search!$B$6,samples!B430,1),0)</f>
        <v>0</v>
      </c>
      <c r="E893" t="str">
        <f>IF(samples!C430=0,"",samples!C430)</f>
        <v/>
      </c>
      <c r="F893">
        <f>IFERROR(SEARCH(search!$B$6,samples!C430,1),0)</f>
        <v>0</v>
      </c>
      <c r="G893" t="str">
        <f>IF(samples!D430=0,"",samples!D430)</f>
        <v/>
      </c>
      <c r="H893">
        <f>IFERROR(SEARCH(search!$B$6,samples!D430,1),0)</f>
        <v>0</v>
      </c>
      <c r="I893" t="str">
        <f>IF(samples!E430=0,"",samples!E430)</f>
        <v/>
      </c>
      <c r="J893">
        <f>IFERROR(SEARCH(search!$B$6,samples!E430,1),0)</f>
        <v>0</v>
      </c>
      <c r="K893" t="str">
        <f>IF(samples!F430=0,"",samples!F430)</f>
        <v/>
      </c>
      <c r="L893">
        <f>IFERROR(SEARCH(search!$B$6,samples!F430,1),0)</f>
        <v>0</v>
      </c>
      <c r="M893" t="str">
        <f>IF(samples!G430=0,"",samples!G430)</f>
        <v/>
      </c>
      <c r="N893">
        <f>IFERROR(SEARCH(search!$B$6,samples!G430,1),0)</f>
        <v>0</v>
      </c>
      <c r="O893" t="str">
        <f>IF(samples!H430=0,"",samples!H430)</f>
        <v/>
      </c>
      <c r="P893">
        <f>IFERROR(SEARCH(search!$B$6,samples!H430,1),0)</f>
        <v>0</v>
      </c>
      <c r="Q893" t="str">
        <f>IF(samples!I430=0,"",samples!I430)</f>
        <v/>
      </c>
      <c r="R893">
        <f>IFERROR(SEARCH(search!$B$6,samples!I430,1),0)</f>
        <v>0</v>
      </c>
      <c r="S893" t="str">
        <f>IF(samples!J430=0,"",samples!J430)</f>
        <v/>
      </c>
      <c r="T893">
        <f>IFERROR(SEARCH(search!$B$6,samples!J430,1),0)</f>
        <v>0</v>
      </c>
      <c r="U893" t="str">
        <f>IF(samples!K430=0,"",samples!K430)</f>
        <v/>
      </c>
      <c r="V893">
        <f>IFERROR(SEARCH(search!$B$6,samples!K430,1),0)</f>
        <v>0</v>
      </c>
      <c r="W893" t="str">
        <f>IF(samples!L430=0,"",samples!L430)</f>
        <v/>
      </c>
      <c r="X893">
        <f>IFERROR(SEARCH(search!$B$6,samples!L430,1),0)</f>
        <v>0</v>
      </c>
      <c r="Y893" t="str">
        <f>IF(samples!M430=0,"",samples!M430)</f>
        <v/>
      </c>
      <c r="Z893">
        <f>IFERROR(SEARCH(search!$B$6,samples!M430,1),0)</f>
        <v>0</v>
      </c>
      <c r="AA893" t="str">
        <f>IF(samples!N430=0,"",samples!N430)</f>
        <v/>
      </c>
      <c r="AB893">
        <f>IFERROR(SEARCH(search!$B$6,samples!N430,1),0)</f>
        <v>0</v>
      </c>
      <c r="AC893" t="str">
        <f>IF(samples!O430=0,"",samples!O430)</f>
        <v/>
      </c>
      <c r="AD893">
        <f>IFERROR(SEARCH(search!$B$6,samples!O430,1),0)</f>
        <v>0</v>
      </c>
    </row>
    <row r="894" spans="1:30">
      <c r="A894">
        <f t="shared" si="13"/>
        <v>0</v>
      </c>
      <c r="B894">
        <f>IF(SUM(D894,F894,H894,J894,L894,N894,P894,R894,T894,V894,X894,Z894,AB894,AD894)&gt;0,SUM($A$2:A894),0)</f>
        <v>0</v>
      </c>
      <c r="C894">
        <f>samples!B431</f>
        <v>0</v>
      </c>
      <c r="D894">
        <f>IFERROR(SEARCH(search!$B$6,samples!B431,1),0)</f>
        <v>0</v>
      </c>
      <c r="E894" t="str">
        <f>IF(samples!C431=0,"",samples!C431)</f>
        <v/>
      </c>
      <c r="F894">
        <f>IFERROR(SEARCH(search!$B$6,samples!C431,1),0)</f>
        <v>0</v>
      </c>
      <c r="G894" t="str">
        <f>IF(samples!D431=0,"",samples!D431)</f>
        <v/>
      </c>
      <c r="H894">
        <f>IFERROR(SEARCH(search!$B$6,samples!D431,1),0)</f>
        <v>0</v>
      </c>
      <c r="I894" t="str">
        <f>IF(samples!E431=0,"",samples!E431)</f>
        <v/>
      </c>
      <c r="J894">
        <f>IFERROR(SEARCH(search!$B$6,samples!E431,1),0)</f>
        <v>0</v>
      </c>
      <c r="K894" t="str">
        <f>IF(samples!F431=0,"",samples!F431)</f>
        <v/>
      </c>
      <c r="L894">
        <f>IFERROR(SEARCH(search!$B$6,samples!F431,1),0)</f>
        <v>0</v>
      </c>
      <c r="M894" t="str">
        <f>IF(samples!G431=0,"",samples!G431)</f>
        <v/>
      </c>
      <c r="N894">
        <f>IFERROR(SEARCH(search!$B$6,samples!G431,1),0)</f>
        <v>0</v>
      </c>
      <c r="O894" t="str">
        <f>IF(samples!H431=0,"",samples!H431)</f>
        <v/>
      </c>
      <c r="P894">
        <f>IFERROR(SEARCH(search!$B$6,samples!H431,1),0)</f>
        <v>0</v>
      </c>
      <c r="Q894" t="str">
        <f>IF(samples!I431=0,"",samples!I431)</f>
        <v/>
      </c>
      <c r="R894">
        <f>IFERROR(SEARCH(search!$B$6,samples!I431,1),0)</f>
        <v>0</v>
      </c>
      <c r="S894" t="str">
        <f>IF(samples!J431=0,"",samples!J431)</f>
        <v/>
      </c>
      <c r="T894">
        <f>IFERROR(SEARCH(search!$B$6,samples!J431,1),0)</f>
        <v>0</v>
      </c>
      <c r="U894" t="str">
        <f>IF(samples!K431=0,"",samples!K431)</f>
        <v/>
      </c>
      <c r="V894">
        <f>IFERROR(SEARCH(search!$B$6,samples!K431,1),0)</f>
        <v>0</v>
      </c>
      <c r="W894" t="str">
        <f>IF(samples!L431=0,"",samples!L431)</f>
        <v/>
      </c>
      <c r="X894">
        <f>IFERROR(SEARCH(search!$B$6,samples!L431,1),0)</f>
        <v>0</v>
      </c>
      <c r="Y894" t="str">
        <f>IF(samples!M431=0,"",samples!M431)</f>
        <v/>
      </c>
      <c r="Z894">
        <f>IFERROR(SEARCH(search!$B$6,samples!M431,1),0)</f>
        <v>0</v>
      </c>
      <c r="AA894" t="str">
        <f>IF(samples!N431=0,"",samples!N431)</f>
        <v/>
      </c>
      <c r="AB894">
        <f>IFERROR(SEARCH(search!$B$6,samples!N431,1),0)</f>
        <v>0</v>
      </c>
      <c r="AC894" t="str">
        <f>IF(samples!O431=0,"",samples!O431)</f>
        <v/>
      </c>
      <c r="AD894">
        <f>IFERROR(SEARCH(search!$B$6,samples!O431,1),0)</f>
        <v>0</v>
      </c>
    </row>
    <row r="895" spans="1:30">
      <c r="A895">
        <f t="shared" si="13"/>
        <v>0</v>
      </c>
      <c r="B895">
        <f>IF(SUM(D895,F895,H895,J895,L895,N895,P895,R895,T895,V895,X895,Z895,AB895,AD895)&gt;0,SUM($A$2:A895),0)</f>
        <v>0</v>
      </c>
      <c r="C895">
        <f>samples!B432</f>
        <v>0</v>
      </c>
      <c r="D895">
        <f>IFERROR(SEARCH(search!$B$6,samples!B432,1),0)</f>
        <v>0</v>
      </c>
      <c r="E895" t="str">
        <f>IF(samples!C432=0,"",samples!C432)</f>
        <v/>
      </c>
      <c r="F895">
        <f>IFERROR(SEARCH(search!$B$6,samples!C432,1),0)</f>
        <v>0</v>
      </c>
      <c r="G895" t="str">
        <f>IF(samples!D432=0,"",samples!D432)</f>
        <v/>
      </c>
      <c r="H895">
        <f>IFERROR(SEARCH(search!$B$6,samples!D432,1),0)</f>
        <v>0</v>
      </c>
      <c r="I895" t="str">
        <f>IF(samples!E432=0,"",samples!E432)</f>
        <v/>
      </c>
      <c r="J895">
        <f>IFERROR(SEARCH(search!$B$6,samples!E432,1),0)</f>
        <v>0</v>
      </c>
      <c r="K895" t="str">
        <f>IF(samples!F432=0,"",samples!F432)</f>
        <v/>
      </c>
      <c r="L895">
        <f>IFERROR(SEARCH(search!$B$6,samples!F432,1),0)</f>
        <v>0</v>
      </c>
      <c r="M895" t="str">
        <f>IF(samples!G432=0,"",samples!G432)</f>
        <v/>
      </c>
      <c r="N895">
        <f>IFERROR(SEARCH(search!$B$6,samples!G432,1),0)</f>
        <v>0</v>
      </c>
      <c r="O895" t="str">
        <f>IF(samples!H432=0,"",samples!H432)</f>
        <v/>
      </c>
      <c r="P895">
        <f>IFERROR(SEARCH(search!$B$6,samples!H432,1),0)</f>
        <v>0</v>
      </c>
      <c r="Q895" t="str">
        <f>IF(samples!I432=0,"",samples!I432)</f>
        <v/>
      </c>
      <c r="R895">
        <f>IFERROR(SEARCH(search!$B$6,samples!I432,1),0)</f>
        <v>0</v>
      </c>
      <c r="S895" t="str">
        <f>IF(samples!J432=0,"",samples!J432)</f>
        <v/>
      </c>
      <c r="T895">
        <f>IFERROR(SEARCH(search!$B$6,samples!J432,1),0)</f>
        <v>0</v>
      </c>
      <c r="U895" t="str">
        <f>IF(samples!K432=0,"",samples!K432)</f>
        <v/>
      </c>
      <c r="V895">
        <f>IFERROR(SEARCH(search!$B$6,samples!K432,1),0)</f>
        <v>0</v>
      </c>
      <c r="W895" t="str">
        <f>IF(samples!L432=0,"",samples!L432)</f>
        <v/>
      </c>
      <c r="X895">
        <f>IFERROR(SEARCH(search!$B$6,samples!L432,1),0)</f>
        <v>0</v>
      </c>
      <c r="Y895" t="str">
        <f>IF(samples!M432=0,"",samples!M432)</f>
        <v/>
      </c>
      <c r="Z895">
        <f>IFERROR(SEARCH(search!$B$6,samples!M432,1),0)</f>
        <v>0</v>
      </c>
      <c r="AA895" t="str">
        <f>IF(samples!N432=0,"",samples!N432)</f>
        <v/>
      </c>
      <c r="AB895">
        <f>IFERROR(SEARCH(search!$B$6,samples!N432,1),0)</f>
        <v>0</v>
      </c>
      <c r="AC895" t="str">
        <f>IF(samples!O432=0,"",samples!O432)</f>
        <v/>
      </c>
      <c r="AD895">
        <f>IFERROR(SEARCH(search!$B$6,samples!O432,1),0)</f>
        <v>0</v>
      </c>
    </row>
    <row r="896" spans="1:30">
      <c r="A896">
        <f t="shared" si="13"/>
        <v>0</v>
      </c>
      <c r="B896">
        <f>IF(SUM(D896,F896,H896,J896,L896,N896,P896,R896,T896,V896,X896,Z896,AB896,AD896)&gt;0,SUM($A$2:A896),0)</f>
        <v>0</v>
      </c>
      <c r="C896">
        <f>samples!B433</f>
        <v>0</v>
      </c>
      <c r="D896">
        <f>IFERROR(SEARCH(search!$B$6,samples!B433,1),0)</f>
        <v>0</v>
      </c>
      <c r="E896" t="str">
        <f>IF(samples!C433=0,"",samples!C433)</f>
        <v/>
      </c>
      <c r="F896">
        <f>IFERROR(SEARCH(search!$B$6,samples!C433,1),0)</f>
        <v>0</v>
      </c>
      <c r="G896" t="str">
        <f>IF(samples!D433=0,"",samples!D433)</f>
        <v/>
      </c>
      <c r="H896">
        <f>IFERROR(SEARCH(search!$B$6,samples!D433,1),0)</f>
        <v>0</v>
      </c>
      <c r="I896" t="str">
        <f>IF(samples!E433=0,"",samples!E433)</f>
        <v/>
      </c>
      <c r="J896">
        <f>IFERROR(SEARCH(search!$B$6,samples!E433,1),0)</f>
        <v>0</v>
      </c>
      <c r="K896" t="str">
        <f>IF(samples!F433=0,"",samples!F433)</f>
        <v/>
      </c>
      <c r="L896">
        <f>IFERROR(SEARCH(search!$B$6,samples!F433,1),0)</f>
        <v>0</v>
      </c>
      <c r="M896" t="str">
        <f>IF(samples!G433=0,"",samples!G433)</f>
        <v/>
      </c>
      <c r="N896">
        <f>IFERROR(SEARCH(search!$B$6,samples!G433,1),0)</f>
        <v>0</v>
      </c>
      <c r="O896" t="str">
        <f>IF(samples!H433=0,"",samples!H433)</f>
        <v/>
      </c>
      <c r="P896">
        <f>IFERROR(SEARCH(search!$B$6,samples!H433,1),0)</f>
        <v>0</v>
      </c>
      <c r="Q896" t="str">
        <f>IF(samples!I433=0,"",samples!I433)</f>
        <v/>
      </c>
      <c r="R896">
        <f>IFERROR(SEARCH(search!$B$6,samples!I433,1),0)</f>
        <v>0</v>
      </c>
      <c r="S896" t="str">
        <f>IF(samples!J433=0,"",samples!J433)</f>
        <v/>
      </c>
      <c r="T896">
        <f>IFERROR(SEARCH(search!$B$6,samples!J433,1),0)</f>
        <v>0</v>
      </c>
      <c r="U896" t="str">
        <f>IF(samples!K433=0,"",samples!K433)</f>
        <v/>
      </c>
      <c r="V896">
        <f>IFERROR(SEARCH(search!$B$6,samples!K433,1),0)</f>
        <v>0</v>
      </c>
      <c r="W896" t="str">
        <f>IF(samples!L433=0,"",samples!L433)</f>
        <v/>
      </c>
      <c r="X896">
        <f>IFERROR(SEARCH(search!$B$6,samples!L433,1),0)</f>
        <v>0</v>
      </c>
      <c r="Y896" t="str">
        <f>IF(samples!M433=0,"",samples!M433)</f>
        <v/>
      </c>
      <c r="Z896">
        <f>IFERROR(SEARCH(search!$B$6,samples!M433,1),0)</f>
        <v>0</v>
      </c>
      <c r="AA896" t="str">
        <f>IF(samples!N433=0,"",samples!N433)</f>
        <v/>
      </c>
      <c r="AB896">
        <f>IFERROR(SEARCH(search!$B$6,samples!N433,1),0)</f>
        <v>0</v>
      </c>
      <c r="AC896" t="str">
        <f>IF(samples!O433=0,"",samples!O433)</f>
        <v/>
      </c>
      <c r="AD896">
        <f>IFERROR(SEARCH(search!$B$6,samples!O433,1),0)</f>
        <v>0</v>
      </c>
    </row>
    <row r="897" spans="1:30">
      <c r="A897">
        <f t="shared" si="13"/>
        <v>0</v>
      </c>
      <c r="B897">
        <f>IF(SUM(D897,F897,H897,J897,L897,N897,P897,R897,T897,V897,X897,Z897,AB897,AD897)&gt;0,SUM($A$2:A897),0)</f>
        <v>0</v>
      </c>
      <c r="C897">
        <f>samples!B434</f>
        <v>0</v>
      </c>
      <c r="D897">
        <f>IFERROR(SEARCH(search!$B$6,samples!B434,1),0)</f>
        <v>0</v>
      </c>
      <c r="E897" t="str">
        <f>IF(samples!C434=0,"",samples!C434)</f>
        <v/>
      </c>
      <c r="F897">
        <f>IFERROR(SEARCH(search!$B$6,samples!C434,1),0)</f>
        <v>0</v>
      </c>
      <c r="G897" t="str">
        <f>IF(samples!D434=0,"",samples!D434)</f>
        <v/>
      </c>
      <c r="H897">
        <f>IFERROR(SEARCH(search!$B$6,samples!D434,1),0)</f>
        <v>0</v>
      </c>
      <c r="I897" t="str">
        <f>IF(samples!E434=0,"",samples!E434)</f>
        <v/>
      </c>
      <c r="J897">
        <f>IFERROR(SEARCH(search!$B$6,samples!E434,1),0)</f>
        <v>0</v>
      </c>
      <c r="K897" t="str">
        <f>IF(samples!F434=0,"",samples!F434)</f>
        <v/>
      </c>
      <c r="L897">
        <f>IFERROR(SEARCH(search!$B$6,samples!F434,1),0)</f>
        <v>0</v>
      </c>
      <c r="M897" t="str">
        <f>IF(samples!G434=0,"",samples!G434)</f>
        <v/>
      </c>
      <c r="N897">
        <f>IFERROR(SEARCH(search!$B$6,samples!G434,1),0)</f>
        <v>0</v>
      </c>
      <c r="O897" t="str">
        <f>IF(samples!H434=0,"",samples!H434)</f>
        <v/>
      </c>
      <c r="P897">
        <f>IFERROR(SEARCH(search!$B$6,samples!H434,1),0)</f>
        <v>0</v>
      </c>
      <c r="Q897" t="str">
        <f>IF(samples!I434=0,"",samples!I434)</f>
        <v/>
      </c>
      <c r="R897">
        <f>IFERROR(SEARCH(search!$B$6,samples!I434,1),0)</f>
        <v>0</v>
      </c>
      <c r="S897" t="str">
        <f>IF(samples!J434=0,"",samples!J434)</f>
        <v/>
      </c>
      <c r="T897">
        <f>IFERROR(SEARCH(search!$B$6,samples!J434,1),0)</f>
        <v>0</v>
      </c>
      <c r="U897" t="str">
        <f>IF(samples!K434=0,"",samples!K434)</f>
        <v/>
      </c>
      <c r="V897">
        <f>IFERROR(SEARCH(search!$B$6,samples!K434,1),0)</f>
        <v>0</v>
      </c>
      <c r="W897" t="str">
        <f>IF(samples!L434=0,"",samples!L434)</f>
        <v/>
      </c>
      <c r="X897">
        <f>IFERROR(SEARCH(search!$B$6,samples!L434,1),0)</f>
        <v>0</v>
      </c>
      <c r="Y897" t="str">
        <f>IF(samples!M434=0,"",samples!M434)</f>
        <v/>
      </c>
      <c r="Z897">
        <f>IFERROR(SEARCH(search!$B$6,samples!M434,1),0)</f>
        <v>0</v>
      </c>
      <c r="AA897" t="str">
        <f>IF(samples!N434=0,"",samples!N434)</f>
        <v/>
      </c>
      <c r="AB897">
        <f>IFERROR(SEARCH(search!$B$6,samples!N434,1),0)</f>
        <v>0</v>
      </c>
      <c r="AC897" t="str">
        <f>IF(samples!O434=0,"",samples!O434)</f>
        <v/>
      </c>
      <c r="AD897">
        <f>IFERROR(SEARCH(search!$B$6,samples!O434,1),0)</f>
        <v>0</v>
      </c>
    </row>
    <row r="898" spans="1:30">
      <c r="A898">
        <f t="shared" si="13"/>
        <v>0</v>
      </c>
      <c r="B898">
        <f>IF(SUM(D898,F898,H898,J898,L898,N898,P898,R898,T898,V898,X898,Z898,AB898,AD898)&gt;0,SUM($A$2:A898),0)</f>
        <v>0</v>
      </c>
      <c r="C898">
        <f>samples!B435</f>
        <v>0</v>
      </c>
      <c r="D898">
        <f>IFERROR(SEARCH(search!$B$6,samples!B435,1),0)</f>
        <v>0</v>
      </c>
      <c r="E898" t="str">
        <f>IF(samples!C435=0,"",samples!C435)</f>
        <v/>
      </c>
      <c r="F898">
        <f>IFERROR(SEARCH(search!$B$6,samples!C435,1),0)</f>
        <v>0</v>
      </c>
      <c r="G898" t="str">
        <f>IF(samples!D435=0,"",samples!D435)</f>
        <v/>
      </c>
      <c r="H898">
        <f>IFERROR(SEARCH(search!$B$6,samples!D435,1),0)</f>
        <v>0</v>
      </c>
      <c r="I898" t="str">
        <f>IF(samples!E435=0,"",samples!E435)</f>
        <v/>
      </c>
      <c r="J898">
        <f>IFERROR(SEARCH(search!$B$6,samples!E435,1),0)</f>
        <v>0</v>
      </c>
      <c r="K898" t="str">
        <f>IF(samples!F435=0,"",samples!F435)</f>
        <v/>
      </c>
      <c r="L898">
        <f>IFERROR(SEARCH(search!$B$6,samples!F435,1),0)</f>
        <v>0</v>
      </c>
      <c r="M898" t="str">
        <f>IF(samples!G435=0,"",samples!G435)</f>
        <v/>
      </c>
      <c r="N898">
        <f>IFERROR(SEARCH(search!$B$6,samples!G435,1),0)</f>
        <v>0</v>
      </c>
      <c r="O898" t="str">
        <f>IF(samples!H435=0,"",samples!H435)</f>
        <v/>
      </c>
      <c r="P898">
        <f>IFERROR(SEARCH(search!$B$6,samples!H435,1),0)</f>
        <v>0</v>
      </c>
      <c r="Q898" t="str">
        <f>IF(samples!I435=0,"",samples!I435)</f>
        <v/>
      </c>
      <c r="R898">
        <f>IFERROR(SEARCH(search!$B$6,samples!I435,1),0)</f>
        <v>0</v>
      </c>
      <c r="S898" t="str">
        <f>IF(samples!J435=0,"",samples!J435)</f>
        <v/>
      </c>
      <c r="T898">
        <f>IFERROR(SEARCH(search!$B$6,samples!J435,1),0)</f>
        <v>0</v>
      </c>
      <c r="U898" t="str">
        <f>IF(samples!K435=0,"",samples!K435)</f>
        <v/>
      </c>
      <c r="V898">
        <f>IFERROR(SEARCH(search!$B$6,samples!K435,1),0)</f>
        <v>0</v>
      </c>
      <c r="W898" t="str">
        <f>IF(samples!L435=0,"",samples!L435)</f>
        <v/>
      </c>
      <c r="X898">
        <f>IFERROR(SEARCH(search!$B$6,samples!L435,1),0)</f>
        <v>0</v>
      </c>
      <c r="Y898" t="str">
        <f>IF(samples!M435=0,"",samples!M435)</f>
        <v/>
      </c>
      <c r="Z898">
        <f>IFERROR(SEARCH(search!$B$6,samples!M435,1),0)</f>
        <v>0</v>
      </c>
      <c r="AA898" t="str">
        <f>IF(samples!N435=0,"",samples!N435)</f>
        <v/>
      </c>
      <c r="AB898">
        <f>IFERROR(SEARCH(search!$B$6,samples!N435,1),0)</f>
        <v>0</v>
      </c>
      <c r="AC898" t="str">
        <f>IF(samples!O435=0,"",samples!O435)</f>
        <v/>
      </c>
      <c r="AD898">
        <f>IFERROR(SEARCH(search!$B$6,samples!O435,1),0)</f>
        <v>0</v>
      </c>
    </row>
    <row r="899" spans="1:30">
      <c r="A899">
        <f t="shared" ref="A899:A962" si="14">IF(SUM(D899,F899,H899,J899,L899,N899,P899,R899,T899,V899,X899,Z899,AB899,AD899)&gt;0,1,0)</f>
        <v>0</v>
      </c>
      <c r="B899">
        <f>IF(SUM(D899,F899,H899,J899,L899,N899,P899,R899,T899,V899,X899,Z899,AB899,AD899)&gt;0,SUM($A$2:A899),0)</f>
        <v>0</v>
      </c>
      <c r="C899">
        <f>samples!B436</f>
        <v>0</v>
      </c>
      <c r="D899">
        <f>IFERROR(SEARCH(search!$B$6,samples!B436,1),0)</f>
        <v>0</v>
      </c>
      <c r="E899" t="str">
        <f>IF(samples!C436=0,"",samples!C436)</f>
        <v/>
      </c>
      <c r="F899">
        <f>IFERROR(SEARCH(search!$B$6,samples!C436,1),0)</f>
        <v>0</v>
      </c>
      <c r="G899" t="str">
        <f>IF(samples!D436=0,"",samples!D436)</f>
        <v/>
      </c>
      <c r="H899">
        <f>IFERROR(SEARCH(search!$B$6,samples!D436,1),0)</f>
        <v>0</v>
      </c>
      <c r="I899" t="str">
        <f>IF(samples!E436=0,"",samples!E436)</f>
        <v/>
      </c>
      <c r="J899">
        <f>IFERROR(SEARCH(search!$B$6,samples!E436,1),0)</f>
        <v>0</v>
      </c>
      <c r="K899" t="str">
        <f>IF(samples!F436=0,"",samples!F436)</f>
        <v/>
      </c>
      <c r="L899">
        <f>IFERROR(SEARCH(search!$B$6,samples!F436,1),0)</f>
        <v>0</v>
      </c>
      <c r="M899" t="str">
        <f>IF(samples!G436=0,"",samples!G436)</f>
        <v/>
      </c>
      <c r="N899">
        <f>IFERROR(SEARCH(search!$B$6,samples!G436,1),0)</f>
        <v>0</v>
      </c>
      <c r="O899" t="str">
        <f>IF(samples!H436=0,"",samples!H436)</f>
        <v/>
      </c>
      <c r="P899">
        <f>IFERROR(SEARCH(search!$B$6,samples!H436,1),0)</f>
        <v>0</v>
      </c>
      <c r="Q899" t="str">
        <f>IF(samples!I436=0,"",samples!I436)</f>
        <v/>
      </c>
      <c r="R899">
        <f>IFERROR(SEARCH(search!$B$6,samples!I436,1),0)</f>
        <v>0</v>
      </c>
      <c r="S899" t="str">
        <f>IF(samples!J436=0,"",samples!J436)</f>
        <v/>
      </c>
      <c r="T899">
        <f>IFERROR(SEARCH(search!$B$6,samples!J436,1),0)</f>
        <v>0</v>
      </c>
      <c r="U899" t="str">
        <f>IF(samples!K436=0,"",samples!K436)</f>
        <v/>
      </c>
      <c r="V899">
        <f>IFERROR(SEARCH(search!$B$6,samples!K436,1),0)</f>
        <v>0</v>
      </c>
      <c r="W899" t="str">
        <f>IF(samples!L436=0,"",samples!L436)</f>
        <v/>
      </c>
      <c r="X899">
        <f>IFERROR(SEARCH(search!$B$6,samples!L436,1),0)</f>
        <v>0</v>
      </c>
      <c r="Y899" t="str">
        <f>IF(samples!M436=0,"",samples!M436)</f>
        <v/>
      </c>
      <c r="Z899">
        <f>IFERROR(SEARCH(search!$B$6,samples!M436,1),0)</f>
        <v>0</v>
      </c>
      <c r="AA899" t="str">
        <f>IF(samples!N436=0,"",samples!N436)</f>
        <v/>
      </c>
      <c r="AB899">
        <f>IFERROR(SEARCH(search!$B$6,samples!N436,1),0)</f>
        <v>0</v>
      </c>
      <c r="AC899" t="str">
        <f>IF(samples!O436=0,"",samples!O436)</f>
        <v/>
      </c>
      <c r="AD899">
        <f>IFERROR(SEARCH(search!$B$6,samples!O436,1),0)</f>
        <v>0</v>
      </c>
    </row>
    <row r="900" spans="1:30">
      <c r="A900">
        <f t="shared" si="14"/>
        <v>0</v>
      </c>
      <c r="B900">
        <f>IF(SUM(D900,F900,H900,J900,L900,N900,P900,R900,T900,V900,X900,Z900,AB900,AD900)&gt;0,SUM($A$2:A900),0)</f>
        <v>0</v>
      </c>
      <c r="C900">
        <f>samples!B437</f>
        <v>0</v>
      </c>
      <c r="D900">
        <f>IFERROR(SEARCH(search!$B$6,samples!B437,1),0)</f>
        <v>0</v>
      </c>
      <c r="E900" t="str">
        <f>IF(samples!C437=0,"",samples!C437)</f>
        <v/>
      </c>
      <c r="F900">
        <f>IFERROR(SEARCH(search!$B$6,samples!C437,1),0)</f>
        <v>0</v>
      </c>
      <c r="G900" t="str">
        <f>IF(samples!D437=0,"",samples!D437)</f>
        <v/>
      </c>
      <c r="H900">
        <f>IFERROR(SEARCH(search!$B$6,samples!D437,1),0)</f>
        <v>0</v>
      </c>
      <c r="I900" t="str">
        <f>IF(samples!E437=0,"",samples!E437)</f>
        <v/>
      </c>
      <c r="J900">
        <f>IFERROR(SEARCH(search!$B$6,samples!E437,1),0)</f>
        <v>0</v>
      </c>
      <c r="K900" t="str">
        <f>IF(samples!F437=0,"",samples!F437)</f>
        <v/>
      </c>
      <c r="L900">
        <f>IFERROR(SEARCH(search!$B$6,samples!F437,1),0)</f>
        <v>0</v>
      </c>
      <c r="M900" t="str">
        <f>IF(samples!G437=0,"",samples!G437)</f>
        <v/>
      </c>
      <c r="N900">
        <f>IFERROR(SEARCH(search!$B$6,samples!G437,1),0)</f>
        <v>0</v>
      </c>
      <c r="O900" t="str">
        <f>IF(samples!H437=0,"",samples!H437)</f>
        <v/>
      </c>
      <c r="P900">
        <f>IFERROR(SEARCH(search!$B$6,samples!H437,1),0)</f>
        <v>0</v>
      </c>
      <c r="Q900" t="str">
        <f>IF(samples!I437=0,"",samples!I437)</f>
        <v/>
      </c>
      <c r="R900">
        <f>IFERROR(SEARCH(search!$B$6,samples!I437,1),0)</f>
        <v>0</v>
      </c>
      <c r="S900" t="str">
        <f>IF(samples!J437=0,"",samples!J437)</f>
        <v/>
      </c>
      <c r="T900">
        <f>IFERROR(SEARCH(search!$B$6,samples!J437,1),0)</f>
        <v>0</v>
      </c>
      <c r="U900" t="str">
        <f>IF(samples!K437=0,"",samples!K437)</f>
        <v/>
      </c>
      <c r="V900">
        <f>IFERROR(SEARCH(search!$B$6,samples!K437,1),0)</f>
        <v>0</v>
      </c>
      <c r="W900" t="str">
        <f>IF(samples!L437=0,"",samples!L437)</f>
        <v/>
      </c>
      <c r="X900">
        <f>IFERROR(SEARCH(search!$B$6,samples!L437,1),0)</f>
        <v>0</v>
      </c>
      <c r="Y900" t="str">
        <f>IF(samples!M437=0,"",samples!M437)</f>
        <v/>
      </c>
      <c r="Z900">
        <f>IFERROR(SEARCH(search!$B$6,samples!M437,1),0)</f>
        <v>0</v>
      </c>
      <c r="AA900" t="str">
        <f>IF(samples!N437=0,"",samples!N437)</f>
        <v/>
      </c>
      <c r="AB900">
        <f>IFERROR(SEARCH(search!$B$6,samples!N437,1),0)</f>
        <v>0</v>
      </c>
      <c r="AC900" t="str">
        <f>IF(samples!O437=0,"",samples!O437)</f>
        <v/>
      </c>
      <c r="AD900">
        <f>IFERROR(SEARCH(search!$B$6,samples!O437,1),0)</f>
        <v>0</v>
      </c>
    </row>
    <row r="901" spans="1:30">
      <c r="A901">
        <f t="shared" si="14"/>
        <v>0</v>
      </c>
      <c r="B901">
        <f>IF(SUM(D901,F901,H901,J901,L901,N901,P901,R901,T901,V901,X901,Z901,AB901,AD901)&gt;0,SUM($A$2:A901),0)</f>
        <v>0</v>
      </c>
      <c r="C901">
        <f>samples!B438</f>
        <v>0</v>
      </c>
      <c r="D901">
        <f>IFERROR(SEARCH(search!$B$6,samples!B438,1),0)</f>
        <v>0</v>
      </c>
      <c r="E901" t="str">
        <f>IF(samples!C438=0,"",samples!C438)</f>
        <v/>
      </c>
      <c r="F901">
        <f>IFERROR(SEARCH(search!$B$6,samples!C438,1),0)</f>
        <v>0</v>
      </c>
      <c r="G901" t="str">
        <f>IF(samples!D438=0,"",samples!D438)</f>
        <v/>
      </c>
      <c r="H901">
        <f>IFERROR(SEARCH(search!$B$6,samples!D438,1),0)</f>
        <v>0</v>
      </c>
      <c r="I901" t="str">
        <f>IF(samples!E438=0,"",samples!E438)</f>
        <v/>
      </c>
      <c r="J901">
        <f>IFERROR(SEARCH(search!$B$6,samples!E438,1),0)</f>
        <v>0</v>
      </c>
      <c r="K901" t="str">
        <f>IF(samples!F438=0,"",samples!F438)</f>
        <v/>
      </c>
      <c r="L901">
        <f>IFERROR(SEARCH(search!$B$6,samples!F438,1),0)</f>
        <v>0</v>
      </c>
      <c r="M901" t="str">
        <f>IF(samples!G438=0,"",samples!G438)</f>
        <v/>
      </c>
      <c r="N901">
        <f>IFERROR(SEARCH(search!$B$6,samples!G438,1),0)</f>
        <v>0</v>
      </c>
      <c r="O901" t="str">
        <f>IF(samples!H438=0,"",samples!H438)</f>
        <v/>
      </c>
      <c r="P901">
        <f>IFERROR(SEARCH(search!$B$6,samples!H438,1),0)</f>
        <v>0</v>
      </c>
      <c r="Q901" t="str">
        <f>IF(samples!I438=0,"",samples!I438)</f>
        <v/>
      </c>
      <c r="R901">
        <f>IFERROR(SEARCH(search!$B$6,samples!I438,1),0)</f>
        <v>0</v>
      </c>
      <c r="S901" t="str">
        <f>IF(samples!J438=0,"",samples!J438)</f>
        <v/>
      </c>
      <c r="T901">
        <f>IFERROR(SEARCH(search!$B$6,samples!J438,1),0)</f>
        <v>0</v>
      </c>
      <c r="U901" t="str">
        <f>IF(samples!K438=0,"",samples!K438)</f>
        <v/>
      </c>
      <c r="V901">
        <f>IFERROR(SEARCH(search!$B$6,samples!K438,1),0)</f>
        <v>0</v>
      </c>
      <c r="W901" t="str">
        <f>IF(samples!L438=0,"",samples!L438)</f>
        <v/>
      </c>
      <c r="X901">
        <f>IFERROR(SEARCH(search!$B$6,samples!L438,1),0)</f>
        <v>0</v>
      </c>
      <c r="Y901" t="str">
        <f>IF(samples!M438=0,"",samples!M438)</f>
        <v/>
      </c>
      <c r="Z901">
        <f>IFERROR(SEARCH(search!$B$6,samples!M438,1),0)</f>
        <v>0</v>
      </c>
      <c r="AA901" t="str">
        <f>IF(samples!N438=0,"",samples!N438)</f>
        <v/>
      </c>
      <c r="AB901">
        <f>IFERROR(SEARCH(search!$B$6,samples!N438,1),0)</f>
        <v>0</v>
      </c>
      <c r="AC901" t="str">
        <f>IF(samples!O438=0,"",samples!O438)</f>
        <v/>
      </c>
      <c r="AD901">
        <f>IFERROR(SEARCH(search!$B$6,samples!O438,1),0)</f>
        <v>0</v>
      </c>
    </row>
    <row r="902" spans="1:30">
      <c r="A902">
        <f t="shared" si="14"/>
        <v>0</v>
      </c>
      <c r="B902">
        <f>IF(SUM(D902,F902,H902,J902,L902,N902,P902,R902,T902,V902,X902,Z902,AB902,AD902)&gt;0,SUM($A$2:A902),0)</f>
        <v>0</v>
      </c>
      <c r="C902">
        <f>samples!B439</f>
        <v>0</v>
      </c>
      <c r="D902">
        <f>IFERROR(SEARCH(search!$B$6,samples!B439,1),0)</f>
        <v>0</v>
      </c>
      <c r="E902" t="str">
        <f>IF(samples!C439=0,"",samples!C439)</f>
        <v/>
      </c>
      <c r="F902">
        <f>IFERROR(SEARCH(search!$B$6,samples!C439,1),0)</f>
        <v>0</v>
      </c>
      <c r="G902" t="str">
        <f>IF(samples!D439=0,"",samples!D439)</f>
        <v/>
      </c>
      <c r="H902">
        <f>IFERROR(SEARCH(search!$B$6,samples!D439,1),0)</f>
        <v>0</v>
      </c>
      <c r="I902" t="str">
        <f>IF(samples!E439=0,"",samples!E439)</f>
        <v/>
      </c>
      <c r="J902">
        <f>IFERROR(SEARCH(search!$B$6,samples!E439,1),0)</f>
        <v>0</v>
      </c>
      <c r="K902" t="str">
        <f>IF(samples!F439=0,"",samples!F439)</f>
        <v/>
      </c>
      <c r="L902">
        <f>IFERROR(SEARCH(search!$B$6,samples!F439,1),0)</f>
        <v>0</v>
      </c>
      <c r="M902" t="str">
        <f>IF(samples!G439=0,"",samples!G439)</f>
        <v/>
      </c>
      <c r="N902">
        <f>IFERROR(SEARCH(search!$B$6,samples!G439,1),0)</f>
        <v>0</v>
      </c>
      <c r="O902" t="str">
        <f>IF(samples!H439=0,"",samples!H439)</f>
        <v/>
      </c>
      <c r="P902">
        <f>IFERROR(SEARCH(search!$B$6,samples!H439,1),0)</f>
        <v>0</v>
      </c>
      <c r="Q902" t="str">
        <f>IF(samples!I439=0,"",samples!I439)</f>
        <v/>
      </c>
      <c r="R902">
        <f>IFERROR(SEARCH(search!$B$6,samples!I439,1),0)</f>
        <v>0</v>
      </c>
      <c r="S902" t="str">
        <f>IF(samples!J439=0,"",samples!J439)</f>
        <v/>
      </c>
      <c r="T902">
        <f>IFERROR(SEARCH(search!$B$6,samples!J439,1),0)</f>
        <v>0</v>
      </c>
      <c r="U902" t="str">
        <f>IF(samples!K439=0,"",samples!K439)</f>
        <v/>
      </c>
      <c r="V902">
        <f>IFERROR(SEARCH(search!$B$6,samples!K439,1),0)</f>
        <v>0</v>
      </c>
      <c r="W902" t="str">
        <f>IF(samples!L439=0,"",samples!L439)</f>
        <v/>
      </c>
      <c r="X902">
        <f>IFERROR(SEARCH(search!$B$6,samples!L439,1),0)</f>
        <v>0</v>
      </c>
      <c r="Y902" t="str">
        <f>IF(samples!M439=0,"",samples!M439)</f>
        <v/>
      </c>
      <c r="Z902">
        <f>IFERROR(SEARCH(search!$B$6,samples!M439,1),0)</f>
        <v>0</v>
      </c>
      <c r="AA902" t="str">
        <f>IF(samples!N439=0,"",samples!N439)</f>
        <v/>
      </c>
      <c r="AB902">
        <f>IFERROR(SEARCH(search!$B$6,samples!N439,1),0)</f>
        <v>0</v>
      </c>
      <c r="AC902" t="str">
        <f>IF(samples!O439=0,"",samples!O439)</f>
        <v/>
      </c>
      <c r="AD902">
        <f>IFERROR(SEARCH(search!$B$6,samples!O439,1),0)</f>
        <v>0</v>
      </c>
    </row>
    <row r="903" spans="1:30">
      <c r="A903">
        <f t="shared" si="14"/>
        <v>0</v>
      </c>
      <c r="B903">
        <f>IF(SUM(D903,F903,H903,J903,L903,N903,P903,R903,T903,V903,X903,Z903,AB903,AD903)&gt;0,SUM($A$2:A903),0)</f>
        <v>0</v>
      </c>
      <c r="C903">
        <f>samples!B440</f>
        <v>0</v>
      </c>
      <c r="D903">
        <f>IFERROR(SEARCH(search!$B$6,samples!B440,1),0)</f>
        <v>0</v>
      </c>
      <c r="E903" t="str">
        <f>IF(samples!C440=0,"",samples!C440)</f>
        <v/>
      </c>
      <c r="F903">
        <f>IFERROR(SEARCH(search!$B$6,samples!C440,1),0)</f>
        <v>0</v>
      </c>
      <c r="G903" t="str">
        <f>IF(samples!D440=0,"",samples!D440)</f>
        <v/>
      </c>
      <c r="H903">
        <f>IFERROR(SEARCH(search!$B$6,samples!D440,1),0)</f>
        <v>0</v>
      </c>
      <c r="I903" t="str">
        <f>IF(samples!E440=0,"",samples!E440)</f>
        <v/>
      </c>
      <c r="J903">
        <f>IFERROR(SEARCH(search!$B$6,samples!E440,1),0)</f>
        <v>0</v>
      </c>
      <c r="K903" t="str">
        <f>IF(samples!F440=0,"",samples!F440)</f>
        <v/>
      </c>
      <c r="L903">
        <f>IFERROR(SEARCH(search!$B$6,samples!F440,1),0)</f>
        <v>0</v>
      </c>
      <c r="M903" t="str">
        <f>IF(samples!G440=0,"",samples!G440)</f>
        <v/>
      </c>
      <c r="N903">
        <f>IFERROR(SEARCH(search!$B$6,samples!G440,1),0)</f>
        <v>0</v>
      </c>
      <c r="O903" t="str">
        <f>IF(samples!H440=0,"",samples!H440)</f>
        <v/>
      </c>
      <c r="P903">
        <f>IFERROR(SEARCH(search!$B$6,samples!H440,1),0)</f>
        <v>0</v>
      </c>
      <c r="Q903" t="str">
        <f>IF(samples!I440=0,"",samples!I440)</f>
        <v/>
      </c>
      <c r="R903">
        <f>IFERROR(SEARCH(search!$B$6,samples!I440,1),0)</f>
        <v>0</v>
      </c>
      <c r="S903" t="str">
        <f>IF(samples!J440=0,"",samples!J440)</f>
        <v/>
      </c>
      <c r="T903">
        <f>IFERROR(SEARCH(search!$B$6,samples!J440,1),0)</f>
        <v>0</v>
      </c>
      <c r="U903" t="str">
        <f>IF(samples!K440=0,"",samples!K440)</f>
        <v/>
      </c>
      <c r="V903">
        <f>IFERROR(SEARCH(search!$B$6,samples!K440,1),0)</f>
        <v>0</v>
      </c>
      <c r="W903" t="str">
        <f>IF(samples!L440=0,"",samples!L440)</f>
        <v/>
      </c>
      <c r="X903">
        <f>IFERROR(SEARCH(search!$B$6,samples!L440,1),0)</f>
        <v>0</v>
      </c>
      <c r="Y903" t="str">
        <f>IF(samples!M440=0,"",samples!M440)</f>
        <v/>
      </c>
      <c r="Z903">
        <f>IFERROR(SEARCH(search!$B$6,samples!M440,1),0)</f>
        <v>0</v>
      </c>
      <c r="AA903" t="str">
        <f>IF(samples!N440=0,"",samples!N440)</f>
        <v/>
      </c>
      <c r="AB903">
        <f>IFERROR(SEARCH(search!$B$6,samples!N440,1),0)</f>
        <v>0</v>
      </c>
      <c r="AC903" t="str">
        <f>IF(samples!O440=0,"",samples!O440)</f>
        <v/>
      </c>
      <c r="AD903">
        <f>IFERROR(SEARCH(search!$B$6,samples!O440,1),0)</f>
        <v>0</v>
      </c>
    </row>
    <row r="904" spans="1:30">
      <c r="A904">
        <f t="shared" si="14"/>
        <v>0</v>
      </c>
      <c r="B904">
        <f>IF(SUM(D904,F904,H904,J904,L904,N904,P904,R904,T904,V904,X904,Z904,AB904,AD904)&gt;0,SUM($A$2:A904),0)</f>
        <v>0</v>
      </c>
      <c r="C904">
        <f>samples!B441</f>
        <v>0</v>
      </c>
      <c r="D904">
        <f>IFERROR(SEARCH(search!$B$6,samples!B441,1),0)</f>
        <v>0</v>
      </c>
      <c r="E904" t="str">
        <f>IF(samples!C441=0,"",samples!C441)</f>
        <v/>
      </c>
      <c r="F904">
        <f>IFERROR(SEARCH(search!$B$6,samples!C441,1),0)</f>
        <v>0</v>
      </c>
      <c r="G904" t="str">
        <f>IF(samples!D441=0,"",samples!D441)</f>
        <v/>
      </c>
      <c r="H904">
        <f>IFERROR(SEARCH(search!$B$6,samples!D441,1),0)</f>
        <v>0</v>
      </c>
      <c r="I904" t="str">
        <f>IF(samples!E441=0,"",samples!E441)</f>
        <v/>
      </c>
      <c r="J904">
        <f>IFERROR(SEARCH(search!$B$6,samples!E441,1),0)</f>
        <v>0</v>
      </c>
      <c r="K904" t="str">
        <f>IF(samples!F441=0,"",samples!F441)</f>
        <v/>
      </c>
      <c r="L904">
        <f>IFERROR(SEARCH(search!$B$6,samples!F441,1),0)</f>
        <v>0</v>
      </c>
      <c r="M904" t="str">
        <f>IF(samples!G441=0,"",samples!G441)</f>
        <v/>
      </c>
      <c r="N904">
        <f>IFERROR(SEARCH(search!$B$6,samples!G441,1),0)</f>
        <v>0</v>
      </c>
      <c r="O904" t="str">
        <f>IF(samples!H441=0,"",samples!H441)</f>
        <v/>
      </c>
      <c r="P904">
        <f>IFERROR(SEARCH(search!$B$6,samples!H441,1),0)</f>
        <v>0</v>
      </c>
      <c r="Q904" t="str">
        <f>IF(samples!I441=0,"",samples!I441)</f>
        <v/>
      </c>
      <c r="R904">
        <f>IFERROR(SEARCH(search!$B$6,samples!I441,1),0)</f>
        <v>0</v>
      </c>
      <c r="S904" t="str">
        <f>IF(samples!J441=0,"",samples!J441)</f>
        <v/>
      </c>
      <c r="T904">
        <f>IFERROR(SEARCH(search!$B$6,samples!J441,1),0)</f>
        <v>0</v>
      </c>
      <c r="U904" t="str">
        <f>IF(samples!K441=0,"",samples!K441)</f>
        <v/>
      </c>
      <c r="V904">
        <f>IFERROR(SEARCH(search!$B$6,samples!K441,1),0)</f>
        <v>0</v>
      </c>
      <c r="W904" t="str">
        <f>IF(samples!L441=0,"",samples!L441)</f>
        <v/>
      </c>
      <c r="X904">
        <f>IFERROR(SEARCH(search!$B$6,samples!L441,1),0)</f>
        <v>0</v>
      </c>
      <c r="Y904" t="str">
        <f>IF(samples!M441=0,"",samples!M441)</f>
        <v/>
      </c>
      <c r="Z904">
        <f>IFERROR(SEARCH(search!$B$6,samples!M441,1),0)</f>
        <v>0</v>
      </c>
      <c r="AA904" t="str">
        <f>IF(samples!N441=0,"",samples!N441)</f>
        <v/>
      </c>
      <c r="AB904">
        <f>IFERROR(SEARCH(search!$B$6,samples!N441,1),0)</f>
        <v>0</v>
      </c>
      <c r="AC904" t="str">
        <f>IF(samples!O441=0,"",samples!O441)</f>
        <v/>
      </c>
      <c r="AD904">
        <f>IFERROR(SEARCH(search!$B$6,samples!O441,1),0)</f>
        <v>0</v>
      </c>
    </row>
    <row r="905" spans="1:30">
      <c r="A905">
        <f t="shared" si="14"/>
        <v>0</v>
      </c>
      <c r="B905">
        <f>IF(SUM(D905,F905,H905,J905,L905,N905,P905,R905,T905,V905,X905,Z905,AB905,AD905)&gt;0,SUM($A$2:A905),0)</f>
        <v>0</v>
      </c>
      <c r="C905">
        <f>samples!B442</f>
        <v>0</v>
      </c>
      <c r="D905">
        <f>IFERROR(SEARCH(search!$B$6,samples!B442,1),0)</f>
        <v>0</v>
      </c>
      <c r="E905" t="str">
        <f>IF(samples!C442=0,"",samples!C442)</f>
        <v/>
      </c>
      <c r="F905">
        <f>IFERROR(SEARCH(search!$B$6,samples!C442,1),0)</f>
        <v>0</v>
      </c>
      <c r="G905" t="str">
        <f>IF(samples!D442=0,"",samples!D442)</f>
        <v/>
      </c>
      <c r="H905">
        <f>IFERROR(SEARCH(search!$B$6,samples!D442,1),0)</f>
        <v>0</v>
      </c>
      <c r="I905" t="str">
        <f>IF(samples!E442=0,"",samples!E442)</f>
        <v/>
      </c>
      <c r="J905">
        <f>IFERROR(SEARCH(search!$B$6,samples!E442,1),0)</f>
        <v>0</v>
      </c>
      <c r="K905" t="str">
        <f>IF(samples!F442=0,"",samples!F442)</f>
        <v/>
      </c>
      <c r="L905">
        <f>IFERROR(SEARCH(search!$B$6,samples!F442,1),0)</f>
        <v>0</v>
      </c>
      <c r="M905" t="str">
        <f>IF(samples!G442=0,"",samples!G442)</f>
        <v/>
      </c>
      <c r="N905">
        <f>IFERROR(SEARCH(search!$B$6,samples!G442,1),0)</f>
        <v>0</v>
      </c>
      <c r="O905" t="str">
        <f>IF(samples!H442=0,"",samples!H442)</f>
        <v/>
      </c>
      <c r="P905">
        <f>IFERROR(SEARCH(search!$B$6,samples!H442,1),0)</f>
        <v>0</v>
      </c>
      <c r="Q905" t="str">
        <f>IF(samples!I442=0,"",samples!I442)</f>
        <v/>
      </c>
      <c r="R905">
        <f>IFERROR(SEARCH(search!$B$6,samples!I442,1),0)</f>
        <v>0</v>
      </c>
      <c r="S905" t="str">
        <f>IF(samples!J442=0,"",samples!J442)</f>
        <v/>
      </c>
      <c r="T905">
        <f>IFERROR(SEARCH(search!$B$6,samples!J442,1),0)</f>
        <v>0</v>
      </c>
      <c r="U905" t="str">
        <f>IF(samples!K442=0,"",samples!K442)</f>
        <v/>
      </c>
      <c r="V905">
        <f>IFERROR(SEARCH(search!$B$6,samples!K442,1),0)</f>
        <v>0</v>
      </c>
      <c r="W905" t="str">
        <f>IF(samples!L442=0,"",samples!L442)</f>
        <v/>
      </c>
      <c r="X905">
        <f>IFERROR(SEARCH(search!$B$6,samples!L442,1),0)</f>
        <v>0</v>
      </c>
      <c r="Y905" t="str">
        <f>IF(samples!M442=0,"",samples!M442)</f>
        <v/>
      </c>
      <c r="Z905">
        <f>IFERROR(SEARCH(search!$B$6,samples!M442,1),0)</f>
        <v>0</v>
      </c>
      <c r="AA905" t="str">
        <f>IF(samples!N442=0,"",samples!N442)</f>
        <v/>
      </c>
      <c r="AB905">
        <f>IFERROR(SEARCH(search!$B$6,samples!N442,1),0)</f>
        <v>0</v>
      </c>
      <c r="AC905" t="str">
        <f>IF(samples!O442=0,"",samples!O442)</f>
        <v/>
      </c>
      <c r="AD905">
        <f>IFERROR(SEARCH(search!$B$6,samples!O442,1),0)</f>
        <v>0</v>
      </c>
    </row>
    <row r="906" spans="1:30">
      <c r="A906">
        <f t="shared" si="14"/>
        <v>0</v>
      </c>
      <c r="B906">
        <f>IF(SUM(D906,F906,H906,J906,L906,N906,P906,R906,T906,V906,X906,Z906,AB906,AD906)&gt;0,SUM($A$2:A906),0)</f>
        <v>0</v>
      </c>
      <c r="C906">
        <f>samples!B443</f>
        <v>0</v>
      </c>
      <c r="D906">
        <f>IFERROR(SEARCH(search!$B$6,samples!B443,1),0)</f>
        <v>0</v>
      </c>
      <c r="E906" t="str">
        <f>IF(samples!C443=0,"",samples!C443)</f>
        <v/>
      </c>
      <c r="F906">
        <f>IFERROR(SEARCH(search!$B$6,samples!C443,1),0)</f>
        <v>0</v>
      </c>
      <c r="G906" t="str">
        <f>IF(samples!D443=0,"",samples!D443)</f>
        <v/>
      </c>
      <c r="H906">
        <f>IFERROR(SEARCH(search!$B$6,samples!D443,1),0)</f>
        <v>0</v>
      </c>
      <c r="I906" t="str">
        <f>IF(samples!E443=0,"",samples!E443)</f>
        <v/>
      </c>
      <c r="J906">
        <f>IFERROR(SEARCH(search!$B$6,samples!E443,1),0)</f>
        <v>0</v>
      </c>
      <c r="K906" t="str">
        <f>IF(samples!F443=0,"",samples!F443)</f>
        <v/>
      </c>
      <c r="L906">
        <f>IFERROR(SEARCH(search!$B$6,samples!F443,1),0)</f>
        <v>0</v>
      </c>
      <c r="M906" t="str">
        <f>IF(samples!G443=0,"",samples!G443)</f>
        <v/>
      </c>
      <c r="N906">
        <f>IFERROR(SEARCH(search!$B$6,samples!G443,1),0)</f>
        <v>0</v>
      </c>
      <c r="O906" t="str">
        <f>IF(samples!H443=0,"",samples!H443)</f>
        <v/>
      </c>
      <c r="P906">
        <f>IFERROR(SEARCH(search!$B$6,samples!H443,1),0)</f>
        <v>0</v>
      </c>
      <c r="Q906" t="str">
        <f>IF(samples!I443=0,"",samples!I443)</f>
        <v/>
      </c>
      <c r="R906">
        <f>IFERROR(SEARCH(search!$B$6,samples!I443,1),0)</f>
        <v>0</v>
      </c>
      <c r="S906" t="str">
        <f>IF(samples!J443=0,"",samples!J443)</f>
        <v/>
      </c>
      <c r="T906">
        <f>IFERROR(SEARCH(search!$B$6,samples!J443,1),0)</f>
        <v>0</v>
      </c>
      <c r="U906" t="str">
        <f>IF(samples!K443=0,"",samples!K443)</f>
        <v/>
      </c>
      <c r="V906">
        <f>IFERROR(SEARCH(search!$B$6,samples!K443,1),0)</f>
        <v>0</v>
      </c>
      <c r="W906" t="str">
        <f>IF(samples!L443=0,"",samples!L443)</f>
        <v/>
      </c>
      <c r="X906">
        <f>IFERROR(SEARCH(search!$B$6,samples!L443,1),0)</f>
        <v>0</v>
      </c>
      <c r="Y906" t="str">
        <f>IF(samples!M443=0,"",samples!M443)</f>
        <v/>
      </c>
      <c r="Z906">
        <f>IFERROR(SEARCH(search!$B$6,samples!M443,1),0)</f>
        <v>0</v>
      </c>
      <c r="AA906" t="str">
        <f>IF(samples!N443=0,"",samples!N443)</f>
        <v/>
      </c>
      <c r="AB906">
        <f>IFERROR(SEARCH(search!$B$6,samples!N443,1),0)</f>
        <v>0</v>
      </c>
      <c r="AC906" t="str">
        <f>IF(samples!O443=0,"",samples!O443)</f>
        <v/>
      </c>
      <c r="AD906">
        <f>IFERROR(SEARCH(search!$B$6,samples!O443,1),0)</f>
        <v>0</v>
      </c>
    </row>
    <row r="907" spans="1:30">
      <c r="A907">
        <f t="shared" si="14"/>
        <v>0</v>
      </c>
      <c r="B907">
        <f>IF(SUM(D907,F907,H907,J907,L907,N907,P907,R907,T907,V907,X907,Z907,AB907,AD907)&gt;0,SUM($A$2:A907),0)</f>
        <v>0</v>
      </c>
      <c r="C907">
        <f>samples!B444</f>
        <v>0</v>
      </c>
      <c r="D907">
        <f>IFERROR(SEARCH(search!$B$6,samples!B444,1),0)</f>
        <v>0</v>
      </c>
      <c r="E907" t="str">
        <f>IF(samples!C444=0,"",samples!C444)</f>
        <v/>
      </c>
      <c r="F907">
        <f>IFERROR(SEARCH(search!$B$6,samples!C444,1),0)</f>
        <v>0</v>
      </c>
      <c r="G907" t="str">
        <f>IF(samples!D444=0,"",samples!D444)</f>
        <v/>
      </c>
      <c r="H907">
        <f>IFERROR(SEARCH(search!$B$6,samples!D444,1),0)</f>
        <v>0</v>
      </c>
      <c r="I907" t="str">
        <f>IF(samples!E444=0,"",samples!E444)</f>
        <v/>
      </c>
      <c r="J907">
        <f>IFERROR(SEARCH(search!$B$6,samples!E444,1),0)</f>
        <v>0</v>
      </c>
      <c r="K907" t="str">
        <f>IF(samples!F444=0,"",samples!F444)</f>
        <v/>
      </c>
      <c r="L907">
        <f>IFERROR(SEARCH(search!$B$6,samples!F444,1),0)</f>
        <v>0</v>
      </c>
      <c r="M907" t="str">
        <f>IF(samples!G444=0,"",samples!G444)</f>
        <v/>
      </c>
      <c r="N907">
        <f>IFERROR(SEARCH(search!$B$6,samples!G444,1),0)</f>
        <v>0</v>
      </c>
      <c r="O907" t="str">
        <f>IF(samples!H444=0,"",samples!H444)</f>
        <v/>
      </c>
      <c r="P907">
        <f>IFERROR(SEARCH(search!$B$6,samples!H444,1),0)</f>
        <v>0</v>
      </c>
      <c r="Q907" t="str">
        <f>IF(samples!I444=0,"",samples!I444)</f>
        <v/>
      </c>
      <c r="R907">
        <f>IFERROR(SEARCH(search!$B$6,samples!I444,1),0)</f>
        <v>0</v>
      </c>
      <c r="S907" t="str">
        <f>IF(samples!J444=0,"",samples!J444)</f>
        <v/>
      </c>
      <c r="T907">
        <f>IFERROR(SEARCH(search!$B$6,samples!J444,1),0)</f>
        <v>0</v>
      </c>
      <c r="U907" t="str">
        <f>IF(samples!K444=0,"",samples!K444)</f>
        <v/>
      </c>
      <c r="V907">
        <f>IFERROR(SEARCH(search!$B$6,samples!K444,1),0)</f>
        <v>0</v>
      </c>
      <c r="W907" t="str">
        <f>IF(samples!L444=0,"",samples!L444)</f>
        <v/>
      </c>
      <c r="X907">
        <f>IFERROR(SEARCH(search!$B$6,samples!L444,1),0)</f>
        <v>0</v>
      </c>
      <c r="Y907" t="str">
        <f>IF(samples!M444=0,"",samples!M444)</f>
        <v/>
      </c>
      <c r="Z907">
        <f>IFERROR(SEARCH(search!$B$6,samples!M444,1),0)</f>
        <v>0</v>
      </c>
      <c r="AA907" t="str">
        <f>IF(samples!N444=0,"",samples!N444)</f>
        <v/>
      </c>
      <c r="AB907">
        <f>IFERROR(SEARCH(search!$B$6,samples!N444,1),0)</f>
        <v>0</v>
      </c>
      <c r="AC907" t="str">
        <f>IF(samples!O444=0,"",samples!O444)</f>
        <v/>
      </c>
      <c r="AD907">
        <f>IFERROR(SEARCH(search!$B$6,samples!O444,1),0)</f>
        <v>0</v>
      </c>
    </row>
    <row r="908" spans="1:30">
      <c r="A908">
        <f t="shared" si="14"/>
        <v>0</v>
      </c>
      <c r="B908">
        <f>IF(SUM(D908,F908,H908,J908,L908,N908,P908,R908,T908,V908,X908,Z908,AB908,AD908)&gt;0,SUM($A$2:A908),0)</f>
        <v>0</v>
      </c>
      <c r="C908">
        <f>samples!B445</f>
        <v>0</v>
      </c>
      <c r="D908">
        <f>IFERROR(SEARCH(search!$B$6,samples!B445,1),0)</f>
        <v>0</v>
      </c>
      <c r="E908" t="str">
        <f>IF(samples!C445=0,"",samples!C445)</f>
        <v/>
      </c>
      <c r="F908">
        <f>IFERROR(SEARCH(search!$B$6,samples!C445,1),0)</f>
        <v>0</v>
      </c>
      <c r="G908" t="str">
        <f>IF(samples!D445=0,"",samples!D445)</f>
        <v/>
      </c>
      <c r="H908">
        <f>IFERROR(SEARCH(search!$B$6,samples!D445,1),0)</f>
        <v>0</v>
      </c>
      <c r="I908" t="str">
        <f>IF(samples!E445=0,"",samples!E445)</f>
        <v/>
      </c>
      <c r="J908">
        <f>IFERROR(SEARCH(search!$B$6,samples!E445,1),0)</f>
        <v>0</v>
      </c>
      <c r="K908" t="str">
        <f>IF(samples!F445=0,"",samples!F445)</f>
        <v/>
      </c>
      <c r="L908">
        <f>IFERROR(SEARCH(search!$B$6,samples!F445,1),0)</f>
        <v>0</v>
      </c>
      <c r="M908" t="str">
        <f>IF(samples!G445=0,"",samples!G445)</f>
        <v/>
      </c>
      <c r="N908">
        <f>IFERROR(SEARCH(search!$B$6,samples!G445,1),0)</f>
        <v>0</v>
      </c>
      <c r="O908" t="str">
        <f>IF(samples!H445=0,"",samples!H445)</f>
        <v/>
      </c>
      <c r="P908">
        <f>IFERROR(SEARCH(search!$B$6,samples!H445,1),0)</f>
        <v>0</v>
      </c>
      <c r="Q908" t="str">
        <f>IF(samples!I445=0,"",samples!I445)</f>
        <v/>
      </c>
      <c r="R908">
        <f>IFERROR(SEARCH(search!$B$6,samples!I445,1),0)</f>
        <v>0</v>
      </c>
      <c r="S908" t="str">
        <f>IF(samples!J445=0,"",samples!J445)</f>
        <v/>
      </c>
      <c r="T908">
        <f>IFERROR(SEARCH(search!$B$6,samples!J445,1),0)</f>
        <v>0</v>
      </c>
      <c r="U908" t="str">
        <f>IF(samples!K445=0,"",samples!K445)</f>
        <v/>
      </c>
      <c r="V908">
        <f>IFERROR(SEARCH(search!$B$6,samples!K445,1),0)</f>
        <v>0</v>
      </c>
      <c r="W908" t="str">
        <f>IF(samples!L445=0,"",samples!L445)</f>
        <v/>
      </c>
      <c r="X908">
        <f>IFERROR(SEARCH(search!$B$6,samples!L445,1),0)</f>
        <v>0</v>
      </c>
      <c r="Y908" t="str">
        <f>IF(samples!M445=0,"",samples!M445)</f>
        <v/>
      </c>
      <c r="Z908">
        <f>IFERROR(SEARCH(search!$B$6,samples!M445,1),0)</f>
        <v>0</v>
      </c>
      <c r="AA908" t="str">
        <f>IF(samples!N445=0,"",samples!N445)</f>
        <v/>
      </c>
      <c r="AB908">
        <f>IFERROR(SEARCH(search!$B$6,samples!N445,1),0)</f>
        <v>0</v>
      </c>
      <c r="AC908" t="str">
        <f>IF(samples!O445=0,"",samples!O445)</f>
        <v/>
      </c>
      <c r="AD908">
        <f>IFERROR(SEARCH(search!$B$6,samples!O445,1),0)</f>
        <v>0</v>
      </c>
    </row>
    <row r="909" spans="1:30">
      <c r="A909">
        <f t="shared" si="14"/>
        <v>0</v>
      </c>
      <c r="B909">
        <f>IF(SUM(D909,F909,H909,J909,L909,N909,P909,R909,T909,V909,X909,Z909,AB909,AD909)&gt;0,SUM($A$2:A909),0)</f>
        <v>0</v>
      </c>
      <c r="C909">
        <f>samples!B446</f>
        <v>0</v>
      </c>
      <c r="D909">
        <f>IFERROR(SEARCH(search!$B$6,samples!B446,1),0)</f>
        <v>0</v>
      </c>
      <c r="E909" t="str">
        <f>IF(samples!C446=0,"",samples!C446)</f>
        <v/>
      </c>
      <c r="F909">
        <f>IFERROR(SEARCH(search!$B$6,samples!C446,1),0)</f>
        <v>0</v>
      </c>
      <c r="G909" t="str">
        <f>IF(samples!D446=0,"",samples!D446)</f>
        <v/>
      </c>
      <c r="H909">
        <f>IFERROR(SEARCH(search!$B$6,samples!D446,1),0)</f>
        <v>0</v>
      </c>
      <c r="I909" t="str">
        <f>IF(samples!E446=0,"",samples!E446)</f>
        <v/>
      </c>
      <c r="J909">
        <f>IFERROR(SEARCH(search!$B$6,samples!E446,1),0)</f>
        <v>0</v>
      </c>
      <c r="K909" t="str">
        <f>IF(samples!F446=0,"",samples!F446)</f>
        <v/>
      </c>
      <c r="L909">
        <f>IFERROR(SEARCH(search!$B$6,samples!F446,1),0)</f>
        <v>0</v>
      </c>
      <c r="M909" t="str">
        <f>IF(samples!G446=0,"",samples!G446)</f>
        <v/>
      </c>
      <c r="N909">
        <f>IFERROR(SEARCH(search!$B$6,samples!G446,1),0)</f>
        <v>0</v>
      </c>
      <c r="O909" t="str">
        <f>IF(samples!H446=0,"",samples!H446)</f>
        <v/>
      </c>
      <c r="P909">
        <f>IFERROR(SEARCH(search!$B$6,samples!H446,1),0)</f>
        <v>0</v>
      </c>
      <c r="Q909" t="str">
        <f>IF(samples!I446=0,"",samples!I446)</f>
        <v/>
      </c>
      <c r="R909">
        <f>IFERROR(SEARCH(search!$B$6,samples!I446,1),0)</f>
        <v>0</v>
      </c>
      <c r="S909" t="str">
        <f>IF(samples!J446=0,"",samples!J446)</f>
        <v/>
      </c>
      <c r="T909">
        <f>IFERROR(SEARCH(search!$B$6,samples!J446,1),0)</f>
        <v>0</v>
      </c>
      <c r="U909" t="str">
        <f>IF(samples!K446=0,"",samples!K446)</f>
        <v/>
      </c>
      <c r="V909">
        <f>IFERROR(SEARCH(search!$B$6,samples!K446,1),0)</f>
        <v>0</v>
      </c>
      <c r="W909" t="str">
        <f>IF(samples!L446=0,"",samples!L446)</f>
        <v/>
      </c>
      <c r="X909">
        <f>IFERROR(SEARCH(search!$B$6,samples!L446,1),0)</f>
        <v>0</v>
      </c>
      <c r="Y909" t="str">
        <f>IF(samples!M446=0,"",samples!M446)</f>
        <v/>
      </c>
      <c r="Z909">
        <f>IFERROR(SEARCH(search!$B$6,samples!M446,1),0)</f>
        <v>0</v>
      </c>
      <c r="AA909" t="str">
        <f>IF(samples!N446=0,"",samples!N446)</f>
        <v/>
      </c>
      <c r="AB909">
        <f>IFERROR(SEARCH(search!$B$6,samples!N446,1),0)</f>
        <v>0</v>
      </c>
      <c r="AC909" t="str">
        <f>IF(samples!O446=0,"",samples!O446)</f>
        <v/>
      </c>
      <c r="AD909">
        <f>IFERROR(SEARCH(search!$B$6,samples!O446,1),0)</f>
        <v>0</v>
      </c>
    </row>
    <row r="910" spans="1:30">
      <c r="A910">
        <f t="shared" si="14"/>
        <v>0</v>
      </c>
      <c r="B910">
        <f>IF(SUM(D910,F910,H910,J910,L910,N910,P910,R910,T910,V910,X910,Z910,AB910,AD910)&gt;0,SUM($A$2:A910),0)</f>
        <v>0</v>
      </c>
      <c r="C910">
        <f>samples!B447</f>
        <v>0</v>
      </c>
      <c r="D910">
        <f>IFERROR(SEARCH(search!$B$6,samples!B447,1),0)</f>
        <v>0</v>
      </c>
      <c r="E910" t="str">
        <f>IF(samples!C447=0,"",samples!C447)</f>
        <v/>
      </c>
      <c r="F910">
        <f>IFERROR(SEARCH(search!$B$6,samples!C447,1),0)</f>
        <v>0</v>
      </c>
      <c r="G910" t="str">
        <f>IF(samples!D447=0,"",samples!D447)</f>
        <v/>
      </c>
      <c r="H910">
        <f>IFERROR(SEARCH(search!$B$6,samples!D447,1),0)</f>
        <v>0</v>
      </c>
      <c r="I910" t="str">
        <f>IF(samples!E447=0,"",samples!E447)</f>
        <v/>
      </c>
      <c r="J910">
        <f>IFERROR(SEARCH(search!$B$6,samples!E447,1),0)</f>
        <v>0</v>
      </c>
      <c r="K910" t="str">
        <f>IF(samples!F447=0,"",samples!F447)</f>
        <v/>
      </c>
      <c r="L910">
        <f>IFERROR(SEARCH(search!$B$6,samples!F447,1),0)</f>
        <v>0</v>
      </c>
      <c r="M910" t="str">
        <f>IF(samples!G447=0,"",samples!G447)</f>
        <v/>
      </c>
      <c r="N910">
        <f>IFERROR(SEARCH(search!$B$6,samples!G447,1),0)</f>
        <v>0</v>
      </c>
      <c r="O910" t="str">
        <f>IF(samples!H447=0,"",samples!H447)</f>
        <v/>
      </c>
      <c r="P910">
        <f>IFERROR(SEARCH(search!$B$6,samples!H447,1),0)</f>
        <v>0</v>
      </c>
      <c r="Q910" t="str">
        <f>IF(samples!I447=0,"",samples!I447)</f>
        <v/>
      </c>
      <c r="R910">
        <f>IFERROR(SEARCH(search!$B$6,samples!I447,1),0)</f>
        <v>0</v>
      </c>
      <c r="S910" t="str">
        <f>IF(samples!J447=0,"",samples!J447)</f>
        <v/>
      </c>
      <c r="T910">
        <f>IFERROR(SEARCH(search!$B$6,samples!J447,1),0)</f>
        <v>0</v>
      </c>
      <c r="U910" t="str">
        <f>IF(samples!K447=0,"",samples!K447)</f>
        <v/>
      </c>
      <c r="V910">
        <f>IFERROR(SEARCH(search!$B$6,samples!K447,1),0)</f>
        <v>0</v>
      </c>
      <c r="W910" t="str">
        <f>IF(samples!L447=0,"",samples!L447)</f>
        <v/>
      </c>
      <c r="X910">
        <f>IFERROR(SEARCH(search!$B$6,samples!L447,1),0)</f>
        <v>0</v>
      </c>
      <c r="Y910" t="str">
        <f>IF(samples!M447=0,"",samples!M447)</f>
        <v/>
      </c>
      <c r="Z910">
        <f>IFERROR(SEARCH(search!$B$6,samples!M447,1),0)</f>
        <v>0</v>
      </c>
      <c r="AA910" t="str">
        <f>IF(samples!N447=0,"",samples!N447)</f>
        <v/>
      </c>
      <c r="AB910">
        <f>IFERROR(SEARCH(search!$B$6,samples!N447,1),0)</f>
        <v>0</v>
      </c>
      <c r="AC910" t="str">
        <f>IF(samples!O447=0,"",samples!O447)</f>
        <v/>
      </c>
      <c r="AD910">
        <f>IFERROR(SEARCH(search!$B$6,samples!O447,1),0)</f>
        <v>0</v>
      </c>
    </row>
    <row r="911" spans="1:30">
      <c r="A911">
        <f t="shared" si="14"/>
        <v>0</v>
      </c>
      <c r="B911">
        <f>IF(SUM(D911,F911,H911,J911,L911,N911,P911,R911,T911,V911,X911,Z911,AB911,AD911)&gt;0,SUM($A$2:A911),0)</f>
        <v>0</v>
      </c>
      <c r="C911">
        <f>samples!B448</f>
        <v>0</v>
      </c>
      <c r="D911">
        <f>IFERROR(SEARCH(search!$B$6,samples!B448,1),0)</f>
        <v>0</v>
      </c>
      <c r="E911" t="str">
        <f>IF(samples!C448=0,"",samples!C448)</f>
        <v/>
      </c>
      <c r="F911">
        <f>IFERROR(SEARCH(search!$B$6,samples!C448,1),0)</f>
        <v>0</v>
      </c>
      <c r="G911" t="str">
        <f>IF(samples!D448=0,"",samples!D448)</f>
        <v/>
      </c>
      <c r="H911">
        <f>IFERROR(SEARCH(search!$B$6,samples!D448,1),0)</f>
        <v>0</v>
      </c>
      <c r="I911" t="str">
        <f>IF(samples!E448=0,"",samples!E448)</f>
        <v/>
      </c>
      <c r="J911">
        <f>IFERROR(SEARCH(search!$B$6,samples!E448,1),0)</f>
        <v>0</v>
      </c>
      <c r="K911" t="str">
        <f>IF(samples!F448=0,"",samples!F448)</f>
        <v/>
      </c>
      <c r="L911">
        <f>IFERROR(SEARCH(search!$B$6,samples!F448,1),0)</f>
        <v>0</v>
      </c>
      <c r="M911" t="str">
        <f>IF(samples!G448=0,"",samples!G448)</f>
        <v/>
      </c>
      <c r="N911">
        <f>IFERROR(SEARCH(search!$B$6,samples!G448,1),0)</f>
        <v>0</v>
      </c>
      <c r="O911" t="str">
        <f>IF(samples!H448=0,"",samples!H448)</f>
        <v/>
      </c>
      <c r="P911">
        <f>IFERROR(SEARCH(search!$B$6,samples!H448,1),0)</f>
        <v>0</v>
      </c>
      <c r="Q911" t="str">
        <f>IF(samples!I448=0,"",samples!I448)</f>
        <v/>
      </c>
      <c r="R911">
        <f>IFERROR(SEARCH(search!$B$6,samples!I448,1),0)</f>
        <v>0</v>
      </c>
      <c r="S911" t="str">
        <f>IF(samples!J448=0,"",samples!J448)</f>
        <v/>
      </c>
      <c r="T911">
        <f>IFERROR(SEARCH(search!$B$6,samples!J448,1),0)</f>
        <v>0</v>
      </c>
      <c r="U911" t="str">
        <f>IF(samples!K448=0,"",samples!K448)</f>
        <v/>
      </c>
      <c r="V911">
        <f>IFERROR(SEARCH(search!$B$6,samples!K448,1),0)</f>
        <v>0</v>
      </c>
      <c r="W911" t="str">
        <f>IF(samples!L448=0,"",samples!L448)</f>
        <v/>
      </c>
      <c r="X911">
        <f>IFERROR(SEARCH(search!$B$6,samples!L448,1),0)</f>
        <v>0</v>
      </c>
      <c r="Y911" t="str">
        <f>IF(samples!M448=0,"",samples!M448)</f>
        <v/>
      </c>
      <c r="Z911">
        <f>IFERROR(SEARCH(search!$B$6,samples!M448,1),0)</f>
        <v>0</v>
      </c>
      <c r="AA911" t="str">
        <f>IF(samples!N448=0,"",samples!N448)</f>
        <v/>
      </c>
      <c r="AB911">
        <f>IFERROR(SEARCH(search!$B$6,samples!N448,1),0)</f>
        <v>0</v>
      </c>
      <c r="AC911" t="str">
        <f>IF(samples!O448=0,"",samples!O448)</f>
        <v/>
      </c>
      <c r="AD911">
        <f>IFERROR(SEARCH(search!$B$6,samples!O448,1),0)</f>
        <v>0</v>
      </c>
    </row>
    <row r="912" spans="1:30">
      <c r="A912">
        <f t="shared" si="14"/>
        <v>0</v>
      </c>
      <c r="B912">
        <f>IF(SUM(D912,F912,H912,J912,L912,N912,P912,R912,T912,V912,X912,Z912,AB912,AD912)&gt;0,SUM($A$2:A912),0)</f>
        <v>0</v>
      </c>
      <c r="C912">
        <f>samples!B449</f>
        <v>0</v>
      </c>
      <c r="D912">
        <f>IFERROR(SEARCH(search!$B$6,samples!B449,1),0)</f>
        <v>0</v>
      </c>
      <c r="E912" t="str">
        <f>IF(samples!C449=0,"",samples!C449)</f>
        <v/>
      </c>
      <c r="F912">
        <f>IFERROR(SEARCH(search!$B$6,samples!C449,1),0)</f>
        <v>0</v>
      </c>
      <c r="G912" t="str">
        <f>IF(samples!D449=0,"",samples!D449)</f>
        <v/>
      </c>
      <c r="H912">
        <f>IFERROR(SEARCH(search!$B$6,samples!D449,1),0)</f>
        <v>0</v>
      </c>
      <c r="I912" t="str">
        <f>IF(samples!E449=0,"",samples!E449)</f>
        <v/>
      </c>
      <c r="J912">
        <f>IFERROR(SEARCH(search!$B$6,samples!E449,1),0)</f>
        <v>0</v>
      </c>
      <c r="K912" t="str">
        <f>IF(samples!F449=0,"",samples!F449)</f>
        <v/>
      </c>
      <c r="L912">
        <f>IFERROR(SEARCH(search!$B$6,samples!F449,1),0)</f>
        <v>0</v>
      </c>
      <c r="M912" t="str">
        <f>IF(samples!G449=0,"",samples!G449)</f>
        <v/>
      </c>
      <c r="N912">
        <f>IFERROR(SEARCH(search!$B$6,samples!G449,1),0)</f>
        <v>0</v>
      </c>
      <c r="O912" t="str">
        <f>IF(samples!H449=0,"",samples!H449)</f>
        <v/>
      </c>
      <c r="P912">
        <f>IFERROR(SEARCH(search!$B$6,samples!H449,1),0)</f>
        <v>0</v>
      </c>
      <c r="Q912" t="str">
        <f>IF(samples!I449=0,"",samples!I449)</f>
        <v/>
      </c>
      <c r="R912">
        <f>IFERROR(SEARCH(search!$B$6,samples!I449,1),0)</f>
        <v>0</v>
      </c>
      <c r="S912" t="str">
        <f>IF(samples!J449=0,"",samples!J449)</f>
        <v/>
      </c>
      <c r="T912">
        <f>IFERROR(SEARCH(search!$B$6,samples!J449,1),0)</f>
        <v>0</v>
      </c>
      <c r="U912" t="str">
        <f>IF(samples!K449=0,"",samples!K449)</f>
        <v/>
      </c>
      <c r="V912">
        <f>IFERROR(SEARCH(search!$B$6,samples!K449,1),0)</f>
        <v>0</v>
      </c>
      <c r="W912" t="str">
        <f>IF(samples!L449=0,"",samples!L449)</f>
        <v/>
      </c>
      <c r="X912">
        <f>IFERROR(SEARCH(search!$B$6,samples!L449,1),0)</f>
        <v>0</v>
      </c>
      <c r="Y912" t="str">
        <f>IF(samples!M449=0,"",samples!M449)</f>
        <v/>
      </c>
      <c r="Z912">
        <f>IFERROR(SEARCH(search!$B$6,samples!M449,1),0)</f>
        <v>0</v>
      </c>
      <c r="AA912" t="str">
        <f>IF(samples!N449=0,"",samples!N449)</f>
        <v/>
      </c>
      <c r="AB912">
        <f>IFERROR(SEARCH(search!$B$6,samples!N449,1),0)</f>
        <v>0</v>
      </c>
      <c r="AC912" t="str">
        <f>IF(samples!O449=0,"",samples!O449)</f>
        <v/>
      </c>
      <c r="AD912">
        <f>IFERROR(SEARCH(search!$B$6,samples!O449,1),0)</f>
        <v>0</v>
      </c>
    </row>
    <row r="913" spans="1:30">
      <c r="A913">
        <f t="shared" si="14"/>
        <v>0</v>
      </c>
      <c r="B913">
        <f>IF(SUM(D913,F913,H913,J913,L913,N913,P913,R913,T913,V913,X913,Z913,AB913,AD913)&gt;0,SUM($A$2:A913),0)</f>
        <v>0</v>
      </c>
      <c r="C913">
        <f>samples!B450</f>
        <v>0</v>
      </c>
      <c r="D913">
        <f>IFERROR(SEARCH(search!$B$6,samples!B450,1),0)</f>
        <v>0</v>
      </c>
      <c r="E913" t="str">
        <f>IF(samples!C450=0,"",samples!C450)</f>
        <v/>
      </c>
      <c r="F913">
        <f>IFERROR(SEARCH(search!$B$6,samples!C450,1),0)</f>
        <v>0</v>
      </c>
      <c r="G913" t="str">
        <f>IF(samples!D450=0,"",samples!D450)</f>
        <v/>
      </c>
      <c r="H913">
        <f>IFERROR(SEARCH(search!$B$6,samples!D450,1),0)</f>
        <v>0</v>
      </c>
      <c r="I913" t="str">
        <f>IF(samples!E450=0,"",samples!E450)</f>
        <v/>
      </c>
      <c r="J913">
        <f>IFERROR(SEARCH(search!$B$6,samples!E450,1),0)</f>
        <v>0</v>
      </c>
      <c r="K913" t="str">
        <f>IF(samples!F450=0,"",samples!F450)</f>
        <v/>
      </c>
      <c r="L913">
        <f>IFERROR(SEARCH(search!$B$6,samples!F450,1),0)</f>
        <v>0</v>
      </c>
      <c r="M913" t="str">
        <f>IF(samples!G450=0,"",samples!G450)</f>
        <v/>
      </c>
      <c r="N913">
        <f>IFERROR(SEARCH(search!$B$6,samples!G450,1),0)</f>
        <v>0</v>
      </c>
      <c r="O913" t="str">
        <f>IF(samples!H450=0,"",samples!H450)</f>
        <v/>
      </c>
      <c r="P913">
        <f>IFERROR(SEARCH(search!$B$6,samples!H450,1),0)</f>
        <v>0</v>
      </c>
      <c r="Q913" t="str">
        <f>IF(samples!I450=0,"",samples!I450)</f>
        <v/>
      </c>
      <c r="R913">
        <f>IFERROR(SEARCH(search!$B$6,samples!I450,1),0)</f>
        <v>0</v>
      </c>
      <c r="S913" t="str">
        <f>IF(samples!J450=0,"",samples!J450)</f>
        <v/>
      </c>
      <c r="T913">
        <f>IFERROR(SEARCH(search!$B$6,samples!J450,1),0)</f>
        <v>0</v>
      </c>
      <c r="U913" t="str">
        <f>IF(samples!K450=0,"",samples!K450)</f>
        <v/>
      </c>
      <c r="V913">
        <f>IFERROR(SEARCH(search!$B$6,samples!K450,1),0)</f>
        <v>0</v>
      </c>
      <c r="W913" t="str">
        <f>IF(samples!L450=0,"",samples!L450)</f>
        <v/>
      </c>
      <c r="X913">
        <f>IFERROR(SEARCH(search!$B$6,samples!L450,1),0)</f>
        <v>0</v>
      </c>
      <c r="Y913" t="str">
        <f>IF(samples!M450=0,"",samples!M450)</f>
        <v/>
      </c>
      <c r="Z913">
        <f>IFERROR(SEARCH(search!$B$6,samples!M450,1),0)</f>
        <v>0</v>
      </c>
      <c r="AA913" t="str">
        <f>IF(samples!N450=0,"",samples!N450)</f>
        <v/>
      </c>
      <c r="AB913">
        <f>IFERROR(SEARCH(search!$B$6,samples!N450,1),0)</f>
        <v>0</v>
      </c>
      <c r="AC913" t="str">
        <f>IF(samples!O450=0,"",samples!O450)</f>
        <v/>
      </c>
      <c r="AD913">
        <f>IFERROR(SEARCH(search!$B$6,samples!O450,1),0)</f>
        <v>0</v>
      </c>
    </row>
    <row r="914" spans="1:30">
      <c r="A914">
        <f t="shared" si="14"/>
        <v>0</v>
      </c>
      <c r="B914">
        <f>IF(SUM(D914,F914,H914,J914,L914,N914,P914,R914,T914,V914,X914,Z914,AB914,AD914)&gt;0,SUM($A$2:A914),0)</f>
        <v>0</v>
      </c>
      <c r="C914">
        <f>samples!B451</f>
        <v>0</v>
      </c>
      <c r="D914">
        <f>IFERROR(SEARCH(search!$B$6,samples!B451,1),0)</f>
        <v>0</v>
      </c>
      <c r="E914" t="str">
        <f>IF(samples!C451=0,"",samples!C451)</f>
        <v/>
      </c>
      <c r="F914">
        <f>IFERROR(SEARCH(search!$B$6,samples!C451,1),0)</f>
        <v>0</v>
      </c>
      <c r="G914" t="str">
        <f>IF(samples!D451=0,"",samples!D451)</f>
        <v/>
      </c>
      <c r="H914">
        <f>IFERROR(SEARCH(search!$B$6,samples!D451,1),0)</f>
        <v>0</v>
      </c>
      <c r="I914" t="str">
        <f>IF(samples!E451=0,"",samples!E451)</f>
        <v/>
      </c>
      <c r="J914">
        <f>IFERROR(SEARCH(search!$B$6,samples!E451,1),0)</f>
        <v>0</v>
      </c>
      <c r="K914" t="str">
        <f>IF(samples!F451=0,"",samples!F451)</f>
        <v/>
      </c>
      <c r="L914">
        <f>IFERROR(SEARCH(search!$B$6,samples!F451,1),0)</f>
        <v>0</v>
      </c>
      <c r="M914" t="str">
        <f>IF(samples!G451=0,"",samples!G451)</f>
        <v/>
      </c>
      <c r="N914">
        <f>IFERROR(SEARCH(search!$B$6,samples!G451,1),0)</f>
        <v>0</v>
      </c>
      <c r="O914" t="str">
        <f>IF(samples!H451=0,"",samples!H451)</f>
        <v/>
      </c>
      <c r="P914">
        <f>IFERROR(SEARCH(search!$B$6,samples!H451,1),0)</f>
        <v>0</v>
      </c>
      <c r="Q914" t="str">
        <f>IF(samples!I451=0,"",samples!I451)</f>
        <v/>
      </c>
      <c r="R914">
        <f>IFERROR(SEARCH(search!$B$6,samples!I451,1),0)</f>
        <v>0</v>
      </c>
      <c r="S914" t="str">
        <f>IF(samples!J451=0,"",samples!J451)</f>
        <v/>
      </c>
      <c r="T914">
        <f>IFERROR(SEARCH(search!$B$6,samples!J451,1),0)</f>
        <v>0</v>
      </c>
      <c r="U914" t="str">
        <f>IF(samples!K451=0,"",samples!K451)</f>
        <v/>
      </c>
      <c r="V914">
        <f>IFERROR(SEARCH(search!$B$6,samples!K451,1),0)</f>
        <v>0</v>
      </c>
      <c r="W914" t="str">
        <f>IF(samples!L451=0,"",samples!L451)</f>
        <v/>
      </c>
      <c r="X914">
        <f>IFERROR(SEARCH(search!$B$6,samples!L451,1),0)</f>
        <v>0</v>
      </c>
      <c r="Y914" t="str">
        <f>IF(samples!M451=0,"",samples!M451)</f>
        <v/>
      </c>
      <c r="Z914">
        <f>IFERROR(SEARCH(search!$B$6,samples!M451,1),0)</f>
        <v>0</v>
      </c>
      <c r="AA914" t="str">
        <f>IF(samples!N451=0,"",samples!N451)</f>
        <v/>
      </c>
      <c r="AB914">
        <f>IFERROR(SEARCH(search!$B$6,samples!N451,1),0)</f>
        <v>0</v>
      </c>
      <c r="AC914" t="str">
        <f>IF(samples!O451=0,"",samples!O451)</f>
        <v/>
      </c>
      <c r="AD914">
        <f>IFERROR(SEARCH(search!$B$6,samples!O451,1),0)</f>
        <v>0</v>
      </c>
    </row>
    <row r="915" spans="1:30">
      <c r="A915">
        <f t="shared" si="14"/>
        <v>0</v>
      </c>
      <c r="B915">
        <f>IF(SUM(D915,F915,H915,J915,L915,N915,P915,R915,T915,V915,X915,Z915,AB915,AD915)&gt;0,SUM($A$2:A915),0)</f>
        <v>0</v>
      </c>
      <c r="C915">
        <f>samples!B452</f>
        <v>0</v>
      </c>
      <c r="D915">
        <f>IFERROR(SEARCH(search!$B$6,samples!B452,1),0)</f>
        <v>0</v>
      </c>
      <c r="E915" t="str">
        <f>IF(samples!C452=0,"",samples!C452)</f>
        <v/>
      </c>
      <c r="F915">
        <f>IFERROR(SEARCH(search!$B$6,samples!C452,1),0)</f>
        <v>0</v>
      </c>
      <c r="G915" t="str">
        <f>IF(samples!D452=0,"",samples!D452)</f>
        <v/>
      </c>
      <c r="H915">
        <f>IFERROR(SEARCH(search!$B$6,samples!D452,1),0)</f>
        <v>0</v>
      </c>
      <c r="I915" t="str">
        <f>IF(samples!E452=0,"",samples!E452)</f>
        <v/>
      </c>
      <c r="J915">
        <f>IFERROR(SEARCH(search!$B$6,samples!E452,1),0)</f>
        <v>0</v>
      </c>
      <c r="K915" t="str">
        <f>IF(samples!F452=0,"",samples!F452)</f>
        <v/>
      </c>
      <c r="L915">
        <f>IFERROR(SEARCH(search!$B$6,samples!F452,1),0)</f>
        <v>0</v>
      </c>
      <c r="M915" t="str">
        <f>IF(samples!G452=0,"",samples!G452)</f>
        <v/>
      </c>
      <c r="N915">
        <f>IFERROR(SEARCH(search!$B$6,samples!G452,1),0)</f>
        <v>0</v>
      </c>
      <c r="O915" t="str">
        <f>IF(samples!H452=0,"",samples!H452)</f>
        <v/>
      </c>
      <c r="P915">
        <f>IFERROR(SEARCH(search!$B$6,samples!H452,1),0)</f>
        <v>0</v>
      </c>
      <c r="Q915" t="str">
        <f>IF(samples!I452=0,"",samples!I452)</f>
        <v/>
      </c>
      <c r="R915">
        <f>IFERROR(SEARCH(search!$B$6,samples!I452,1),0)</f>
        <v>0</v>
      </c>
      <c r="S915" t="str">
        <f>IF(samples!J452=0,"",samples!J452)</f>
        <v/>
      </c>
      <c r="T915">
        <f>IFERROR(SEARCH(search!$B$6,samples!J452,1),0)</f>
        <v>0</v>
      </c>
      <c r="U915" t="str">
        <f>IF(samples!K452=0,"",samples!K452)</f>
        <v/>
      </c>
      <c r="V915">
        <f>IFERROR(SEARCH(search!$B$6,samples!K452,1),0)</f>
        <v>0</v>
      </c>
      <c r="W915" t="str">
        <f>IF(samples!L452=0,"",samples!L452)</f>
        <v/>
      </c>
      <c r="X915">
        <f>IFERROR(SEARCH(search!$B$6,samples!L452,1),0)</f>
        <v>0</v>
      </c>
      <c r="Y915" t="str">
        <f>IF(samples!M452=0,"",samples!M452)</f>
        <v/>
      </c>
      <c r="Z915">
        <f>IFERROR(SEARCH(search!$B$6,samples!M452,1),0)</f>
        <v>0</v>
      </c>
      <c r="AA915" t="str">
        <f>IF(samples!N452=0,"",samples!N452)</f>
        <v/>
      </c>
      <c r="AB915">
        <f>IFERROR(SEARCH(search!$B$6,samples!N452,1),0)</f>
        <v>0</v>
      </c>
      <c r="AC915" t="str">
        <f>IF(samples!O452=0,"",samples!O452)</f>
        <v/>
      </c>
      <c r="AD915">
        <f>IFERROR(SEARCH(search!$B$6,samples!O452,1),0)</f>
        <v>0</v>
      </c>
    </row>
    <row r="916" spans="1:30">
      <c r="A916">
        <f t="shared" si="14"/>
        <v>0</v>
      </c>
      <c r="B916">
        <f>IF(SUM(D916,F916,H916,J916,L916,N916,P916,R916,T916,V916,X916,Z916,AB916,AD916)&gt;0,SUM($A$2:A916),0)</f>
        <v>0</v>
      </c>
      <c r="C916">
        <f>samples!B453</f>
        <v>0</v>
      </c>
      <c r="D916">
        <f>IFERROR(SEARCH(search!$B$6,samples!B453,1),0)</f>
        <v>0</v>
      </c>
      <c r="E916" t="str">
        <f>IF(samples!C453=0,"",samples!C453)</f>
        <v/>
      </c>
      <c r="F916">
        <f>IFERROR(SEARCH(search!$B$6,samples!C453,1),0)</f>
        <v>0</v>
      </c>
      <c r="G916" t="str">
        <f>IF(samples!D453=0,"",samples!D453)</f>
        <v/>
      </c>
      <c r="H916">
        <f>IFERROR(SEARCH(search!$B$6,samples!D453,1),0)</f>
        <v>0</v>
      </c>
      <c r="I916" t="str">
        <f>IF(samples!E453=0,"",samples!E453)</f>
        <v/>
      </c>
      <c r="J916">
        <f>IFERROR(SEARCH(search!$B$6,samples!E453,1),0)</f>
        <v>0</v>
      </c>
      <c r="K916" t="str">
        <f>IF(samples!F453=0,"",samples!F453)</f>
        <v/>
      </c>
      <c r="L916">
        <f>IFERROR(SEARCH(search!$B$6,samples!F453,1),0)</f>
        <v>0</v>
      </c>
      <c r="M916" t="str">
        <f>IF(samples!G453=0,"",samples!G453)</f>
        <v/>
      </c>
      <c r="N916">
        <f>IFERROR(SEARCH(search!$B$6,samples!G453,1),0)</f>
        <v>0</v>
      </c>
      <c r="O916" t="str">
        <f>IF(samples!H453=0,"",samples!H453)</f>
        <v/>
      </c>
      <c r="P916">
        <f>IFERROR(SEARCH(search!$B$6,samples!H453,1),0)</f>
        <v>0</v>
      </c>
      <c r="Q916" t="str">
        <f>IF(samples!I453=0,"",samples!I453)</f>
        <v/>
      </c>
      <c r="R916">
        <f>IFERROR(SEARCH(search!$B$6,samples!I453,1),0)</f>
        <v>0</v>
      </c>
      <c r="S916" t="str">
        <f>IF(samples!J453=0,"",samples!J453)</f>
        <v/>
      </c>
      <c r="T916">
        <f>IFERROR(SEARCH(search!$B$6,samples!J453,1),0)</f>
        <v>0</v>
      </c>
      <c r="U916" t="str">
        <f>IF(samples!K453=0,"",samples!K453)</f>
        <v/>
      </c>
      <c r="V916">
        <f>IFERROR(SEARCH(search!$B$6,samples!K453,1),0)</f>
        <v>0</v>
      </c>
      <c r="W916" t="str">
        <f>IF(samples!L453=0,"",samples!L453)</f>
        <v/>
      </c>
      <c r="X916">
        <f>IFERROR(SEARCH(search!$B$6,samples!L453,1),0)</f>
        <v>0</v>
      </c>
      <c r="Y916" t="str">
        <f>IF(samples!M453=0,"",samples!M453)</f>
        <v/>
      </c>
      <c r="Z916">
        <f>IFERROR(SEARCH(search!$B$6,samples!M453,1),0)</f>
        <v>0</v>
      </c>
      <c r="AA916" t="str">
        <f>IF(samples!N453=0,"",samples!N453)</f>
        <v/>
      </c>
      <c r="AB916">
        <f>IFERROR(SEARCH(search!$B$6,samples!N453,1),0)</f>
        <v>0</v>
      </c>
      <c r="AC916" t="str">
        <f>IF(samples!O453=0,"",samples!O453)</f>
        <v/>
      </c>
      <c r="AD916">
        <f>IFERROR(SEARCH(search!$B$6,samples!O453,1),0)</f>
        <v>0</v>
      </c>
    </row>
    <row r="917" spans="1:30">
      <c r="A917">
        <f t="shared" si="14"/>
        <v>0</v>
      </c>
      <c r="B917">
        <f>IF(SUM(D917,F917,H917,J917,L917,N917,P917,R917,T917,V917,X917,Z917,AB917,AD917)&gt;0,SUM($A$2:A917),0)</f>
        <v>0</v>
      </c>
      <c r="C917">
        <f>samples!B454</f>
        <v>0</v>
      </c>
      <c r="D917">
        <f>IFERROR(SEARCH(search!$B$6,samples!B454,1),0)</f>
        <v>0</v>
      </c>
      <c r="E917" t="str">
        <f>IF(samples!C454=0,"",samples!C454)</f>
        <v/>
      </c>
      <c r="F917">
        <f>IFERROR(SEARCH(search!$B$6,samples!C454,1),0)</f>
        <v>0</v>
      </c>
      <c r="G917" t="str">
        <f>IF(samples!D454=0,"",samples!D454)</f>
        <v/>
      </c>
      <c r="H917">
        <f>IFERROR(SEARCH(search!$B$6,samples!D454,1),0)</f>
        <v>0</v>
      </c>
      <c r="I917" t="str">
        <f>IF(samples!E454=0,"",samples!E454)</f>
        <v/>
      </c>
      <c r="J917">
        <f>IFERROR(SEARCH(search!$B$6,samples!E454,1),0)</f>
        <v>0</v>
      </c>
      <c r="K917" t="str">
        <f>IF(samples!F454=0,"",samples!F454)</f>
        <v/>
      </c>
      <c r="L917">
        <f>IFERROR(SEARCH(search!$B$6,samples!F454,1),0)</f>
        <v>0</v>
      </c>
      <c r="M917" t="str">
        <f>IF(samples!G454=0,"",samples!G454)</f>
        <v/>
      </c>
      <c r="N917">
        <f>IFERROR(SEARCH(search!$B$6,samples!G454,1),0)</f>
        <v>0</v>
      </c>
      <c r="O917" t="str">
        <f>IF(samples!H454=0,"",samples!H454)</f>
        <v/>
      </c>
      <c r="P917">
        <f>IFERROR(SEARCH(search!$B$6,samples!H454,1),0)</f>
        <v>0</v>
      </c>
      <c r="Q917" t="str">
        <f>IF(samples!I454=0,"",samples!I454)</f>
        <v/>
      </c>
      <c r="R917">
        <f>IFERROR(SEARCH(search!$B$6,samples!I454,1),0)</f>
        <v>0</v>
      </c>
      <c r="S917" t="str">
        <f>IF(samples!J454=0,"",samples!J454)</f>
        <v/>
      </c>
      <c r="T917">
        <f>IFERROR(SEARCH(search!$B$6,samples!J454,1),0)</f>
        <v>0</v>
      </c>
      <c r="U917" t="str">
        <f>IF(samples!K454=0,"",samples!K454)</f>
        <v/>
      </c>
      <c r="V917">
        <f>IFERROR(SEARCH(search!$B$6,samples!K454,1),0)</f>
        <v>0</v>
      </c>
      <c r="W917" t="str">
        <f>IF(samples!L454=0,"",samples!L454)</f>
        <v/>
      </c>
      <c r="X917">
        <f>IFERROR(SEARCH(search!$B$6,samples!L454,1),0)</f>
        <v>0</v>
      </c>
      <c r="Y917" t="str">
        <f>IF(samples!M454=0,"",samples!M454)</f>
        <v/>
      </c>
      <c r="Z917">
        <f>IFERROR(SEARCH(search!$B$6,samples!M454,1),0)</f>
        <v>0</v>
      </c>
      <c r="AA917" t="str">
        <f>IF(samples!N454=0,"",samples!N454)</f>
        <v/>
      </c>
      <c r="AB917">
        <f>IFERROR(SEARCH(search!$B$6,samples!N454,1),0)</f>
        <v>0</v>
      </c>
      <c r="AC917" t="str">
        <f>IF(samples!O454=0,"",samples!O454)</f>
        <v/>
      </c>
      <c r="AD917">
        <f>IFERROR(SEARCH(search!$B$6,samples!O454,1),0)</f>
        <v>0</v>
      </c>
    </row>
    <row r="918" spans="1:30">
      <c r="A918">
        <f t="shared" si="14"/>
        <v>0</v>
      </c>
      <c r="B918">
        <f>IF(SUM(D918,F918,H918,J918,L918,N918,P918,R918,T918,V918,X918,Z918,AB918,AD918)&gt;0,SUM($A$2:A918),0)</f>
        <v>0</v>
      </c>
      <c r="C918">
        <f>samples!B455</f>
        <v>0</v>
      </c>
      <c r="D918">
        <f>IFERROR(SEARCH(search!$B$6,samples!B455,1),0)</f>
        <v>0</v>
      </c>
      <c r="E918" t="str">
        <f>IF(samples!C455=0,"",samples!C455)</f>
        <v/>
      </c>
      <c r="F918">
        <f>IFERROR(SEARCH(search!$B$6,samples!C455,1),0)</f>
        <v>0</v>
      </c>
      <c r="G918" t="str">
        <f>IF(samples!D455=0,"",samples!D455)</f>
        <v/>
      </c>
      <c r="H918">
        <f>IFERROR(SEARCH(search!$B$6,samples!D455,1),0)</f>
        <v>0</v>
      </c>
      <c r="I918" t="str">
        <f>IF(samples!E455=0,"",samples!E455)</f>
        <v/>
      </c>
      <c r="J918">
        <f>IFERROR(SEARCH(search!$B$6,samples!E455,1),0)</f>
        <v>0</v>
      </c>
      <c r="K918" t="str">
        <f>IF(samples!F455=0,"",samples!F455)</f>
        <v/>
      </c>
      <c r="L918">
        <f>IFERROR(SEARCH(search!$B$6,samples!F455,1),0)</f>
        <v>0</v>
      </c>
      <c r="M918" t="str">
        <f>IF(samples!G455=0,"",samples!G455)</f>
        <v/>
      </c>
      <c r="N918">
        <f>IFERROR(SEARCH(search!$B$6,samples!G455,1),0)</f>
        <v>0</v>
      </c>
      <c r="O918" t="str">
        <f>IF(samples!H455=0,"",samples!H455)</f>
        <v/>
      </c>
      <c r="P918">
        <f>IFERROR(SEARCH(search!$B$6,samples!H455,1),0)</f>
        <v>0</v>
      </c>
      <c r="Q918" t="str">
        <f>IF(samples!I455=0,"",samples!I455)</f>
        <v/>
      </c>
      <c r="R918">
        <f>IFERROR(SEARCH(search!$B$6,samples!I455,1),0)</f>
        <v>0</v>
      </c>
      <c r="S918" t="str">
        <f>IF(samples!J455=0,"",samples!J455)</f>
        <v/>
      </c>
      <c r="T918">
        <f>IFERROR(SEARCH(search!$B$6,samples!J455,1),0)</f>
        <v>0</v>
      </c>
      <c r="U918" t="str">
        <f>IF(samples!K455=0,"",samples!K455)</f>
        <v/>
      </c>
      <c r="V918">
        <f>IFERROR(SEARCH(search!$B$6,samples!K455,1),0)</f>
        <v>0</v>
      </c>
      <c r="W918" t="str">
        <f>IF(samples!L455=0,"",samples!L455)</f>
        <v/>
      </c>
      <c r="X918">
        <f>IFERROR(SEARCH(search!$B$6,samples!L455,1),0)</f>
        <v>0</v>
      </c>
      <c r="Y918" t="str">
        <f>IF(samples!M455=0,"",samples!M455)</f>
        <v/>
      </c>
      <c r="Z918">
        <f>IFERROR(SEARCH(search!$B$6,samples!M455,1),0)</f>
        <v>0</v>
      </c>
      <c r="AA918" t="str">
        <f>IF(samples!N455=0,"",samples!N455)</f>
        <v/>
      </c>
      <c r="AB918">
        <f>IFERROR(SEARCH(search!$B$6,samples!N455,1),0)</f>
        <v>0</v>
      </c>
      <c r="AC918" t="str">
        <f>IF(samples!O455=0,"",samples!O455)</f>
        <v/>
      </c>
      <c r="AD918">
        <f>IFERROR(SEARCH(search!$B$6,samples!O455,1),0)</f>
        <v>0</v>
      </c>
    </row>
    <row r="919" spans="1:30">
      <c r="A919">
        <f t="shared" si="14"/>
        <v>0</v>
      </c>
      <c r="B919">
        <f>IF(SUM(D919,F919,H919,J919,L919,N919,P919,R919,T919,V919,X919,Z919,AB919,AD919)&gt;0,SUM($A$2:A919),0)</f>
        <v>0</v>
      </c>
      <c r="C919">
        <f>samples!B456</f>
        <v>0</v>
      </c>
      <c r="D919">
        <f>IFERROR(SEARCH(search!$B$6,samples!B456,1),0)</f>
        <v>0</v>
      </c>
      <c r="E919" t="str">
        <f>IF(samples!C456=0,"",samples!C456)</f>
        <v/>
      </c>
      <c r="F919">
        <f>IFERROR(SEARCH(search!$B$6,samples!C456,1),0)</f>
        <v>0</v>
      </c>
      <c r="G919" t="str">
        <f>IF(samples!D456=0,"",samples!D456)</f>
        <v/>
      </c>
      <c r="H919">
        <f>IFERROR(SEARCH(search!$B$6,samples!D456,1),0)</f>
        <v>0</v>
      </c>
      <c r="I919" t="str">
        <f>IF(samples!E456=0,"",samples!E456)</f>
        <v/>
      </c>
      <c r="J919">
        <f>IFERROR(SEARCH(search!$B$6,samples!E456,1),0)</f>
        <v>0</v>
      </c>
      <c r="K919" t="str">
        <f>IF(samples!F456=0,"",samples!F456)</f>
        <v/>
      </c>
      <c r="L919">
        <f>IFERROR(SEARCH(search!$B$6,samples!F456,1),0)</f>
        <v>0</v>
      </c>
      <c r="M919" t="str">
        <f>IF(samples!G456=0,"",samples!G456)</f>
        <v/>
      </c>
      <c r="N919">
        <f>IFERROR(SEARCH(search!$B$6,samples!G456,1),0)</f>
        <v>0</v>
      </c>
      <c r="O919" t="str">
        <f>IF(samples!H456=0,"",samples!H456)</f>
        <v/>
      </c>
      <c r="P919">
        <f>IFERROR(SEARCH(search!$B$6,samples!H456,1),0)</f>
        <v>0</v>
      </c>
      <c r="Q919" t="str">
        <f>IF(samples!I456=0,"",samples!I456)</f>
        <v/>
      </c>
      <c r="R919">
        <f>IFERROR(SEARCH(search!$B$6,samples!I456,1),0)</f>
        <v>0</v>
      </c>
      <c r="S919" t="str">
        <f>IF(samples!J456=0,"",samples!J456)</f>
        <v/>
      </c>
      <c r="T919">
        <f>IFERROR(SEARCH(search!$B$6,samples!J456,1),0)</f>
        <v>0</v>
      </c>
      <c r="U919" t="str">
        <f>IF(samples!K456=0,"",samples!K456)</f>
        <v/>
      </c>
      <c r="V919">
        <f>IFERROR(SEARCH(search!$B$6,samples!K456,1),0)</f>
        <v>0</v>
      </c>
      <c r="W919" t="str">
        <f>IF(samples!L456=0,"",samples!L456)</f>
        <v/>
      </c>
      <c r="X919">
        <f>IFERROR(SEARCH(search!$B$6,samples!L456,1),0)</f>
        <v>0</v>
      </c>
      <c r="Y919" t="str">
        <f>IF(samples!M456=0,"",samples!M456)</f>
        <v/>
      </c>
      <c r="Z919">
        <f>IFERROR(SEARCH(search!$B$6,samples!M456,1),0)</f>
        <v>0</v>
      </c>
      <c r="AA919" t="str">
        <f>IF(samples!N456=0,"",samples!N456)</f>
        <v/>
      </c>
      <c r="AB919">
        <f>IFERROR(SEARCH(search!$B$6,samples!N456,1),0)</f>
        <v>0</v>
      </c>
      <c r="AC919" t="str">
        <f>IF(samples!O456=0,"",samples!O456)</f>
        <v/>
      </c>
      <c r="AD919">
        <f>IFERROR(SEARCH(search!$B$6,samples!O456,1),0)</f>
        <v>0</v>
      </c>
    </row>
    <row r="920" spans="1:30">
      <c r="A920">
        <f t="shared" si="14"/>
        <v>0</v>
      </c>
      <c r="B920">
        <f>IF(SUM(D920,F920,H920,J920,L920,N920,P920,R920,T920,V920,X920,Z920,AB920,AD920)&gt;0,SUM($A$2:A920),0)</f>
        <v>0</v>
      </c>
      <c r="C920">
        <f>samples!B457</f>
        <v>0</v>
      </c>
      <c r="D920">
        <f>IFERROR(SEARCH(search!$B$6,samples!B457,1),0)</f>
        <v>0</v>
      </c>
      <c r="E920" t="str">
        <f>IF(samples!C457=0,"",samples!C457)</f>
        <v/>
      </c>
      <c r="F920">
        <f>IFERROR(SEARCH(search!$B$6,samples!C457,1),0)</f>
        <v>0</v>
      </c>
      <c r="G920" t="str">
        <f>IF(samples!D457=0,"",samples!D457)</f>
        <v/>
      </c>
      <c r="H920">
        <f>IFERROR(SEARCH(search!$B$6,samples!D457,1),0)</f>
        <v>0</v>
      </c>
      <c r="I920" t="str">
        <f>IF(samples!E457=0,"",samples!E457)</f>
        <v/>
      </c>
      <c r="J920">
        <f>IFERROR(SEARCH(search!$B$6,samples!E457,1),0)</f>
        <v>0</v>
      </c>
      <c r="K920" t="str">
        <f>IF(samples!F457=0,"",samples!F457)</f>
        <v/>
      </c>
      <c r="L920">
        <f>IFERROR(SEARCH(search!$B$6,samples!F457,1),0)</f>
        <v>0</v>
      </c>
      <c r="M920" t="str">
        <f>IF(samples!G457=0,"",samples!G457)</f>
        <v/>
      </c>
      <c r="N920">
        <f>IFERROR(SEARCH(search!$B$6,samples!G457,1),0)</f>
        <v>0</v>
      </c>
      <c r="O920" t="str">
        <f>IF(samples!H457=0,"",samples!H457)</f>
        <v/>
      </c>
      <c r="P920">
        <f>IFERROR(SEARCH(search!$B$6,samples!H457,1),0)</f>
        <v>0</v>
      </c>
      <c r="Q920" t="str">
        <f>IF(samples!I457=0,"",samples!I457)</f>
        <v/>
      </c>
      <c r="R920">
        <f>IFERROR(SEARCH(search!$B$6,samples!I457,1),0)</f>
        <v>0</v>
      </c>
      <c r="S920" t="str">
        <f>IF(samples!J457=0,"",samples!J457)</f>
        <v/>
      </c>
      <c r="T920">
        <f>IFERROR(SEARCH(search!$B$6,samples!J457,1),0)</f>
        <v>0</v>
      </c>
      <c r="U920" t="str">
        <f>IF(samples!K457=0,"",samples!K457)</f>
        <v/>
      </c>
      <c r="V920">
        <f>IFERROR(SEARCH(search!$B$6,samples!K457,1),0)</f>
        <v>0</v>
      </c>
      <c r="W920" t="str">
        <f>IF(samples!L457=0,"",samples!L457)</f>
        <v/>
      </c>
      <c r="X920">
        <f>IFERROR(SEARCH(search!$B$6,samples!L457,1),0)</f>
        <v>0</v>
      </c>
      <c r="Y920" t="str">
        <f>IF(samples!M457=0,"",samples!M457)</f>
        <v/>
      </c>
      <c r="Z920">
        <f>IFERROR(SEARCH(search!$B$6,samples!M457,1),0)</f>
        <v>0</v>
      </c>
      <c r="AA920" t="str">
        <f>IF(samples!N457=0,"",samples!N457)</f>
        <v/>
      </c>
      <c r="AB920">
        <f>IFERROR(SEARCH(search!$B$6,samples!N457,1),0)</f>
        <v>0</v>
      </c>
      <c r="AC920" t="str">
        <f>IF(samples!O457=0,"",samples!O457)</f>
        <v/>
      </c>
      <c r="AD920">
        <f>IFERROR(SEARCH(search!$B$6,samples!O457,1),0)</f>
        <v>0</v>
      </c>
    </row>
    <row r="921" spans="1:30">
      <c r="A921">
        <f t="shared" si="14"/>
        <v>0</v>
      </c>
      <c r="B921">
        <f>IF(SUM(D921,F921,H921,J921,L921,N921,P921,R921,T921,V921,X921,Z921,AB921,AD921)&gt;0,SUM($A$2:A921),0)</f>
        <v>0</v>
      </c>
      <c r="C921">
        <f>samples!B458</f>
        <v>0</v>
      </c>
      <c r="D921">
        <f>IFERROR(SEARCH(search!$B$6,samples!B458,1),0)</f>
        <v>0</v>
      </c>
      <c r="E921" t="str">
        <f>IF(samples!C458=0,"",samples!C458)</f>
        <v/>
      </c>
      <c r="F921">
        <f>IFERROR(SEARCH(search!$B$6,samples!C458,1),0)</f>
        <v>0</v>
      </c>
      <c r="G921" t="str">
        <f>IF(samples!D458=0,"",samples!D458)</f>
        <v/>
      </c>
      <c r="H921">
        <f>IFERROR(SEARCH(search!$B$6,samples!D458,1),0)</f>
        <v>0</v>
      </c>
      <c r="I921" t="str">
        <f>IF(samples!E458=0,"",samples!E458)</f>
        <v/>
      </c>
      <c r="J921">
        <f>IFERROR(SEARCH(search!$B$6,samples!E458,1),0)</f>
        <v>0</v>
      </c>
      <c r="K921" t="str">
        <f>IF(samples!F458=0,"",samples!F458)</f>
        <v/>
      </c>
      <c r="L921">
        <f>IFERROR(SEARCH(search!$B$6,samples!F458,1),0)</f>
        <v>0</v>
      </c>
      <c r="M921" t="str">
        <f>IF(samples!G458=0,"",samples!G458)</f>
        <v/>
      </c>
      <c r="N921">
        <f>IFERROR(SEARCH(search!$B$6,samples!G458,1),0)</f>
        <v>0</v>
      </c>
      <c r="O921" t="str">
        <f>IF(samples!H458=0,"",samples!H458)</f>
        <v/>
      </c>
      <c r="P921">
        <f>IFERROR(SEARCH(search!$B$6,samples!H458,1),0)</f>
        <v>0</v>
      </c>
      <c r="Q921" t="str">
        <f>IF(samples!I458=0,"",samples!I458)</f>
        <v/>
      </c>
      <c r="R921">
        <f>IFERROR(SEARCH(search!$B$6,samples!I458,1),0)</f>
        <v>0</v>
      </c>
      <c r="S921" t="str">
        <f>IF(samples!J458=0,"",samples!J458)</f>
        <v/>
      </c>
      <c r="T921">
        <f>IFERROR(SEARCH(search!$B$6,samples!J458,1),0)</f>
        <v>0</v>
      </c>
      <c r="U921" t="str">
        <f>IF(samples!K458=0,"",samples!K458)</f>
        <v/>
      </c>
      <c r="V921">
        <f>IFERROR(SEARCH(search!$B$6,samples!K458,1),0)</f>
        <v>0</v>
      </c>
      <c r="W921" t="str">
        <f>IF(samples!L458=0,"",samples!L458)</f>
        <v/>
      </c>
      <c r="X921">
        <f>IFERROR(SEARCH(search!$B$6,samples!L458,1),0)</f>
        <v>0</v>
      </c>
      <c r="Y921" t="str">
        <f>IF(samples!M458=0,"",samples!M458)</f>
        <v/>
      </c>
      <c r="Z921">
        <f>IFERROR(SEARCH(search!$B$6,samples!M458,1),0)</f>
        <v>0</v>
      </c>
      <c r="AA921" t="str">
        <f>IF(samples!N458=0,"",samples!N458)</f>
        <v/>
      </c>
      <c r="AB921">
        <f>IFERROR(SEARCH(search!$B$6,samples!N458,1),0)</f>
        <v>0</v>
      </c>
      <c r="AC921" t="str">
        <f>IF(samples!O458=0,"",samples!O458)</f>
        <v/>
      </c>
      <c r="AD921">
        <f>IFERROR(SEARCH(search!$B$6,samples!O458,1),0)</f>
        <v>0</v>
      </c>
    </row>
    <row r="922" spans="1:30">
      <c r="A922">
        <f t="shared" si="14"/>
        <v>0</v>
      </c>
      <c r="B922">
        <f>IF(SUM(D922,F922,H922,J922,L922,N922,P922,R922,T922,V922,X922,Z922,AB922,AD922)&gt;0,SUM($A$2:A922),0)</f>
        <v>0</v>
      </c>
      <c r="C922">
        <f>samples!B459</f>
        <v>0</v>
      </c>
      <c r="D922">
        <f>IFERROR(SEARCH(search!$B$6,samples!B459,1),0)</f>
        <v>0</v>
      </c>
      <c r="E922" t="str">
        <f>IF(samples!C459=0,"",samples!C459)</f>
        <v/>
      </c>
      <c r="F922">
        <f>IFERROR(SEARCH(search!$B$6,samples!C459,1),0)</f>
        <v>0</v>
      </c>
      <c r="G922" t="str">
        <f>IF(samples!D459=0,"",samples!D459)</f>
        <v/>
      </c>
      <c r="H922">
        <f>IFERROR(SEARCH(search!$B$6,samples!D459,1),0)</f>
        <v>0</v>
      </c>
      <c r="I922" t="str">
        <f>IF(samples!E459=0,"",samples!E459)</f>
        <v/>
      </c>
      <c r="J922">
        <f>IFERROR(SEARCH(search!$B$6,samples!E459,1),0)</f>
        <v>0</v>
      </c>
      <c r="K922" t="str">
        <f>IF(samples!F459=0,"",samples!F459)</f>
        <v/>
      </c>
      <c r="L922">
        <f>IFERROR(SEARCH(search!$B$6,samples!F459,1),0)</f>
        <v>0</v>
      </c>
      <c r="M922" t="str">
        <f>IF(samples!G459=0,"",samples!G459)</f>
        <v/>
      </c>
      <c r="N922">
        <f>IFERROR(SEARCH(search!$B$6,samples!G459,1),0)</f>
        <v>0</v>
      </c>
      <c r="O922" t="str">
        <f>IF(samples!H459=0,"",samples!H459)</f>
        <v/>
      </c>
      <c r="P922">
        <f>IFERROR(SEARCH(search!$B$6,samples!H459,1),0)</f>
        <v>0</v>
      </c>
      <c r="Q922" t="str">
        <f>IF(samples!I459=0,"",samples!I459)</f>
        <v/>
      </c>
      <c r="R922">
        <f>IFERROR(SEARCH(search!$B$6,samples!I459,1),0)</f>
        <v>0</v>
      </c>
      <c r="S922" t="str">
        <f>IF(samples!J459=0,"",samples!J459)</f>
        <v/>
      </c>
      <c r="T922">
        <f>IFERROR(SEARCH(search!$B$6,samples!J459,1),0)</f>
        <v>0</v>
      </c>
      <c r="U922" t="str">
        <f>IF(samples!K459=0,"",samples!K459)</f>
        <v/>
      </c>
      <c r="V922">
        <f>IFERROR(SEARCH(search!$B$6,samples!K459,1),0)</f>
        <v>0</v>
      </c>
      <c r="W922" t="str">
        <f>IF(samples!L459=0,"",samples!L459)</f>
        <v/>
      </c>
      <c r="X922">
        <f>IFERROR(SEARCH(search!$B$6,samples!L459,1),0)</f>
        <v>0</v>
      </c>
      <c r="Y922" t="str">
        <f>IF(samples!M459=0,"",samples!M459)</f>
        <v/>
      </c>
      <c r="Z922">
        <f>IFERROR(SEARCH(search!$B$6,samples!M459,1),0)</f>
        <v>0</v>
      </c>
      <c r="AA922" t="str">
        <f>IF(samples!N459=0,"",samples!N459)</f>
        <v/>
      </c>
      <c r="AB922">
        <f>IFERROR(SEARCH(search!$B$6,samples!N459,1),0)</f>
        <v>0</v>
      </c>
      <c r="AC922" t="str">
        <f>IF(samples!O459=0,"",samples!O459)</f>
        <v/>
      </c>
      <c r="AD922">
        <f>IFERROR(SEARCH(search!$B$6,samples!O459,1),0)</f>
        <v>0</v>
      </c>
    </row>
    <row r="923" spans="1:30">
      <c r="A923">
        <f t="shared" si="14"/>
        <v>0</v>
      </c>
      <c r="B923">
        <f>IF(SUM(D923,F923,H923,J923,L923,N923,P923,R923,T923,V923,X923,Z923,AB923,AD923)&gt;0,SUM($A$2:A923),0)</f>
        <v>0</v>
      </c>
      <c r="C923">
        <f>samples!B460</f>
        <v>0</v>
      </c>
      <c r="D923">
        <f>IFERROR(SEARCH(search!$B$6,samples!B460,1),0)</f>
        <v>0</v>
      </c>
      <c r="E923" t="str">
        <f>IF(samples!C460=0,"",samples!C460)</f>
        <v/>
      </c>
      <c r="F923">
        <f>IFERROR(SEARCH(search!$B$6,samples!C460,1),0)</f>
        <v>0</v>
      </c>
      <c r="G923" t="str">
        <f>IF(samples!D460=0,"",samples!D460)</f>
        <v/>
      </c>
      <c r="H923">
        <f>IFERROR(SEARCH(search!$B$6,samples!D460,1),0)</f>
        <v>0</v>
      </c>
      <c r="I923" t="str">
        <f>IF(samples!E460=0,"",samples!E460)</f>
        <v/>
      </c>
      <c r="J923">
        <f>IFERROR(SEARCH(search!$B$6,samples!E460,1),0)</f>
        <v>0</v>
      </c>
      <c r="K923" t="str">
        <f>IF(samples!F460=0,"",samples!F460)</f>
        <v/>
      </c>
      <c r="L923">
        <f>IFERROR(SEARCH(search!$B$6,samples!F460,1),0)</f>
        <v>0</v>
      </c>
      <c r="M923" t="str">
        <f>IF(samples!G460=0,"",samples!G460)</f>
        <v/>
      </c>
      <c r="N923">
        <f>IFERROR(SEARCH(search!$B$6,samples!G460,1),0)</f>
        <v>0</v>
      </c>
      <c r="O923" t="str">
        <f>IF(samples!H460=0,"",samples!H460)</f>
        <v/>
      </c>
      <c r="P923">
        <f>IFERROR(SEARCH(search!$B$6,samples!H460,1),0)</f>
        <v>0</v>
      </c>
      <c r="Q923" t="str">
        <f>IF(samples!I460=0,"",samples!I460)</f>
        <v/>
      </c>
      <c r="R923">
        <f>IFERROR(SEARCH(search!$B$6,samples!I460,1),0)</f>
        <v>0</v>
      </c>
      <c r="S923" t="str">
        <f>IF(samples!J460=0,"",samples!J460)</f>
        <v/>
      </c>
      <c r="T923">
        <f>IFERROR(SEARCH(search!$B$6,samples!J460,1),0)</f>
        <v>0</v>
      </c>
      <c r="U923" t="str">
        <f>IF(samples!K460=0,"",samples!K460)</f>
        <v/>
      </c>
      <c r="V923">
        <f>IFERROR(SEARCH(search!$B$6,samples!K460,1),0)</f>
        <v>0</v>
      </c>
      <c r="W923" t="str">
        <f>IF(samples!L460=0,"",samples!L460)</f>
        <v/>
      </c>
      <c r="X923">
        <f>IFERROR(SEARCH(search!$B$6,samples!L460,1),0)</f>
        <v>0</v>
      </c>
      <c r="Y923" t="str">
        <f>IF(samples!M460=0,"",samples!M460)</f>
        <v/>
      </c>
      <c r="Z923">
        <f>IFERROR(SEARCH(search!$B$6,samples!M460,1),0)</f>
        <v>0</v>
      </c>
      <c r="AA923" t="str">
        <f>IF(samples!N460=0,"",samples!N460)</f>
        <v/>
      </c>
      <c r="AB923">
        <f>IFERROR(SEARCH(search!$B$6,samples!N460,1),0)</f>
        <v>0</v>
      </c>
      <c r="AC923" t="str">
        <f>IF(samples!O460=0,"",samples!O460)</f>
        <v/>
      </c>
      <c r="AD923">
        <f>IFERROR(SEARCH(search!$B$6,samples!O460,1),0)</f>
        <v>0</v>
      </c>
    </row>
    <row r="924" spans="1:30">
      <c r="A924">
        <f t="shared" si="14"/>
        <v>0</v>
      </c>
      <c r="B924">
        <f>IF(SUM(D924,F924,H924,J924,L924,N924,P924,R924,T924,V924,X924,Z924,AB924,AD924)&gt;0,SUM($A$2:A924),0)</f>
        <v>0</v>
      </c>
      <c r="C924">
        <f>samples!B461</f>
        <v>0</v>
      </c>
      <c r="D924">
        <f>IFERROR(SEARCH(search!$B$6,samples!B461,1),0)</f>
        <v>0</v>
      </c>
      <c r="E924" t="str">
        <f>IF(samples!C461=0,"",samples!C461)</f>
        <v/>
      </c>
      <c r="F924">
        <f>IFERROR(SEARCH(search!$B$6,samples!C461,1),0)</f>
        <v>0</v>
      </c>
      <c r="G924" t="str">
        <f>IF(samples!D461=0,"",samples!D461)</f>
        <v/>
      </c>
      <c r="H924">
        <f>IFERROR(SEARCH(search!$B$6,samples!D461,1),0)</f>
        <v>0</v>
      </c>
      <c r="I924" t="str">
        <f>IF(samples!E461=0,"",samples!E461)</f>
        <v/>
      </c>
      <c r="J924">
        <f>IFERROR(SEARCH(search!$B$6,samples!E461,1),0)</f>
        <v>0</v>
      </c>
      <c r="K924" t="str">
        <f>IF(samples!F461=0,"",samples!F461)</f>
        <v/>
      </c>
      <c r="L924">
        <f>IFERROR(SEARCH(search!$B$6,samples!F461,1),0)</f>
        <v>0</v>
      </c>
      <c r="M924" t="str">
        <f>IF(samples!G461=0,"",samples!G461)</f>
        <v/>
      </c>
      <c r="N924">
        <f>IFERROR(SEARCH(search!$B$6,samples!G461,1),0)</f>
        <v>0</v>
      </c>
      <c r="O924" t="str">
        <f>IF(samples!H461=0,"",samples!H461)</f>
        <v/>
      </c>
      <c r="P924">
        <f>IFERROR(SEARCH(search!$B$6,samples!H461,1),0)</f>
        <v>0</v>
      </c>
      <c r="Q924" t="str">
        <f>IF(samples!I461=0,"",samples!I461)</f>
        <v/>
      </c>
      <c r="R924">
        <f>IFERROR(SEARCH(search!$B$6,samples!I461,1),0)</f>
        <v>0</v>
      </c>
      <c r="S924" t="str">
        <f>IF(samples!J461=0,"",samples!J461)</f>
        <v/>
      </c>
      <c r="T924">
        <f>IFERROR(SEARCH(search!$B$6,samples!J461,1),0)</f>
        <v>0</v>
      </c>
      <c r="U924" t="str">
        <f>IF(samples!K461=0,"",samples!K461)</f>
        <v/>
      </c>
      <c r="V924">
        <f>IFERROR(SEARCH(search!$B$6,samples!K461,1),0)</f>
        <v>0</v>
      </c>
      <c r="W924" t="str">
        <f>IF(samples!L461=0,"",samples!L461)</f>
        <v/>
      </c>
      <c r="X924">
        <f>IFERROR(SEARCH(search!$B$6,samples!L461,1),0)</f>
        <v>0</v>
      </c>
      <c r="Y924" t="str">
        <f>IF(samples!M461=0,"",samples!M461)</f>
        <v/>
      </c>
      <c r="Z924">
        <f>IFERROR(SEARCH(search!$B$6,samples!M461,1),0)</f>
        <v>0</v>
      </c>
      <c r="AA924" t="str">
        <f>IF(samples!N461=0,"",samples!N461)</f>
        <v/>
      </c>
      <c r="AB924">
        <f>IFERROR(SEARCH(search!$B$6,samples!N461,1),0)</f>
        <v>0</v>
      </c>
      <c r="AC924" t="str">
        <f>IF(samples!O461=0,"",samples!O461)</f>
        <v/>
      </c>
      <c r="AD924">
        <f>IFERROR(SEARCH(search!$B$6,samples!O461,1),0)</f>
        <v>0</v>
      </c>
    </row>
    <row r="925" spans="1:30">
      <c r="A925">
        <f t="shared" si="14"/>
        <v>0</v>
      </c>
      <c r="B925">
        <f>IF(SUM(D925,F925,H925,J925,L925,N925,P925,R925,T925,V925,X925,Z925,AB925,AD925)&gt;0,SUM($A$2:A925),0)</f>
        <v>0</v>
      </c>
      <c r="C925">
        <f>samples!B462</f>
        <v>0</v>
      </c>
      <c r="D925">
        <f>IFERROR(SEARCH(search!$B$6,samples!B462,1),0)</f>
        <v>0</v>
      </c>
      <c r="E925" t="str">
        <f>IF(samples!C462=0,"",samples!C462)</f>
        <v/>
      </c>
      <c r="F925">
        <f>IFERROR(SEARCH(search!$B$6,samples!C462,1),0)</f>
        <v>0</v>
      </c>
      <c r="G925" t="str">
        <f>IF(samples!D462=0,"",samples!D462)</f>
        <v/>
      </c>
      <c r="H925">
        <f>IFERROR(SEARCH(search!$B$6,samples!D462,1),0)</f>
        <v>0</v>
      </c>
      <c r="I925" t="str">
        <f>IF(samples!E462=0,"",samples!E462)</f>
        <v/>
      </c>
      <c r="J925">
        <f>IFERROR(SEARCH(search!$B$6,samples!E462,1),0)</f>
        <v>0</v>
      </c>
      <c r="K925" t="str">
        <f>IF(samples!F462=0,"",samples!F462)</f>
        <v/>
      </c>
      <c r="L925">
        <f>IFERROR(SEARCH(search!$B$6,samples!F462,1),0)</f>
        <v>0</v>
      </c>
      <c r="M925" t="str">
        <f>IF(samples!G462=0,"",samples!G462)</f>
        <v/>
      </c>
      <c r="N925">
        <f>IFERROR(SEARCH(search!$B$6,samples!G462,1),0)</f>
        <v>0</v>
      </c>
      <c r="O925" t="str">
        <f>IF(samples!H462=0,"",samples!H462)</f>
        <v/>
      </c>
      <c r="P925">
        <f>IFERROR(SEARCH(search!$B$6,samples!H462,1),0)</f>
        <v>0</v>
      </c>
      <c r="Q925" t="str">
        <f>IF(samples!I462=0,"",samples!I462)</f>
        <v/>
      </c>
      <c r="R925">
        <f>IFERROR(SEARCH(search!$B$6,samples!I462,1),0)</f>
        <v>0</v>
      </c>
      <c r="S925" t="str">
        <f>IF(samples!J462=0,"",samples!J462)</f>
        <v/>
      </c>
      <c r="T925">
        <f>IFERROR(SEARCH(search!$B$6,samples!J462,1),0)</f>
        <v>0</v>
      </c>
      <c r="U925" t="str">
        <f>IF(samples!K462=0,"",samples!K462)</f>
        <v/>
      </c>
      <c r="V925">
        <f>IFERROR(SEARCH(search!$B$6,samples!K462,1),0)</f>
        <v>0</v>
      </c>
      <c r="W925" t="str">
        <f>IF(samples!L462=0,"",samples!L462)</f>
        <v/>
      </c>
      <c r="X925">
        <f>IFERROR(SEARCH(search!$B$6,samples!L462,1),0)</f>
        <v>0</v>
      </c>
      <c r="Y925" t="str">
        <f>IF(samples!M462=0,"",samples!M462)</f>
        <v/>
      </c>
      <c r="Z925">
        <f>IFERROR(SEARCH(search!$B$6,samples!M462,1),0)</f>
        <v>0</v>
      </c>
      <c r="AA925" t="str">
        <f>IF(samples!N462=0,"",samples!N462)</f>
        <v/>
      </c>
      <c r="AB925">
        <f>IFERROR(SEARCH(search!$B$6,samples!N462,1),0)</f>
        <v>0</v>
      </c>
      <c r="AC925" t="str">
        <f>IF(samples!O462=0,"",samples!O462)</f>
        <v/>
      </c>
      <c r="AD925">
        <f>IFERROR(SEARCH(search!$B$6,samples!O462,1),0)</f>
        <v>0</v>
      </c>
    </row>
    <row r="926" spans="1:30">
      <c r="A926">
        <f t="shared" si="14"/>
        <v>0</v>
      </c>
      <c r="B926">
        <f>IF(SUM(D926,F926,H926,J926,L926,N926,P926,R926,T926,V926,X926,Z926,AB926,AD926)&gt;0,SUM($A$2:A926),0)</f>
        <v>0</v>
      </c>
      <c r="C926">
        <f>samples!B463</f>
        <v>0</v>
      </c>
      <c r="D926">
        <f>IFERROR(SEARCH(search!$B$6,samples!B463,1),0)</f>
        <v>0</v>
      </c>
      <c r="E926" t="str">
        <f>IF(samples!C463=0,"",samples!C463)</f>
        <v/>
      </c>
      <c r="F926">
        <f>IFERROR(SEARCH(search!$B$6,samples!C463,1),0)</f>
        <v>0</v>
      </c>
      <c r="G926" t="str">
        <f>IF(samples!D463=0,"",samples!D463)</f>
        <v/>
      </c>
      <c r="H926">
        <f>IFERROR(SEARCH(search!$B$6,samples!D463,1),0)</f>
        <v>0</v>
      </c>
      <c r="I926" t="str">
        <f>IF(samples!E463=0,"",samples!E463)</f>
        <v/>
      </c>
      <c r="J926">
        <f>IFERROR(SEARCH(search!$B$6,samples!E463,1),0)</f>
        <v>0</v>
      </c>
      <c r="K926" t="str">
        <f>IF(samples!F463=0,"",samples!F463)</f>
        <v/>
      </c>
      <c r="L926">
        <f>IFERROR(SEARCH(search!$B$6,samples!F463,1),0)</f>
        <v>0</v>
      </c>
      <c r="M926" t="str">
        <f>IF(samples!G463=0,"",samples!G463)</f>
        <v/>
      </c>
      <c r="N926">
        <f>IFERROR(SEARCH(search!$B$6,samples!G463,1),0)</f>
        <v>0</v>
      </c>
      <c r="O926" t="str">
        <f>IF(samples!H463=0,"",samples!H463)</f>
        <v/>
      </c>
      <c r="P926">
        <f>IFERROR(SEARCH(search!$B$6,samples!H463,1),0)</f>
        <v>0</v>
      </c>
      <c r="Q926" t="str">
        <f>IF(samples!I463=0,"",samples!I463)</f>
        <v/>
      </c>
      <c r="R926">
        <f>IFERROR(SEARCH(search!$B$6,samples!I463,1),0)</f>
        <v>0</v>
      </c>
      <c r="S926" t="str">
        <f>IF(samples!J463=0,"",samples!J463)</f>
        <v/>
      </c>
      <c r="T926">
        <f>IFERROR(SEARCH(search!$B$6,samples!J463,1),0)</f>
        <v>0</v>
      </c>
      <c r="U926" t="str">
        <f>IF(samples!K463=0,"",samples!K463)</f>
        <v/>
      </c>
      <c r="V926">
        <f>IFERROR(SEARCH(search!$B$6,samples!K463,1),0)</f>
        <v>0</v>
      </c>
      <c r="W926" t="str">
        <f>IF(samples!L463=0,"",samples!L463)</f>
        <v/>
      </c>
      <c r="X926">
        <f>IFERROR(SEARCH(search!$B$6,samples!L463,1),0)</f>
        <v>0</v>
      </c>
      <c r="Y926" t="str">
        <f>IF(samples!M463=0,"",samples!M463)</f>
        <v/>
      </c>
      <c r="Z926">
        <f>IFERROR(SEARCH(search!$B$6,samples!M463,1),0)</f>
        <v>0</v>
      </c>
      <c r="AA926" t="str">
        <f>IF(samples!N463=0,"",samples!N463)</f>
        <v/>
      </c>
      <c r="AB926">
        <f>IFERROR(SEARCH(search!$B$6,samples!N463,1),0)</f>
        <v>0</v>
      </c>
      <c r="AC926" t="str">
        <f>IF(samples!O463=0,"",samples!O463)</f>
        <v/>
      </c>
      <c r="AD926">
        <f>IFERROR(SEARCH(search!$B$6,samples!O463,1),0)</f>
        <v>0</v>
      </c>
    </row>
    <row r="927" spans="1:30">
      <c r="A927">
        <f t="shared" si="14"/>
        <v>0</v>
      </c>
      <c r="B927">
        <f>IF(SUM(D927,F927,H927,J927,L927,N927,P927,R927,T927,V927,X927,Z927,AB927,AD927)&gt;0,SUM($A$2:A927),0)</f>
        <v>0</v>
      </c>
      <c r="C927">
        <f>samples!B464</f>
        <v>0</v>
      </c>
      <c r="D927">
        <f>IFERROR(SEARCH(search!$B$6,samples!B464,1),0)</f>
        <v>0</v>
      </c>
      <c r="E927" t="str">
        <f>IF(samples!C464=0,"",samples!C464)</f>
        <v/>
      </c>
      <c r="F927">
        <f>IFERROR(SEARCH(search!$B$6,samples!C464,1),0)</f>
        <v>0</v>
      </c>
      <c r="G927" t="str">
        <f>IF(samples!D464=0,"",samples!D464)</f>
        <v/>
      </c>
      <c r="H927">
        <f>IFERROR(SEARCH(search!$B$6,samples!D464,1),0)</f>
        <v>0</v>
      </c>
      <c r="I927" t="str">
        <f>IF(samples!E464=0,"",samples!E464)</f>
        <v/>
      </c>
      <c r="J927">
        <f>IFERROR(SEARCH(search!$B$6,samples!E464,1),0)</f>
        <v>0</v>
      </c>
      <c r="K927" t="str">
        <f>IF(samples!F464=0,"",samples!F464)</f>
        <v/>
      </c>
      <c r="L927">
        <f>IFERROR(SEARCH(search!$B$6,samples!F464,1),0)</f>
        <v>0</v>
      </c>
      <c r="M927" t="str">
        <f>IF(samples!G464=0,"",samples!G464)</f>
        <v/>
      </c>
      <c r="N927">
        <f>IFERROR(SEARCH(search!$B$6,samples!G464,1),0)</f>
        <v>0</v>
      </c>
      <c r="O927" t="str">
        <f>IF(samples!H464=0,"",samples!H464)</f>
        <v/>
      </c>
      <c r="P927">
        <f>IFERROR(SEARCH(search!$B$6,samples!H464,1),0)</f>
        <v>0</v>
      </c>
      <c r="Q927" t="str">
        <f>IF(samples!I464=0,"",samples!I464)</f>
        <v/>
      </c>
      <c r="R927">
        <f>IFERROR(SEARCH(search!$B$6,samples!I464,1),0)</f>
        <v>0</v>
      </c>
      <c r="S927" t="str">
        <f>IF(samples!J464=0,"",samples!J464)</f>
        <v/>
      </c>
      <c r="T927">
        <f>IFERROR(SEARCH(search!$B$6,samples!J464,1),0)</f>
        <v>0</v>
      </c>
      <c r="U927" t="str">
        <f>IF(samples!K464=0,"",samples!K464)</f>
        <v/>
      </c>
      <c r="V927">
        <f>IFERROR(SEARCH(search!$B$6,samples!K464,1),0)</f>
        <v>0</v>
      </c>
      <c r="W927" t="str">
        <f>IF(samples!L464=0,"",samples!L464)</f>
        <v/>
      </c>
      <c r="X927">
        <f>IFERROR(SEARCH(search!$B$6,samples!L464,1),0)</f>
        <v>0</v>
      </c>
      <c r="Y927" t="str">
        <f>IF(samples!M464=0,"",samples!M464)</f>
        <v/>
      </c>
      <c r="Z927">
        <f>IFERROR(SEARCH(search!$B$6,samples!M464,1),0)</f>
        <v>0</v>
      </c>
      <c r="AA927" t="str">
        <f>IF(samples!N464=0,"",samples!N464)</f>
        <v/>
      </c>
      <c r="AB927">
        <f>IFERROR(SEARCH(search!$B$6,samples!N464,1),0)</f>
        <v>0</v>
      </c>
      <c r="AC927" t="str">
        <f>IF(samples!O464=0,"",samples!O464)</f>
        <v/>
      </c>
      <c r="AD927">
        <f>IFERROR(SEARCH(search!$B$6,samples!O464,1),0)</f>
        <v>0</v>
      </c>
    </row>
    <row r="928" spans="1:30">
      <c r="A928">
        <f t="shared" si="14"/>
        <v>0</v>
      </c>
      <c r="B928">
        <f>IF(SUM(D928,F928,H928,J928,L928,N928,P928,R928,T928,V928,X928,Z928,AB928,AD928)&gt;0,SUM($A$2:A928),0)</f>
        <v>0</v>
      </c>
      <c r="C928">
        <f>samples!B465</f>
        <v>0</v>
      </c>
      <c r="D928">
        <f>IFERROR(SEARCH(search!$B$6,samples!B465,1),0)</f>
        <v>0</v>
      </c>
      <c r="E928" t="str">
        <f>IF(samples!C465=0,"",samples!C465)</f>
        <v/>
      </c>
      <c r="F928">
        <f>IFERROR(SEARCH(search!$B$6,samples!C465,1),0)</f>
        <v>0</v>
      </c>
      <c r="G928" t="str">
        <f>IF(samples!D465=0,"",samples!D465)</f>
        <v/>
      </c>
      <c r="H928">
        <f>IFERROR(SEARCH(search!$B$6,samples!D465,1),0)</f>
        <v>0</v>
      </c>
      <c r="I928" t="str">
        <f>IF(samples!E465=0,"",samples!E465)</f>
        <v/>
      </c>
      <c r="J928">
        <f>IFERROR(SEARCH(search!$B$6,samples!E465,1),0)</f>
        <v>0</v>
      </c>
      <c r="K928" t="str">
        <f>IF(samples!F465=0,"",samples!F465)</f>
        <v/>
      </c>
      <c r="L928">
        <f>IFERROR(SEARCH(search!$B$6,samples!F465,1),0)</f>
        <v>0</v>
      </c>
      <c r="M928" t="str">
        <f>IF(samples!G465=0,"",samples!G465)</f>
        <v/>
      </c>
      <c r="N928">
        <f>IFERROR(SEARCH(search!$B$6,samples!G465,1),0)</f>
        <v>0</v>
      </c>
      <c r="O928" t="str">
        <f>IF(samples!H465=0,"",samples!H465)</f>
        <v/>
      </c>
      <c r="P928">
        <f>IFERROR(SEARCH(search!$B$6,samples!H465,1),0)</f>
        <v>0</v>
      </c>
      <c r="Q928" t="str">
        <f>IF(samples!I465=0,"",samples!I465)</f>
        <v/>
      </c>
      <c r="R928">
        <f>IFERROR(SEARCH(search!$B$6,samples!I465,1),0)</f>
        <v>0</v>
      </c>
      <c r="S928" t="str">
        <f>IF(samples!J465=0,"",samples!J465)</f>
        <v/>
      </c>
      <c r="T928">
        <f>IFERROR(SEARCH(search!$B$6,samples!J465,1),0)</f>
        <v>0</v>
      </c>
      <c r="U928" t="str">
        <f>IF(samples!K465=0,"",samples!K465)</f>
        <v/>
      </c>
      <c r="V928">
        <f>IFERROR(SEARCH(search!$B$6,samples!K465,1),0)</f>
        <v>0</v>
      </c>
      <c r="W928" t="str">
        <f>IF(samples!L465=0,"",samples!L465)</f>
        <v/>
      </c>
      <c r="X928">
        <f>IFERROR(SEARCH(search!$B$6,samples!L465,1),0)</f>
        <v>0</v>
      </c>
      <c r="Y928" t="str">
        <f>IF(samples!M465=0,"",samples!M465)</f>
        <v/>
      </c>
      <c r="Z928">
        <f>IFERROR(SEARCH(search!$B$6,samples!M465,1),0)</f>
        <v>0</v>
      </c>
      <c r="AA928" t="str">
        <f>IF(samples!N465=0,"",samples!N465)</f>
        <v/>
      </c>
      <c r="AB928">
        <f>IFERROR(SEARCH(search!$B$6,samples!N465,1),0)</f>
        <v>0</v>
      </c>
      <c r="AC928" t="str">
        <f>IF(samples!O465=0,"",samples!O465)</f>
        <v/>
      </c>
      <c r="AD928">
        <f>IFERROR(SEARCH(search!$B$6,samples!O465,1),0)</f>
        <v>0</v>
      </c>
    </row>
    <row r="929" spans="1:30">
      <c r="A929">
        <f t="shared" si="14"/>
        <v>0</v>
      </c>
      <c r="B929">
        <f>IF(SUM(D929,F929,H929,J929,L929,N929,P929,R929,T929,V929,X929,Z929,AB929,AD929)&gt;0,SUM($A$2:A929),0)</f>
        <v>0</v>
      </c>
      <c r="C929">
        <f>samples!B466</f>
        <v>0</v>
      </c>
      <c r="D929">
        <f>IFERROR(SEARCH(search!$B$6,samples!B466,1),0)</f>
        <v>0</v>
      </c>
      <c r="E929" t="str">
        <f>IF(samples!C466=0,"",samples!C466)</f>
        <v/>
      </c>
      <c r="F929">
        <f>IFERROR(SEARCH(search!$B$6,samples!C466,1),0)</f>
        <v>0</v>
      </c>
      <c r="G929" t="str">
        <f>IF(samples!D466=0,"",samples!D466)</f>
        <v/>
      </c>
      <c r="H929">
        <f>IFERROR(SEARCH(search!$B$6,samples!D466,1),0)</f>
        <v>0</v>
      </c>
      <c r="I929" t="str">
        <f>IF(samples!E466=0,"",samples!E466)</f>
        <v/>
      </c>
      <c r="J929">
        <f>IFERROR(SEARCH(search!$B$6,samples!E466,1),0)</f>
        <v>0</v>
      </c>
      <c r="K929" t="str">
        <f>IF(samples!F466=0,"",samples!F466)</f>
        <v/>
      </c>
      <c r="L929">
        <f>IFERROR(SEARCH(search!$B$6,samples!F466,1),0)</f>
        <v>0</v>
      </c>
      <c r="M929" t="str">
        <f>IF(samples!G466=0,"",samples!G466)</f>
        <v/>
      </c>
      <c r="N929">
        <f>IFERROR(SEARCH(search!$B$6,samples!G466,1),0)</f>
        <v>0</v>
      </c>
      <c r="O929" t="str">
        <f>IF(samples!H466=0,"",samples!H466)</f>
        <v/>
      </c>
      <c r="P929">
        <f>IFERROR(SEARCH(search!$B$6,samples!H466,1),0)</f>
        <v>0</v>
      </c>
      <c r="Q929" t="str">
        <f>IF(samples!I466=0,"",samples!I466)</f>
        <v/>
      </c>
      <c r="R929">
        <f>IFERROR(SEARCH(search!$B$6,samples!I466,1),0)</f>
        <v>0</v>
      </c>
      <c r="S929" t="str">
        <f>IF(samples!J466=0,"",samples!J466)</f>
        <v/>
      </c>
      <c r="T929">
        <f>IFERROR(SEARCH(search!$B$6,samples!J466,1),0)</f>
        <v>0</v>
      </c>
      <c r="U929" t="str">
        <f>IF(samples!K466=0,"",samples!K466)</f>
        <v/>
      </c>
      <c r="V929">
        <f>IFERROR(SEARCH(search!$B$6,samples!K466,1),0)</f>
        <v>0</v>
      </c>
      <c r="W929" t="str">
        <f>IF(samples!L466=0,"",samples!L466)</f>
        <v/>
      </c>
      <c r="X929">
        <f>IFERROR(SEARCH(search!$B$6,samples!L466,1),0)</f>
        <v>0</v>
      </c>
      <c r="Y929" t="str">
        <f>IF(samples!M466=0,"",samples!M466)</f>
        <v/>
      </c>
      <c r="Z929">
        <f>IFERROR(SEARCH(search!$B$6,samples!M466,1),0)</f>
        <v>0</v>
      </c>
      <c r="AA929" t="str">
        <f>IF(samples!N466=0,"",samples!N466)</f>
        <v/>
      </c>
      <c r="AB929">
        <f>IFERROR(SEARCH(search!$B$6,samples!N466,1),0)</f>
        <v>0</v>
      </c>
      <c r="AC929" t="str">
        <f>IF(samples!O466=0,"",samples!O466)</f>
        <v/>
      </c>
      <c r="AD929">
        <f>IFERROR(SEARCH(search!$B$6,samples!O466,1),0)</f>
        <v>0</v>
      </c>
    </row>
    <row r="930" spans="1:30">
      <c r="A930">
        <f t="shared" si="14"/>
        <v>0</v>
      </c>
      <c r="B930">
        <f>IF(SUM(D930,F930,H930,J930,L930,N930,P930,R930,T930,V930,X930,Z930,AB930,AD930)&gt;0,SUM($A$2:A930),0)</f>
        <v>0</v>
      </c>
      <c r="C930">
        <f>samples!B467</f>
        <v>0</v>
      </c>
      <c r="D930">
        <f>IFERROR(SEARCH(search!$B$6,samples!B467,1),0)</f>
        <v>0</v>
      </c>
      <c r="E930" t="str">
        <f>IF(samples!C467=0,"",samples!C467)</f>
        <v/>
      </c>
      <c r="F930">
        <f>IFERROR(SEARCH(search!$B$6,samples!C467,1),0)</f>
        <v>0</v>
      </c>
      <c r="G930" t="str">
        <f>IF(samples!D467=0,"",samples!D467)</f>
        <v/>
      </c>
      <c r="H930">
        <f>IFERROR(SEARCH(search!$B$6,samples!D467,1),0)</f>
        <v>0</v>
      </c>
      <c r="I930" t="str">
        <f>IF(samples!E467=0,"",samples!E467)</f>
        <v/>
      </c>
      <c r="J930">
        <f>IFERROR(SEARCH(search!$B$6,samples!E467,1),0)</f>
        <v>0</v>
      </c>
      <c r="K930" t="str">
        <f>IF(samples!F467=0,"",samples!F467)</f>
        <v/>
      </c>
      <c r="L930">
        <f>IFERROR(SEARCH(search!$B$6,samples!F467,1),0)</f>
        <v>0</v>
      </c>
      <c r="M930" t="str">
        <f>IF(samples!G467=0,"",samples!G467)</f>
        <v/>
      </c>
      <c r="N930">
        <f>IFERROR(SEARCH(search!$B$6,samples!G467,1),0)</f>
        <v>0</v>
      </c>
      <c r="O930" t="str">
        <f>IF(samples!H467=0,"",samples!H467)</f>
        <v/>
      </c>
      <c r="P930">
        <f>IFERROR(SEARCH(search!$B$6,samples!H467,1),0)</f>
        <v>0</v>
      </c>
      <c r="Q930" t="str">
        <f>IF(samples!I467=0,"",samples!I467)</f>
        <v/>
      </c>
      <c r="R930">
        <f>IFERROR(SEARCH(search!$B$6,samples!I467,1),0)</f>
        <v>0</v>
      </c>
      <c r="S930" t="str">
        <f>IF(samples!J467=0,"",samples!J467)</f>
        <v/>
      </c>
      <c r="T930">
        <f>IFERROR(SEARCH(search!$B$6,samples!J467,1),0)</f>
        <v>0</v>
      </c>
      <c r="U930" t="str">
        <f>IF(samples!K467=0,"",samples!K467)</f>
        <v/>
      </c>
      <c r="V930">
        <f>IFERROR(SEARCH(search!$B$6,samples!K467,1),0)</f>
        <v>0</v>
      </c>
      <c r="W930" t="str">
        <f>IF(samples!L467=0,"",samples!L467)</f>
        <v/>
      </c>
      <c r="X930">
        <f>IFERROR(SEARCH(search!$B$6,samples!L467,1),0)</f>
        <v>0</v>
      </c>
      <c r="Y930" t="str">
        <f>IF(samples!M467=0,"",samples!M467)</f>
        <v/>
      </c>
      <c r="Z930">
        <f>IFERROR(SEARCH(search!$B$6,samples!M467,1),0)</f>
        <v>0</v>
      </c>
      <c r="AA930" t="str">
        <f>IF(samples!N467=0,"",samples!N467)</f>
        <v/>
      </c>
      <c r="AB930">
        <f>IFERROR(SEARCH(search!$B$6,samples!N467,1),0)</f>
        <v>0</v>
      </c>
      <c r="AC930" t="str">
        <f>IF(samples!O467=0,"",samples!O467)</f>
        <v/>
      </c>
      <c r="AD930">
        <f>IFERROR(SEARCH(search!$B$6,samples!O467,1),0)</f>
        <v>0</v>
      </c>
    </row>
    <row r="931" spans="1:30">
      <c r="A931">
        <f t="shared" si="14"/>
        <v>0</v>
      </c>
      <c r="B931">
        <f>IF(SUM(D931,F931,H931,J931,L931,N931,P931,R931,T931,V931,X931,Z931,AB931,AD931)&gt;0,SUM($A$2:A931),0)</f>
        <v>0</v>
      </c>
      <c r="C931">
        <f>samples!B468</f>
        <v>0</v>
      </c>
      <c r="D931">
        <f>IFERROR(SEARCH(search!$B$6,samples!B468,1),0)</f>
        <v>0</v>
      </c>
      <c r="E931" t="str">
        <f>IF(samples!C468=0,"",samples!C468)</f>
        <v/>
      </c>
      <c r="F931">
        <f>IFERROR(SEARCH(search!$B$6,samples!C468,1),0)</f>
        <v>0</v>
      </c>
      <c r="G931" t="str">
        <f>IF(samples!D468=0,"",samples!D468)</f>
        <v/>
      </c>
      <c r="H931">
        <f>IFERROR(SEARCH(search!$B$6,samples!D468,1),0)</f>
        <v>0</v>
      </c>
      <c r="I931" t="str">
        <f>IF(samples!E468=0,"",samples!E468)</f>
        <v/>
      </c>
      <c r="J931">
        <f>IFERROR(SEARCH(search!$B$6,samples!E468,1),0)</f>
        <v>0</v>
      </c>
      <c r="K931" t="str">
        <f>IF(samples!F468=0,"",samples!F468)</f>
        <v/>
      </c>
      <c r="L931">
        <f>IFERROR(SEARCH(search!$B$6,samples!F468,1),0)</f>
        <v>0</v>
      </c>
      <c r="M931" t="str">
        <f>IF(samples!G468=0,"",samples!G468)</f>
        <v/>
      </c>
      <c r="N931">
        <f>IFERROR(SEARCH(search!$B$6,samples!G468,1),0)</f>
        <v>0</v>
      </c>
      <c r="O931" t="str">
        <f>IF(samples!H468=0,"",samples!H468)</f>
        <v/>
      </c>
      <c r="P931">
        <f>IFERROR(SEARCH(search!$B$6,samples!H468,1),0)</f>
        <v>0</v>
      </c>
      <c r="Q931" t="str">
        <f>IF(samples!I468=0,"",samples!I468)</f>
        <v/>
      </c>
      <c r="R931">
        <f>IFERROR(SEARCH(search!$B$6,samples!I468,1),0)</f>
        <v>0</v>
      </c>
      <c r="S931" t="str">
        <f>IF(samples!J468=0,"",samples!J468)</f>
        <v/>
      </c>
      <c r="T931">
        <f>IFERROR(SEARCH(search!$B$6,samples!J468,1),0)</f>
        <v>0</v>
      </c>
      <c r="U931" t="str">
        <f>IF(samples!K468=0,"",samples!K468)</f>
        <v/>
      </c>
      <c r="V931">
        <f>IFERROR(SEARCH(search!$B$6,samples!K468,1),0)</f>
        <v>0</v>
      </c>
      <c r="W931" t="str">
        <f>IF(samples!L468=0,"",samples!L468)</f>
        <v/>
      </c>
      <c r="X931">
        <f>IFERROR(SEARCH(search!$B$6,samples!L468,1),0)</f>
        <v>0</v>
      </c>
      <c r="Y931" t="str">
        <f>IF(samples!M468=0,"",samples!M468)</f>
        <v/>
      </c>
      <c r="Z931">
        <f>IFERROR(SEARCH(search!$B$6,samples!M468,1),0)</f>
        <v>0</v>
      </c>
      <c r="AA931" t="str">
        <f>IF(samples!N468=0,"",samples!N468)</f>
        <v/>
      </c>
      <c r="AB931">
        <f>IFERROR(SEARCH(search!$B$6,samples!N468,1),0)</f>
        <v>0</v>
      </c>
      <c r="AC931" t="str">
        <f>IF(samples!O468=0,"",samples!O468)</f>
        <v/>
      </c>
      <c r="AD931">
        <f>IFERROR(SEARCH(search!$B$6,samples!O468,1),0)</f>
        <v>0</v>
      </c>
    </row>
    <row r="932" spans="1:30">
      <c r="A932">
        <f t="shared" si="14"/>
        <v>0</v>
      </c>
      <c r="B932">
        <f>IF(SUM(D932,F932,H932,J932,L932,N932,P932,R932,T932,V932,X932,Z932,AB932,AD932)&gt;0,SUM($A$2:A932),0)</f>
        <v>0</v>
      </c>
      <c r="C932">
        <f>samples!B469</f>
        <v>0</v>
      </c>
      <c r="D932">
        <f>IFERROR(SEARCH(search!$B$6,samples!B469,1),0)</f>
        <v>0</v>
      </c>
      <c r="E932" t="str">
        <f>IF(samples!C469=0,"",samples!C469)</f>
        <v/>
      </c>
      <c r="F932">
        <f>IFERROR(SEARCH(search!$B$6,samples!C469,1),0)</f>
        <v>0</v>
      </c>
      <c r="G932" t="str">
        <f>IF(samples!D469=0,"",samples!D469)</f>
        <v/>
      </c>
      <c r="H932">
        <f>IFERROR(SEARCH(search!$B$6,samples!D469,1),0)</f>
        <v>0</v>
      </c>
      <c r="I932" t="str">
        <f>IF(samples!E469=0,"",samples!E469)</f>
        <v/>
      </c>
      <c r="J932">
        <f>IFERROR(SEARCH(search!$B$6,samples!E469,1),0)</f>
        <v>0</v>
      </c>
      <c r="K932" t="str">
        <f>IF(samples!F469=0,"",samples!F469)</f>
        <v/>
      </c>
      <c r="L932">
        <f>IFERROR(SEARCH(search!$B$6,samples!F469,1),0)</f>
        <v>0</v>
      </c>
      <c r="M932" t="str">
        <f>IF(samples!G469=0,"",samples!G469)</f>
        <v/>
      </c>
      <c r="N932">
        <f>IFERROR(SEARCH(search!$B$6,samples!G469,1),0)</f>
        <v>0</v>
      </c>
      <c r="O932" t="str">
        <f>IF(samples!H469=0,"",samples!H469)</f>
        <v/>
      </c>
      <c r="P932">
        <f>IFERROR(SEARCH(search!$B$6,samples!H469,1),0)</f>
        <v>0</v>
      </c>
      <c r="Q932" t="str">
        <f>IF(samples!I469=0,"",samples!I469)</f>
        <v/>
      </c>
      <c r="R932">
        <f>IFERROR(SEARCH(search!$B$6,samples!I469,1),0)</f>
        <v>0</v>
      </c>
      <c r="S932" t="str">
        <f>IF(samples!J469=0,"",samples!J469)</f>
        <v/>
      </c>
      <c r="T932">
        <f>IFERROR(SEARCH(search!$B$6,samples!J469,1),0)</f>
        <v>0</v>
      </c>
      <c r="U932" t="str">
        <f>IF(samples!K469=0,"",samples!K469)</f>
        <v/>
      </c>
      <c r="V932">
        <f>IFERROR(SEARCH(search!$B$6,samples!K469,1),0)</f>
        <v>0</v>
      </c>
      <c r="W932" t="str">
        <f>IF(samples!L469=0,"",samples!L469)</f>
        <v/>
      </c>
      <c r="X932">
        <f>IFERROR(SEARCH(search!$B$6,samples!L469,1),0)</f>
        <v>0</v>
      </c>
      <c r="Y932" t="str">
        <f>IF(samples!M469=0,"",samples!M469)</f>
        <v/>
      </c>
      <c r="Z932">
        <f>IFERROR(SEARCH(search!$B$6,samples!M469,1),0)</f>
        <v>0</v>
      </c>
      <c r="AA932" t="str">
        <f>IF(samples!N469=0,"",samples!N469)</f>
        <v/>
      </c>
      <c r="AB932">
        <f>IFERROR(SEARCH(search!$B$6,samples!N469,1),0)</f>
        <v>0</v>
      </c>
      <c r="AC932" t="str">
        <f>IF(samples!O469=0,"",samples!O469)</f>
        <v/>
      </c>
      <c r="AD932">
        <f>IFERROR(SEARCH(search!$B$6,samples!O469,1),0)</f>
        <v>0</v>
      </c>
    </row>
    <row r="933" spans="1:30">
      <c r="A933">
        <f t="shared" si="14"/>
        <v>0</v>
      </c>
      <c r="B933">
        <f>IF(SUM(D933,F933,H933,J933,L933,N933,P933,R933,T933,V933,X933,Z933,AB933,AD933)&gt;0,SUM($A$2:A933),0)</f>
        <v>0</v>
      </c>
      <c r="C933">
        <f>samples!B470</f>
        <v>0</v>
      </c>
      <c r="D933">
        <f>IFERROR(SEARCH(search!$B$6,samples!B470,1),0)</f>
        <v>0</v>
      </c>
      <c r="E933" t="str">
        <f>IF(samples!C470=0,"",samples!C470)</f>
        <v/>
      </c>
      <c r="F933">
        <f>IFERROR(SEARCH(search!$B$6,samples!C470,1),0)</f>
        <v>0</v>
      </c>
      <c r="G933" t="str">
        <f>IF(samples!D470=0,"",samples!D470)</f>
        <v/>
      </c>
      <c r="H933">
        <f>IFERROR(SEARCH(search!$B$6,samples!D470,1),0)</f>
        <v>0</v>
      </c>
      <c r="I933" t="str">
        <f>IF(samples!E470=0,"",samples!E470)</f>
        <v/>
      </c>
      <c r="J933">
        <f>IFERROR(SEARCH(search!$B$6,samples!E470,1),0)</f>
        <v>0</v>
      </c>
      <c r="K933" t="str">
        <f>IF(samples!F470=0,"",samples!F470)</f>
        <v/>
      </c>
      <c r="L933">
        <f>IFERROR(SEARCH(search!$B$6,samples!F470,1),0)</f>
        <v>0</v>
      </c>
      <c r="M933" t="str">
        <f>IF(samples!G470=0,"",samples!G470)</f>
        <v/>
      </c>
      <c r="N933">
        <f>IFERROR(SEARCH(search!$B$6,samples!G470,1),0)</f>
        <v>0</v>
      </c>
      <c r="O933" t="str">
        <f>IF(samples!H470=0,"",samples!H470)</f>
        <v/>
      </c>
      <c r="P933">
        <f>IFERROR(SEARCH(search!$B$6,samples!H470,1),0)</f>
        <v>0</v>
      </c>
      <c r="Q933" t="str">
        <f>IF(samples!I470=0,"",samples!I470)</f>
        <v/>
      </c>
      <c r="R933">
        <f>IFERROR(SEARCH(search!$B$6,samples!I470,1),0)</f>
        <v>0</v>
      </c>
      <c r="S933" t="str">
        <f>IF(samples!J470=0,"",samples!J470)</f>
        <v/>
      </c>
      <c r="T933">
        <f>IFERROR(SEARCH(search!$B$6,samples!J470,1),0)</f>
        <v>0</v>
      </c>
      <c r="U933" t="str">
        <f>IF(samples!K470=0,"",samples!K470)</f>
        <v/>
      </c>
      <c r="V933">
        <f>IFERROR(SEARCH(search!$B$6,samples!K470,1),0)</f>
        <v>0</v>
      </c>
      <c r="W933" t="str">
        <f>IF(samples!L470=0,"",samples!L470)</f>
        <v/>
      </c>
      <c r="X933">
        <f>IFERROR(SEARCH(search!$B$6,samples!L470,1),0)</f>
        <v>0</v>
      </c>
      <c r="Y933" t="str">
        <f>IF(samples!M470=0,"",samples!M470)</f>
        <v/>
      </c>
      <c r="Z933">
        <f>IFERROR(SEARCH(search!$B$6,samples!M470,1),0)</f>
        <v>0</v>
      </c>
      <c r="AA933" t="str">
        <f>IF(samples!N470=0,"",samples!N470)</f>
        <v/>
      </c>
      <c r="AB933">
        <f>IFERROR(SEARCH(search!$B$6,samples!N470,1),0)</f>
        <v>0</v>
      </c>
      <c r="AC933" t="str">
        <f>IF(samples!O470=0,"",samples!O470)</f>
        <v/>
      </c>
      <c r="AD933">
        <f>IFERROR(SEARCH(search!$B$6,samples!O470,1),0)</f>
        <v>0</v>
      </c>
    </row>
    <row r="934" spans="1:30">
      <c r="A934">
        <f t="shared" si="14"/>
        <v>0</v>
      </c>
      <c r="B934">
        <f>IF(SUM(D934,F934,H934,J934,L934,N934,P934,R934,T934,V934,X934,Z934,AB934,AD934)&gt;0,SUM($A$2:A934),0)</f>
        <v>0</v>
      </c>
      <c r="C934">
        <f>samples!B471</f>
        <v>0</v>
      </c>
      <c r="D934">
        <f>IFERROR(SEARCH(search!$B$6,samples!B471,1),0)</f>
        <v>0</v>
      </c>
      <c r="E934" t="str">
        <f>IF(samples!C471=0,"",samples!C471)</f>
        <v/>
      </c>
      <c r="F934">
        <f>IFERROR(SEARCH(search!$B$6,samples!C471,1),0)</f>
        <v>0</v>
      </c>
      <c r="G934" t="str">
        <f>IF(samples!D471=0,"",samples!D471)</f>
        <v/>
      </c>
      <c r="H934">
        <f>IFERROR(SEARCH(search!$B$6,samples!D471,1),0)</f>
        <v>0</v>
      </c>
      <c r="I934" t="str">
        <f>IF(samples!E471=0,"",samples!E471)</f>
        <v/>
      </c>
      <c r="J934">
        <f>IFERROR(SEARCH(search!$B$6,samples!E471,1),0)</f>
        <v>0</v>
      </c>
      <c r="K934" t="str">
        <f>IF(samples!F471=0,"",samples!F471)</f>
        <v/>
      </c>
      <c r="L934">
        <f>IFERROR(SEARCH(search!$B$6,samples!F471,1),0)</f>
        <v>0</v>
      </c>
      <c r="M934" t="str">
        <f>IF(samples!G471=0,"",samples!G471)</f>
        <v/>
      </c>
      <c r="N934">
        <f>IFERROR(SEARCH(search!$B$6,samples!G471,1),0)</f>
        <v>0</v>
      </c>
      <c r="O934" t="str">
        <f>IF(samples!H471=0,"",samples!H471)</f>
        <v/>
      </c>
      <c r="P934">
        <f>IFERROR(SEARCH(search!$B$6,samples!H471,1),0)</f>
        <v>0</v>
      </c>
      <c r="Q934" t="str">
        <f>IF(samples!I471=0,"",samples!I471)</f>
        <v/>
      </c>
      <c r="R934">
        <f>IFERROR(SEARCH(search!$B$6,samples!I471,1),0)</f>
        <v>0</v>
      </c>
      <c r="S934" t="str">
        <f>IF(samples!J471=0,"",samples!J471)</f>
        <v/>
      </c>
      <c r="T934">
        <f>IFERROR(SEARCH(search!$B$6,samples!J471,1),0)</f>
        <v>0</v>
      </c>
      <c r="U934" t="str">
        <f>IF(samples!K471=0,"",samples!K471)</f>
        <v/>
      </c>
      <c r="V934">
        <f>IFERROR(SEARCH(search!$B$6,samples!K471,1),0)</f>
        <v>0</v>
      </c>
      <c r="W934" t="str">
        <f>IF(samples!L471=0,"",samples!L471)</f>
        <v/>
      </c>
      <c r="X934">
        <f>IFERROR(SEARCH(search!$B$6,samples!L471,1),0)</f>
        <v>0</v>
      </c>
      <c r="Y934" t="str">
        <f>IF(samples!M471=0,"",samples!M471)</f>
        <v/>
      </c>
      <c r="Z934">
        <f>IFERROR(SEARCH(search!$B$6,samples!M471,1),0)</f>
        <v>0</v>
      </c>
      <c r="AA934" t="str">
        <f>IF(samples!N471=0,"",samples!N471)</f>
        <v/>
      </c>
      <c r="AB934">
        <f>IFERROR(SEARCH(search!$B$6,samples!N471,1),0)</f>
        <v>0</v>
      </c>
      <c r="AC934" t="str">
        <f>IF(samples!O471=0,"",samples!O471)</f>
        <v/>
      </c>
      <c r="AD934">
        <f>IFERROR(SEARCH(search!$B$6,samples!O471,1),0)</f>
        <v>0</v>
      </c>
    </row>
    <row r="935" spans="1:30">
      <c r="A935">
        <f t="shared" si="14"/>
        <v>0</v>
      </c>
      <c r="B935">
        <f>IF(SUM(D935,F935,H935,J935,L935,N935,P935,R935,T935,V935,X935,Z935,AB935,AD935)&gt;0,SUM($A$2:A935),0)</f>
        <v>0</v>
      </c>
      <c r="C935">
        <f>samples!B472</f>
        <v>0</v>
      </c>
      <c r="D935">
        <f>IFERROR(SEARCH(search!$B$6,samples!B472,1),0)</f>
        <v>0</v>
      </c>
      <c r="E935" t="str">
        <f>IF(samples!C472=0,"",samples!C472)</f>
        <v/>
      </c>
      <c r="F935">
        <f>IFERROR(SEARCH(search!$B$6,samples!C472,1),0)</f>
        <v>0</v>
      </c>
      <c r="G935" t="str">
        <f>IF(samples!D472=0,"",samples!D472)</f>
        <v/>
      </c>
      <c r="H935">
        <f>IFERROR(SEARCH(search!$B$6,samples!D472,1),0)</f>
        <v>0</v>
      </c>
      <c r="I935" t="str">
        <f>IF(samples!E472=0,"",samples!E472)</f>
        <v/>
      </c>
      <c r="J935">
        <f>IFERROR(SEARCH(search!$B$6,samples!E472,1),0)</f>
        <v>0</v>
      </c>
      <c r="K935" t="str">
        <f>IF(samples!F472=0,"",samples!F472)</f>
        <v/>
      </c>
      <c r="L935">
        <f>IFERROR(SEARCH(search!$B$6,samples!F472,1),0)</f>
        <v>0</v>
      </c>
      <c r="M935" t="str">
        <f>IF(samples!G472=0,"",samples!G472)</f>
        <v/>
      </c>
      <c r="N935">
        <f>IFERROR(SEARCH(search!$B$6,samples!G472,1),0)</f>
        <v>0</v>
      </c>
      <c r="O935" t="str">
        <f>IF(samples!H472=0,"",samples!H472)</f>
        <v/>
      </c>
      <c r="P935">
        <f>IFERROR(SEARCH(search!$B$6,samples!H472,1),0)</f>
        <v>0</v>
      </c>
      <c r="Q935" t="str">
        <f>IF(samples!I472=0,"",samples!I472)</f>
        <v/>
      </c>
      <c r="R935">
        <f>IFERROR(SEARCH(search!$B$6,samples!I472,1),0)</f>
        <v>0</v>
      </c>
      <c r="S935" t="str">
        <f>IF(samples!J472=0,"",samples!J472)</f>
        <v/>
      </c>
      <c r="T935">
        <f>IFERROR(SEARCH(search!$B$6,samples!J472,1),0)</f>
        <v>0</v>
      </c>
      <c r="U935" t="str">
        <f>IF(samples!K472=0,"",samples!K472)</f>
        <v/>
      </c>
      <c r="V935">
        <f>IFERROR(SEARCH(search!$B$6,samples!K472,1),0)</f>
        <v>0</v>
      </c>
      <c r="W935" t="str">
        <f>IF(samples!L472=0,"",samples!L472)</f>
        <v/>
      </c>
      <c r="X935">
        <f>IFERROR(SEARCH(search!$B$6,samples!L472,1),0)</f>
        <v>0</v>
      </c>
      <c r="Y935" t="str">
        <f>IF(samples!M472=0,"",samples!M472)</f>
        <v/>
      </c>
      <c r="Z935">
        <f>IFERROR(SEARCH(search!$B$6,samples!M472,1),0)</f>
        <v>0</v>
      </c>
      <c r="AA935" t="str">
        <f>IF(samples!N472=0,"",samples!N472)</f>
        <v/>
      </c>
      <c r="AB935">
        <f>IFERROR(SEARCH(search!$B$6,samples!N472,1),0)</f>
        <v>0</v>
      </c>
      <c r="AC935" t="str">
        <f>IF(samples!O472=0,"",samples!O472)</f>
        <v/>
      </c>
      <c r="AD935">
        <f>IFERROR(SEARCH(search!$B$6,samples!O472,1),0)</f>
        <v>0</v>
      </c>
    </row>
    <row r="936" spans="1:30">
      <c r="A936">
        <f t="shared" si="14"/>
        <v>0</v>
      </c>
      <c r="B936">
        <f>IF(SUM(D936,F936,H936,J936,L936,N936,P936,R936,T936,V936,X936,Z936,AB936,AD936)&gt;0,SUM($A$2:A936),0)</f>
        <v>0</v>
      </c>
      <c r="C936">
        <f>samples!B473</f>
        <v>0</v>
      </c>
      <c r="D936">
        <f>IFERROR(SEARCH(search!$B$6,samples!B473,1),0)</f>
        <v>0</v>
      </c>
      <c r="E936" t="str">
        <f>IF(samples!C473=0,"",samples!C473)</f>
        <v/>
      </c>
      <c r="F936">
        <f>IFERROR(SEARCH(search!$B$6,samples!C473,1),0)</f>
        <v>0</v>
      </c>
      <c r="G936" t="str">
        <f>IF(samples!D473=0,"",samples!D473)</f>
        <v/>
      </c>
      <c r="H936">
        <f>IFERROR(SEARCH(search!$B$6,samples!D473,1),0)</f>
        <v>0</v>
      </c>
      <c r="I936" t="str">
        <f>IF(samples!E473=0,"",samples!E473)</f>
        <v/>
      </c>
      <c r="J936">
        <f>IFERROR(SEARCH(search!$B$6,samples!E473,1),0)</f>
        <v>0</v>
      </c>
      <c r="K936" t="str">
        <f>IF(samples!F473=0,"",samples!F473)</f>
        <v/>
      </c>
      <c r="L936">
        <f>IFERROR(SEARCH(search!$B$6,samples!F473,1),0)</f>
        <v>0</v>
      </c>
      <c r="M936" t="str">
        <f>IF(samples!G473=0,"",samples!G473)</f>
        <v/>
      </c>
      <c r="N936">
        <f>IFERROR(SEARCH(search!$B$6,samples!G473,1),0)</f>
        <v>0</v>
      </c>
      <c r="O936" t="str">
        <f>IF(samples!H473=0,"",samples!H473)</f>
        <v/>
      </c>
      <c r="P936">
        <f>IFERROR(SEARCH(search!$B$6,samples!H473,1),0)</f>
        <v>0</v>
      </c>
      <c r="Q936" t="str">
        <f>IF(samples!I473=0,"",samples!I473)</f>
        <v/>
      </c>
      <c r="R936">
        <f>IFERROR(SEARCH(search!$B$6,samples!I473,1),0)</f>
        <v>0</v>
      </c>
      <c r="S936" t="str">
        <f>IF(samples!J473=0,"",samples!J473)</f>
        <v/>
      </c>
      <c r="T936">
        <f>IFERROR(SEARCH(search!$B$6,samples!J473,1),0)</f>
        <v>0</v>
      </c>
      <c r="U936" t="str">
        <f>IF(samples!K473=0,"",samples!K473)</f>
        <v/>
      </c>
      <c r="V936">
        <f>IFERROR(SEARCH(search!$B$6,samples!K473,1),0)</f>
        <v>0</v>
      </c>
      <c r="W936" t="str">
        <f>IF(samples!L473=0,"",samples!L473)</f>
        <v/>
      </c>
      <c r="X936">
        <f>IFERROR(SEARCH(search!$B$6,samples!L473,1),0)</f>
        <v>0</v>
      </c>
      <c r="Y936" t="str">
        <f>IF(samples!M473=0,"",samples!M473)</f>
        <v/>
      </c>
      <c r="Z936">
        <f>IFERROR(SEARCH(search!$B$6,samples!M473,1),0)</f>
        <v>0</v>
      </c>
      <c r="AA936" t="str">
        <f>IF(samples!N473=0,"",samples!N473)</f>
        <v/>
      </c>
      <c r="AB936">
        <f>IFERROR(SEARCH(search!$B$6,samples!N473,1),0)</f>
        <v>0</v>
      </c>
      <c r="AC936" t="str">
        <f>IF(samples!O473=0,"",samples!O473)</f>
        <v/>
      </c>
      <c r="AD936">
        <f>IFERROR(SEARCH(search!$B$6,samples!O473,1),0)</f>
        <v>0</v>
      </c>
    </row>
    <row r="937" spans="1:30">
      <c r="A937">
        <f t="shared" si="14"/>
        <v>0</v>
      </c>
      <c r="B937">
        <f>IF(SUM(D937,F937,H937,J937,L937,N937,P937,R937,T937,V937,X937,Z937,AB937,AD937)&gt;0,SUM($A$2:A937),0)</f>
        <v>0</v>
      </c>
      <c r="C937">
        <f>samples!B474</f>
        <v>0</v>
      </c>
      <c r="D937">
        <f>IFERROR(SEARCH(search!$B$6,samples!B474,1),0)</f>
        <v>0</v>
      </c>
      <c r="E937" t="str">
        <f>IF(samples!C474=0,"",samples!C474)</f>
        <v/>
      </c>
      <c r="F937">
        <f>IFERROR(SEARCH(search!$B$6,samples!C474,1),0)</f>
        <v>0</v>
      </c>
      <c r="G937" t="str">
        <f>IF(samples!D474=0,"",samples!D474)</f>
        <v/>
      </c>
      <c r="H937">
        <f>IFERROR(SEARCH(search!$B$6,samples!D474,1),0)</f>
        <v>0</v>
      </c>
      <c r="I937" t="str">
        <f>IF(samples!E474=0,"",samples!E474)</f>
        <v/>
      </c>
      <c r="J937">
        <f>IFERROR(SEARCH(search!$B$6,samples!E474,1),0)</f>
        <v>0</v>
      </c>
      <c r="K937" t="str">
        <f>IF(samples!F474=0,"",samples!F474)</f>
        <v/>
      </c>
      <c r="L937">
        <f>IFERROR(SEARCH(search!$B$6,samples!F474,1),0)</f>
        <v>0</v>
      </c>
      <c r="M937" t="str">
        <f>IF(samples!G474=0,"",samples!G474)</f>
        <v/>
      </c>
      <c r="N937">
        <f>IFERROR(SEARCH(search!$B$6,samples!G474,1),0)</f>
        <v>0</v>
      </c>
      <c r="O937" t="str">
        <f>IF(samples!H474=0,"",samples!H474)</f>
        <v/>
      </c>
      <c r="P937">
        <f>IFERROR(SEARCH(search!$B$6,samples!H474,1),0)</f>
        <v>0</v>
      </c>
      <c r="Q937" t="str">
        <f>IF(samples!I474=0,"",samples!I474)</f>
        <v/>
      </c>
      <c r="R937">
        <f>IFERROR(SEARCH(search!$B$6,samples!I474,1),0)</f>
        <v>0</v>
      </c>
      <c r="S937" t="str">
        <f>IF(samples!J474=0,"",samples!J474)</f>
        <v/>
      </c>
      <c r="T937">
        <f>IFERROR(SEARCH(search!$B$6,samples!J474,1),0)</f>
        <v>0</v>
      </c>
      <c r="U937" t="str">
        <f>IF(samples!K474=0,"",samples!K474)</f>
        <v/>
      </c>
      <c r="V937">
        <f>IFERROR(SEARCH(search!$B$6,samples!K474,1),0)</f>
        <v>0</v>
      </c>
      <c r="W937" t="str">
        <f>IF(samples!L474=0,"",samples!L474)</f>
        <v/>
      </c>
      <c r="X937">
        <f>IFERROR(SEARCH(search!$B$6,samples!L474,1),0)</f>
        <v>0</v>
      </c>
      <c r="Y937" t="str">
        <f>IF(samples!M474=0,"",samples!M474)</f>
        <v/>
      </c>
      <c r="Z937">
        <f>IFERROR(SEARCH(search!$B$6,samples!M474,1),0)</f>
        <v>0</v>
      </c>
      <c r="AA937" t="str">
        <f>IF(samples!N474=0,"",samples!N474)</f>
        <v/>
      </c>
      <c r="AB937">
        <f>IFERROR(SEARCH(search!$B$6,samples!N474,1),0)</f>
        <v>0</v>
      </c>
      <c r="AC937" t="str">
        <f>IF(samples!O474=0,"",samples!O474)</f>
        <v/>
      </c>
      <c r="AD937">
        <f>IFERROR(SEARCH(search!$B$6,samples!O474,1),0)</f>
        <v>0</v>
      </c>
    </row>
    <row r="938" spans="1:30">
      <c r="A938">
        <f t="shared" si="14"/>
        <v>0</v>
      </c>
      <c r="B938">
        <f>IF(SUM(D938,F938,H938,J938,L938,N938,P938,R938,T938,V938,X938,Z938,AB938,AD938)&gt;0,SUM($A$2:A938),0)</f>
        <v>0</v>
      </c>
      <c r="C938">
        <f>samples!B475</f>
        <v>0</v>
      </c>
      <c r="D938">
        <f>IFERROR(SEARCH(search!$B$6,samples!B475,1),0)</f>
        <v>0</v>
      </c>
      <c r="E938" t="str">
        <f>IF(samples!C475=0,"",samples!C475)</f>
        <v/>
      </c>
      <c r="F938">
        <f>IFERROR(SEARCH(search!$B$6,samples!C475,1),0)</f>
        <v>0</v>
      </c>
      <c r="G938" t="str">
        <f>IF(samples!D475=0,"",samples!D475)</f>
        <v/>
      </c>
      <c r="H938">
        <f>IFERROR(SEARCH(search!$B$6,samples!D475,1),0)</f>
        <v>0</v>
      </c>
      <c r="I938" t="str">
        <f>IF(samples!E475=0,"",samples!E475)</f>
        <v/>
      </c>
      <c r="J938">
        <f>IFERROR(SEARCH(search!$B$6,samples!E475,1),0)</f>
        <v>0</v>
      </c>
      <c r="K938" t="str">
        <f>IF(samples!F475=0,"",samples!F475)</f>
        <v/>
      </c>
      <c r="L938">
        <f>IFERROR(SEARCH(search!$B$6,samples!F475,1),0)</f>
        <v>0</v>
      </c>
      <c r="M938" t="str">
        <f>IF(samples!G475=0,"",samples!G475)</f>
        <v/>
      </c>
      <c r="N938">
        <f>IFERROR(SEARCH(search!$B$6,samples!G475,1),0)</f>
        <v>0</v>
      </c>
      <c r="O938" t="str">
        <f>IF(samples!H475=0,"",samples!H475)</f>
        <v/>
      </c>
      <c r="P938">
        <f>IFERROR(SEARCH(search!$B$6,samples!H475,1),0)</f>
        <v>0</v>
      </c>
      <c r="Q938" t="str">
        <f>IF(samples!I475=0,"",samples!I475)</f>
        <v/>
      </c>
      <c r="R938">
        <f>IFERROR(SEARCH(search!$B$6,samples!I475,1),0)</f>
        <v>0</v>
      </c>
      <c r="S938" t="str">
        <f>IF(samples!J475=0,"",samples!J475)</f>
        <v/>
      </c>
      <c r="T938">
        <f>IFERROR(SEARCH(search!$B$6,samples!J475,1),0)</f>
        <v>0</v>
      </c>
      <c r="U938" t="str">
        <f>IF(samples!K475=0,"",samples!K475)</f>
        <v/>
      </c>
      <c r="V938">
        <f>IFERROR(SEARCH(search!$B$6,samples!K475,1),0)</f>
        <v>0</v>
      </c>
      <c r="W938" t="str">
        <f>IF(samples!L475=0,"",samples!L475)</f>
        <v/>
      </c>
      <c r="X938">
        <f>IFERROR(SEARCH(search!$B$6,samples!L475,1),0)</f>
        <v>0</v>
      </c>
      <c r="Y938" t="str">
        <f>IF(samples!M475=0,"",samples!M475)</f>
        <v/>
      </c>
      <c r="Z938">
        <f>IFERROR(SEARCH(search!$B$6,samples!M475,1),0)</f>
        <v>0</v>
      </c>
      <c r="AA938" t="str">
        <f>IF(samples!N475=0,"",samples!N475)</f>
        <v/>
      </c>
      <c r="AB938">
        <f>IFERROR(SEARCH(search!$B$6,samples!N475,1),0)</f>
        <v>0</v>
      </c>
      <c r="AC938" t="str">
        <f>IF(samples!O475=0,"",samples!O475)</f>
        <v/>
      </c>
      <c r="AD938">
        <f>IFERROR(SEARCH(search!$B$6,samples!O475,1),0)</f>
        <v>0</v>
      </c>
    </row>
    <row r="939" spans="1:30">
      <c r="A939">
        <f t="shared" si="14"/>
        <v>0</v>
      </c>
      <c r="B939">
        <f>IF(SUM(D939,F939,H939,J939,L939,N939,P939,R939,T939,V939,X939,Z939,AB939,AD939)&gt;0,SUM($A$2:A939),0)</f>
        <v>0</v>
      </c>
      <c r="C939">
        <f>samples!B476</f>
        <v>0</v>
      </c>
      <c r="D939">
        <f>IFERROR(SEARCH(search!$B$6,samples!B476,1),0)</f>
        <v>0</v>
      </c>
      <c r="E939" t="str">
        <f>IF(samples!C476=0,"",samples!C476)</f>
        <v/>
      </c>
      <c r="F939">
        <f>IFERROR(SEARCH(search!$B$6,samples!C476,1),0)</f>
        <v>0</v>
      </c>
      <c r="G939" t="str">
        <f>IF(samples!D476=0,"",samples!D476)</f>
        <v/>
      </c>
      <c r="H939">
        <f>IFERROR(SEARCH(search!$B$6,samples!D476,1),0)</f>
        <v>0</v>
      </c>
      <c r="I939" t="str">
        <f>IF(samples!E476=0,"",samples!E476)</f>
        <v/>
      </c>
      <c r="J939">
        <f>IFERROR(SEARCH(search!$B$6,samples!E476,1),0)</f>
        <v>0</v>
      </c>
      <c r="K939" t="str">
        <f>IF(samples!F476=0,"",samples!F476)</f>
        <v/>
      </c>
      <c r="L939">
        <f>IFERROR(SEARCH(search!$B$6,samples!F476,1),0)</f>
        <v>0</v>
      </c>
      <c r="M939" t="str">
        <f>IF(samples!G476=0,"",samples!G476)</f>
        <v/>
      </c>
      <c r="N939">
        <f>IFERROR(SEARCH(search!$B$6,samples!G476,1),0)</f>
        <v>0</v>
      </c>
      <c r="O939" t="str">
        <f>IF(samples!H476=0,"",samples!H476)</f>
        <v/>
      </c>
      <c r="P939">
        <f>IFERROR(SEARCH(search!$B$6,samples!H476,1),0)</f>
        <v>0</v>
      </c>
      <c r="Q939" t="str">
        <f>IF(samples!I476=0,"",samples!I476)</f>
        <v/>
      </c>
      <c r="R939">
        <f>IFERROR(SEARCH(search!$B$6,samples!I476,1),0)</f>
        <v>0</v>
      </c>
      <c r="S939" t="str">
        <f>IF(samples!J476=0,"",samples!J476)</f>
        <v/>
      </c>
      <c r="T939">
        <f>IFERROR(SEARCH(search!$B$6,samples!J476,1),0)</f>
        <v>0</v>
      </c>
      <c r="U939" t="str">
        <f>IF(samples!K476=0,"",samples!K476)</f>
        <v/>
      </c>
      <c r="V939">
        <f>IFERROR(SEARCH(search!$B$6,samples!K476,1),0)</f>
        <v>0</v>
      </c>
      <c r="W939" t="str">
        <f>IF(samples!L476=0,"",samples!L476)</f>
        <v/>
      </c>
      <c r="X939">
        <f>IFERROR(SEARCH(search!$B$6,samples!L476,1),0)</f>
        <v>0</v>
      </c>
      <c r="Y939" t="str">
        <f>IF(samples!M476=0,"",samples!M476)</f>
        <v/>
      </c>
      <c r="Z939">
        <f>IFERROR(SEARCH(search!$B$6,samples!M476,1),0)</f>
        <v>0</v>
      </c>
      <c r="AA939" t="str">
        <f>IF(samples!N476=0,"",samples!N476)</f>
        <v/>
      </c>
      <c r="AB939">
        <f>IFERROR(SEARCH(search!$B$6,samples!N476,1),0)</f>
        <v>0</v>
      </c>
      <c r="AC939" t="str">
        <f>IF(samples!O476=0,"",samples!O476)</f>
        <v/>
      </c>
      <c r="AD939">
        <f>IFERROR(SEARCH(search!$B$6,samples!O476,1),0)</f>
        <v>0</v>
      </c>
    </row>
    <row r="940" spans="1:30">
      <c r="A940">
        <f t="shared" si="14"/>
        <v>0</v>
      </c>
      <c r="B940">
        <f>IF(SUM(D940,F940,H940,J940,L940,N940,P940,R940,T940,V940,X940,Z940,AB940,AD940)&gt;0,SUM($A$2:A940),0)</f>
        <v>0</v>
      </c>
      <c r="C940">
        <f>samples!B477</f>
        <v>0</v>
      </c>
      <c r="D940">
        <f>IFERROR(SEARCH(search!$B$6,samples!B477,1),0)</f>
        <v>0</v>
      </c>
      <c r="E940" t="str">
        <f>IF(samples!C477=0,"",samples!C477)</f>
        <v/>
      </c>
      <c r="F940">
        <f>IFERROR(SEARCH(search!$B$6,samples!C477,1),0)</f>
        <v>0</v>
      </c>
      <c r="G940" t="str">
        <f>IF(samples!D477=0,"",samples!D477)</f>
        <v/>
      </c>
      <c r="H940">
        <f>IFERROR(SEARCH(search!$B$6,samples!D477,1),0)</f>
        <v>0</v>
      </c>
      <c r="I940" t="str">
        <f>IF(samples!E477=0,"",samples!E477)</f>
        <v/>
      </c>
      <c r="J940">
        <f>IFERROR(SEARCH(search!$B$6,samples!E477,1),0)</f>
        <v>0</v>
      </c>
      <c r="K940" t="str">
        <f>IF(samples!F477=0,"",samples!F477)</f>
        <v/>
      </c>
      <c r="L940">
        <f>IFERROR(SEARCH(search!$B$6,samples!F477,1),0)</f>
        <v>0</v>
      </c>
      <c r="M940" t="str">
        <f>IF(samples!G477=0,"",samples!G477)</f>
        <v/>
      </c>
      <c r="N940">
        <f>IFERROR(SEARCH(search!$B$6,samples!G477,1),0)</f>
        <v>0</v>
      </c>
      <c r="O940" t="str">
        <f>IF(samples!H477=0,"",samples!H477)</f>
        <v/>
      </c>
      <c r="P940">
        <f>IFERROR(SEARCH(search!$B$6,samples!H477,1),0)</f>
        <v>0</v>
      </c>
      <c r="Q940" t="str">
        <f>IF(samples!I477=0,"",samples!I477)</f>
        <v/>
      </c>
      <c r="R940">
        <f>IFERROR(SEARCH(search!$B$6,samples!I477,1),0)</f>
        <v>0</v>
      </c>
      <c r="S940" t="str">
        <f>IF(samples!J477=0,"",samples!J477)</f>
        <v/>
      </c>
      <c r="T940">
        <f>IFERROR(SEARCH(search!$B$6,samples!J477,1),0)</f>
        <v>0</v>
      </c>
      <c r="U940" t="str">
        <f>IF(samples!K477=0,"",samples!K477)</f>
        <v/>
      </c>
      <c r="V940">
        <f>IFERROR(SEARCH(search!$B$6,samples!K477,1),0)</f>
        <v>0</v>
      </c>
      <c r="W940" t="str">
        <f>IF(samples!L477=0,"",samples!L477)</f>
        <v/>
      </c>
      <c r="X940">
        <f>IFERROR(SEARCH(search!$B$6,samples!L477,1),0)</f>
        <v>0</v>
      </c>
      <c r="Y940" t="str">
        <f>IF(samples!M477=0,"",samples!M477)</f>
        <v/>
      </c>
      <c r="Z940">
        <f>IFERROR(SEARCH(search!$B$6,samples!M477,1),0)</f>
        <v>0</v>
      </c>
      <c r="AA940" t="str">
        <f>IF(samples!N477=0,"",samples!N477)</f>
        <v/>
      </c>
      <c r="AB940">
        <f>IFERROR(SEARCH(search!$B$6,samples!N477,1),0)</f>
        <v>0</v>
      </c>
      <c r="AC940" t="str">
        <f>IF(samples!O477=0,"",samples!O477)</f>
        <v/>
      </c>
      <c r="AD940">
        <f>IFERROR(SEARCH(search!$B$6,samples!O477,1),0)</f>
        <v>0</v>
      </c>
    </row>
    <row r="941" spans="1:30">
      <c r="A941">
        <f t="shared" si="14"/>
        <v>0</v>
      </c>
      <c r="B941">
        <f>IF(SUM(D941,F941,H941,J941,L941,N941,P941,R941,T941,V941,X941,Z941,AB941,AD941)&gt;0,SUM($A$2:A941),0)</f>
        <v>0</v>
      </c>
      <c r="C941">
        <f>samples!B478</f>
        <v>0</v>
      </c>
      <c r="D941">
        <f>IFERROR(SEARCH(search!$B$6,samples!B478,1),0)</f>
        <v>0</v>
      </c>
      <c r="E941" t="str">
        <f>IF(samples!C478=0,"",samples!C478)</f>
        <v/>
      </c>
      <c r="F941">
        <f>IFERROR(SEARCH(search!$B$6,samples!C478,1),0)</f>
        <v>0</v>
      </c>
      <c r="G941" t="str">
        <f>IF(samples!D478=0,"",samples!D478)</f>
        <v/>
      </c>
      <c r="H941">
        <f>IFERROR(SEARCH(search!$B$6,samples!D478,1),0)</f>
        <v>0</v>
      </c>
      <c r="I941" t="str">
        <f>IF(samples!E478=0,"",samples!E478)</f>
        <v/>
      </c>
      <c r="J941">
        <f>IFERROR(SEARCH(search!$B$6,samples!E478,1),0)</f>
        <v>0</v>
      </c>
      <c r="K941" t="str">
        <f>IF(samples!F478=0,"",samples!F478)</f>
        <v/>
      </c>
      <c r="L941">
        <f>IFERROR(SEARCH(search!$B$6,samples!F478,1),0)</f>
        <v>0</v>
      </c>
      <c r="M941" t="str">
        <f>IF(samples!G478=0,"",samples!G478)</f>
        <v/>
      </c>
      <c r="N941">
        <f>IFERROR(SEARCH(search!$B$6,samples!G478,1),0)</f>
        <v>0</v>
      </c>
      <c r="O941" t="str">
        <f>IF(samples!H478=0,"",samples!H478)</f>
        <v/>
      </c>
      <c r="P941">
        <f>IFERROR(SEARCH(search!$B$6,samples!H478,1),0)</f>
        <v>0</v>
      </c>
      <c r="Q941" t="str">
        <f>IF(samples!I478=0,"",samples!I478)</f>
        <v/>
      </c>
      <c r="R941">
        <f>IFERROR(SEARCH(search!$B$6,samples!I478,1),0)</f>
        <v>0</v>
      </c>
      <c r="S941" t="str">
        <f>IF(samples!J478=0,"",samples!J478)</f>
        <v/>
      </c>
      <c r="T941">
        <f>IFERROR(SEARCH(search!$B$6,samples!J478,1),0)</f>
        <v>0</v>
      </c>
      <c r="U941" t="str">
        <f>IF(samples!K478=0,"",samples!K478)</f>
        <v/>
      </c>
      <c r="V941">
        <f>IFERROR(SEARCH(search!$B$6,samples!K478,1),0)</f>
        <v>0</v>
      </c>
      <c r="W941" t="str">
        <f>IF(samples!L478=0,"",samples!L478)</f>
        <v/>
      </c>
      <c r="X941">
        <f>IFERROR(SEARCH(search!$B$6,samples!L478,1),0)</f>
        <v>0</v>
      </c>
      <c r="Y941" t="str">
        <f>IF(samples!M478=0,"",samples!M478)</f>
        <v/>
      </c>
      <c r="Z941">
        <f>IFERROR(SEARCH(search!$B$6,samples!M478,1),0)</f>
        <v>0</v>
      </c>
      <c r="AA941" t="str">
        <f>IF(samples!N478=0,"",samples!N478)</f>
        <v/>
      </c>
      <c r="AB941">
        <f>IFERROR(SEARCH(search!$B$6,samples!N478,1),0)</f>
        <v>0</v>
      </c>
      <c r="AC941" t="str">
        <f>IF(samples!O478=0,"",samples!O478)</f>
        <v/>
      </c>
      <c r="AD941">
        <f>IFERROR(SEARCH(search!$B$6,samples!O478,1),0)</f>
        <v>0</v>
      </c>
    </row>
    <row r="942" spans="1:30">
      <c r="A942">
        <f t="shared" si="14"/>
        <v>0</v>
      </c>
      <c r="B942">
        <f>IF(SUM(D942,F942,H942,J942,L942,N942,P942,R942,T942,V942,X942,Z942,AB942,AD942)&gt;0,SUM($A$2:A942),0)</f>
        <v>0</v>
      </c>
      <c r="C942">
        <f>samples!B479</f>
        <v>0</v>
      </c>
      <c r="D942">
        <f>IFERROR(SEARCH(search!$B$6,samples!B479,1),0)</f>
        <v>0</v>
      </c>
      <c r="E942" t="str">
        <f>IF(samples!C479=0,"",samples!C479)</f>
        <v/>
      </c>
      <c r="F942">
        <f>IFERROR(SEARCH(search!$B$6,samples!C479,1),0)</f>
        <v>0</v>
      </c>
      <c r="G942" t="str">
        <f>IF(samples!D479=0,"",samples!D479)</f>
        <v/>
      </c>
      <c r="H942">
        <f>IFERROR(SEARCH(search!$B$6,samples!D479,1),0)</f>
        <v>0</v>
      </c>
      <c r="I942" t="str">
        <f>IF(samples!E479=0,"",samples!E479)</f>
        <v/>
      </c>
      <c r="J942">
        <f>IFERROR(SEARCH(search!$B$6,samples!E479,1),0)</f>
        <v>0</v>
      </c>
      <c r="K942" t="str">
        <f>IF(samples!F479=0,"",samples!F479)</f>
        <v/>
      </c>
      <c r="L942">
        <f>IFERROR(SEARCH(search!$B$6,samples!F479,1),0)</f>
        <v>0</v>
      </c>
      <c r="M942" t="str">
        <f>IF(samples!G479=0,"",samples!G479)</f>
        <v/>
      </c>
      <c r="N942">
        <f>IFERROR(SEARCH(search!$B$6,samples!G479,1),0)</f>
        <v>0</v>
      </c>
      <c r="O942" t="str">
        <f>IF(samples!H479=0,"",samples!H479)</f>
        <v/>
      </c>
      <c r="P942">
        <f>IFERROR(SEARCH(search!$B$6,samples!H479,1),0)</f>
        <v>0</v>
      </c>
      <c r="Q942" t="str">
        <f>IF(samples!I479=0,"",samples!I479)</f>
        <v/>
      </c>
      <c r="R942">
        <f>IFERROR(SEARCH(search!$B$6,samples!I479,1),0)</f>
        <v>0</v>
      </c>
      <c r="S942" t="str">
        <f>IF(samples!J479=0,"",samples!J479)</f>
        <v/>
      </c>
      <c r="T942">
        <f>IFERROR(SEARCH(search!$B$6,samples!J479,1),0)</f>
        <v>0</v>
      </c>
      <c r="U942" t="str">
        <f>IF(samples!K479=0,"",samples!K479)</f>
        <v/>
      </c>
      <c r="V942">
        <f>IFERROR(SEARCH(search!$B$6,samples!K479,1),0)</f>
        <v>0</v>
      </c>
      <c r="W942" t="str">
        <f>IF(samples!L479=0,"",samples!L479)</f>
        <v/>
      </c>
      <c r="X942">
        <f>IFERROR(SEARCH(search!$B$6,samples!L479,1),0)</f>
        <v>0</v>
      </c>
      <c r="Y942" t="str">
        <f>IF(samples!M479=0,"",samples!M479)</f>
        <v/>
      </c>
      <c r="Z942">
        <f>IFERROR(SEARCH(search!$B$6,samples!M479,1),0)</f>
        <v>0</v>
      </c>
      <c r="AA942" t="str">
        <f>IF(samples!N479=0,"",samples!N479)</f>
        <v/>
      </c>
      <c r="AB942">
        <f>IFERROR(SEARCH(search!$B$6,samples!N479,1),0)</f>
        <v>0</v>
      </c>
      <c r="AC942" t="str">
        <f>IF(samples!O479=0,"",samples!O479)</f>
        <v/>
      </c>
      <c r="AD942">
        <f>IFERROR(SEARCH(search!$B$6,samples!O479,1),0)</f>
        <v>0</v>
      </c>
    </row>
    <row r="943" spans="1:30">
      <c r="A943">
        <f t="shared" si="14"/>
        <v>0</v>
      </c>
      <c r="B943">
        <f>IF(SUM(D943,F943,H943,J943,L943,N943,P943,R943,T943,V943,X943,Z943,AB943,AD943)&gt;0,SUM($A$2:A943),0)</f>
        <v>0</v>
      </c>
      <c r="C943">
        <f>samples!B480</f>
        <v>0</v>
      </c>
      <c r="D943">
        <f>IFERROR(SEARCH(search!$B$6,samples!B480,1),0)</f>
        <v>0</v>
      </c>
      <c r="E943" t="str">
        <f>IF(samples!C480=0,"",samples!C480)</f>
        <v/>
      </c>
      <c r="F943">
        <f>IFERROR(SEARCH(search!$B$6,samples!C480,1),0)</f>
        <v>0</v>
      </c>
      <c r="G943" t="str">
        <f>IF(samples!D480=0,"",samples!D480)</f>
        <v/>
      </c>
      <c r="H943">
        <f>IFERROR(SEARCH(search!$B$6,samples!D480,1),0)</f>
        <v>0</v>
      </c>
      <c r="I943" t="str">
        <f>IF(samples!E480=0,"",samples!E480)</f>
        <v/>
      </c>
      <c r="J943">
        <f>IFERROR(SEARCH(search!$B$6,samples!E480,1),0)</f>
        <v>0</v>
      </c>
      <c r="K943" t="str">
        <f>IF(samples!F480=0,"",samples!F480)</f>
        <v/>
      </c>
      <c r="L943">
        <f>IFERROR(SEARCH(search!$B$6,samples!F480,1),0)</f>
        <v>0</v>
      </c>
      <c r="M943" t="str">
        <f>IF(samples!G480=0,"",samples!G480)</f>
        <v/>
      </c>
      <c r="N943">
        <f>IFERROR(SEARCH(search!$B$6,samples!G480,1),0)</f>
        <v>0</v>
      </c>
      <c r="O943" t="str">
        <f>IF(samples!H480=0,"",samples!H480)</f>
        <v/>
      </c>
      <c r="P943">
        <f>IFERROR(SEARCH(search!$B$6,samples!H480,1),0)</f>
        <v>0</v>
      </c>
      <c r="Q943" t="str">
        <f>IF(samples!I480=0,"",samples!I480)</f>
        <v/>
      </c>
      <c r="R943">
        <f>IFERROR(SEARCH(search!$B$6,samples!I480,1),0)</f>
        <v>0</v>
      </c>
      <c r="S943" t="str">
        <f>IF(samples!J480=0,"",samples!J480)</f>
        <v/>
      </c>
      <c r="T943">
        <f>IFERROR(SEARCH(search!$B$6,samples!J480,1),0)</f>
        <v>0</v>
      </c>
      <c r="U943" t="str">
        <f>IF(samples!K480=0,"",samples!K480)</f>
        <v/>
      </c>
      <c r="V943">
        <f>IFERROR(SEARCH(search!$B$6,samples!K480,1),0)</f>
        <v>0</v>
      </c>
      <c r="W943" t="str">
        <f>IF(samples!L480=0,"",samples!L480)</f>
        <v/>
      </c>
      <c r="X943">
        <f>IFERROR(SEARCH(search!$B$6,samples!L480,1),0)</f>
        <v>0</v>
      </c>
      <c r="Y943" t="str">
        <f>IF(samples!M480=0,"",samples!M480)</f>
        <v/>
      </c>
      <c r="Z943">
        <f>IFERROR(SEARCH(search!$B$6,samples!M480,1),0)</f>
        <v>0</v>
      </c>
      <c r="AA943" t="str">
        <f>IF(samples!N480=0,"",samples!N480)</f>
        <v/>
      </c>
      <c r="AB943">
        <f>IFERROR(SEARCH(search!$B$6,samples!N480,1),0)</f>
        <v>0</v>
      </c>
      <c r="AC943" t="str">
        <f>IF(samples!O480=0,"",samples!O480)</f>
        <v/>
      </c>
      <c r="AD943">
        <f>IFERROR(SEARCH(search!$B$6,samples!O480,1),0)</f>
        <v>0</v>
      </c>
    </row>
    <row r="944" spans="1:30">
      <c r="A944">
        <f t="shared" si="14"/>
        <v>0</v>
      </c>
      <c r="B944">
        <f>IF(SUM(D944,F944,H944,J944,L944,N944,P944,R944,T944,V944,X944,Z944,AB944,AD944)&gt;0,SUM($A$2:A944),0)</f>
        <v>0</v>
      </c>
      <c r="C944">
        <f>samples!B481</f>
        <v>0</v>
      </c>
      <c r="D944">
        <f>IFERROR(SEARCH(search!$B$6,samples!B481,1),0)</f>
        <v>0</v>
      </c>
      <c r="E944" t="str">
        <f>IF(samples!C481=0,"",samples!C481)</f>
        <v/>
      </c>
      <c r="F944">
        <f>IFERROR(SEARCH(search!$B$6,samples!C481,1),0)</f>
        <v>0</v>
      </c>
      <c r="G944" t="str">
        <f>IF(samples!D481=0,"",samples!D481)</f>
        <v/>
      </c>
      <c r="H944">
        <f>IFERROR(SEARCH(search!$B$6,samples!D481,1),0)</f>
        <v>0</v>
      </c>
      <c r="I944" t="str">
        <f>IF(samples!E481=0,"",samples!E481)</f>
        <v/>
      </c>
      <c r="J944">
        <f>IFERROR(SEARCH(search!$B$6,samples!E481,1),0)</f>
        <v>0</v>
      </c>
      <c r="K944" t="str">
        <f>IF(samples!F481=0,"",samples!F481)</f>
        <v/>
      </c>
      <c r="L944">
        <f>IFERROR(SEARCH(search!$B$6,samples!F481,1),0)</f>
        <v>0</v>
      </c>
      <c r="M944" t="str">
        <f>IF(samples!G481=0,"",samples!G481)</f>
        <v/>
      </c>
      <c r="N944">
        <f>IFERROR(SEARCH(search!$B$6,samples!G481,1),0)</f>
        <v>0</v>
      </c>
      <c r="O944" t="str">
        <f>IF(samples!H481=0,"",samples!H481)</f>
        <v/>
      </c>
      <c r="P944">
        <f>IFERROR(SEARCH(search!$B$6,samples!H481,1),0)</f>
        <v>0</v>
      </c>
      <c r="Q944" t="str">
        <f>IF(samples!I481=0,"",samples!I481)</f>
        <v/>
      </c>
      <c r="R944">
        <f>IFERROR(SEARCH(search!$B$6,samples!I481,1),0)</f>
        <v>0</v>
      </c>
      <c r="S944" t="str">
        <f>IF(samples!J481=0,"",samples!J481)</f>
        <v/>
      </c>
      <c r="T944">
        <f>IFERROR(SEARCH(search!$B$6,samples!J481,1),0)</f>
        <v>0</v>
      </c>
      <c r="U944" t="str">
        <f>IF(samples!K481=0,"",samples!K481)</f>
        <v/>
      </c>
      <c r="V944">
        <f>IFERROR(SEARCH(search!$B$6,samples!K481,1),0)</f>
        <v>0</v>
      </c>
      <c r="W944" t="str">
        <f>IF(samples!L481=0,"",samples!L481)</f>
        <v/>
      </c>
      <c r="X944">
        <f>IFERROR(SEARCH(search!$B$6,samples!L481,1),0)</f>
        <v>0</v>
      </c>
      <c r="Y944" t="str">
        <f>IF(samples!M481=0,"",samples!M481)</f>
        <v/>
      </c>
      <c r="Z944">
        <f>IFERROR(SEARCH(search!$B$6,samples!M481,1),0)</f>
        <v>0</v>
      </c>
      <c r="AA944" t="str">
        <f>IF(samples!N481=0,"",samples!N481)</f>
        <v/>
      </c>
      <c r="AB944">
        <f>IFERROR(SEARCH(search!$B$6,samples!N481,1),0)</f>
        <v>0</v>
      </c>
      <c r="AC944" t="str">
        <f>IF(samples!O481=0,"",samples!O481)</f>
        <v/>
      </c>
      <c r="AD944">
        <f>IFERROR(SEARCH(search!$B$6,samples!O481,1),0)</f>
        <v>0</v>
      </c>
    </row>
    <row r="945" spans="1:30">
      <c r="A945">
        <f t="shared" si="14"/>
        <v>0</v>
      </c>
      <c r="B945">
        <f>IF(SUM(D945,F945,H945,J945,L945,N945,P945,R945,T945,V945,X945,Z945,AB945,AD945)&gt;0,SUM($A$2:A945),0)</f>
        <v>0</v>
      </c>
      <c r="C945">
        <f>samples!B482</f>
        <v>0</v>
      </c>
      <c r="D945">
        <f>IFERROR(SEARCH(search!$B$6,samples!B482,1),0)</f>
        <v>0</v>
      </c>
      <c r="E945" t="str">
        <f>IF(samples!C482=0,"",samples!C482)</f>
        <v/>
      </c>
      <c r="F945">
        <f>IFERROR(SEARCH(search!$B$6,samples!C482,1),0)</f>
        <v>0</v>
      </c>
      <c r="G945" t="str">
        <f>IF(samples!D482=0,"",samples!D482)</f>
        <v/>
      </c>
      <c r="H945">
        <f>IFERROR(SEARCH(search!$B$6,samples!D482,1),0)</f>
        <v>0</v>
      </c>
      <c r="I945" t="str">
        <f>IF(samples!E482=0,"",samples!E482)</f>
        <v/>
      </c>
      <c r="J945">
        <f>IFERROR(SEARCH(search!$B$6,samples!E482,1),0)</f>
        <v>0</v>
      </c>
      <c r="K945" t="str">
        <f>IF(samples!F482=0,"",samples!F482)</f>
        <v/>
      </c>
      <c r="L945">
        <f>IFERROR(SEARCH(search!$B$6,samples!F482,1),0)</f>
        <v>0</v>
      </c>
      <c r="M945" t="str">
        <f>IF(samples!G482=0,"",samples!G482)</f>
        <v/>
      </c>
      <c r="N945">
        <f>IFERROR(SEARCH(search!$B$6,samples!G482,1),0)</f>
        <v>0</v>
      </c>
      <c r="O945" t="str">
        <f>IF(samples!H482=0,"",samples!H482)</f>
        <v/>
      </c>
      <c r="P945">
        <f>IFERROR(SEARCH(search!$B$6,samples!H482,1),0)</f>
        <v>0</v>
      </c>
      <c r="Q945" t="str">
        <f>IF(samples!I482=0,"",samples!I482)</f>
        <v/>
      </c>
      <c r="R945">
        <f>IFERROR(SEARCH(search!$B$6,samples!I482,1),0)</f>
        <v>0</v>
      </c>
      <c r="S945" t="str">
        <f>IF(samples!J482=0,"",samples!J482)</f>
        <v/>
      </c>
      <c r="T945">
        <f>IFERROR(SEARCH(search!$B$6,samples!J482,1),0)</f>
        <v>0</v>
      </c>
      <c r="U945" t="str">
        <f>IF(samples!K482=0,"",samples!K482)</f>
        <v/>
      </c>
      <c r="V945">
        <f>IFERROR(SEARCH(search!$B$6,samples!K482,1),0)</f>
        <v>0</v>
      </c>
      <c r="W945" t="str">
        <f>IF(samples!L482=0,"",samples!L482)</f>
        <v/>
      </c>
      <c r="X945">
        <f>IFERROR(SEARCH(search!$B$6,samples!L482,1),0)</f>
        <v>0</v>
      </c>
      <c r="Y945" t="str">
        <f>IF(samples!M482=0,"",samples!M482)</f>
        <v/>
      </c>
      <c r="Z945">
        <f>IFERROR(SEARCH(search!$B$6,samples!M482,1),0)</f>
        <v>0</v>
      </c>
      <c r="AA945" t="str">
        <f>IF(samples!N482=0,"",samples!N482)</f>
        <v/>
      </c>
      <c r="AB945">
        <f>IFERROR(SEARCH(search!$B$6,samples!N482,1),0)</f>
        <v>0</v>
      </c>
      <c r="AC945" t="str">
        <f>IF(samples!O482=0,"",samples!O482)</f>
        <v/>
      </c>
      <c r="AD945">
        <f>IFERROR(SEARCH(search!$B$6,samples!O482,1),0)</f>
        <v>0</v>
      </c>
    </row>
    <row r="946" spans="1:30">
      <c r="A946">
        <f t="shared" si="14"/>
        <v>0</v>
      </c>
      <c r="B946">
        <f>IF(SUM(D946,F946,H946,J946,L946,N946,P946,R946,T946,V946,X946,Z946,AB946,AD946)&gt;0,SUM($A$2:A946),0)</f>
        <v>0</v>
      </c>
      <c r="C946">
        <f>samples!B483</f>
        <v>0</v>
      </c>
      <c r="D946">
        <f>IFERROR(SEARCH(search!$B$6,samples!B483,1),0)</f>
        <v>0</v>
      </c>
      <c r="E946" t="str">
        <f>IF(samples!C483=0,"",samples!C483)</f>
        <v/>
      </c>
      <c r="F946">
        <f>IFERROR(SEARCH(search!$B$6,samples!C483,1),0)</f>
        <v>0</v>
      </c>
      <c r="G946" t="str">
        <f>IF(samples!D483=0,"",samples!D483)</f>
        <v/>
      </c>
      <c r="H946">
        <f>IFERROR(SEARCH(search!$B$6,samples!D483,1),0)</f>
        <v>0</v>
      </c>
      <c r="I946" t="str">
        <f>IF(samples!E483=0,"",samples!E483)</f>
        <v/>
      </c>
      <c r="J946">
        <f>IFERROR(SEARCH(search!$B$6,samples!E483,1),0)</f>
        <v>0</v>
      </c>
      <c r="K946" t="str">
        <f>IF(samples!F483=0,"",samples!F483)</f>
        <v/>
      </c>
      <c r="L946">
        <f>IFERROR(SEARCH(search!$B$6,samples!F483,1),0)</f>
        <v>0</v>
      </c>
      <c r="M946" t="str">
        <f>IF(samples!G483=0,"",samples!G483)</f>
        <v/>
      </c>
      <c r="N946">
        <f>IFERROR(SEARCH(search!$B$6,samples!G483,1),0)</f>
        <v>0</v>
      </c>
      <c r="O946" t="str">
        <f>IF(samples!H483=0,"",samples!H483)</f>
        <v/>
      </c>
      <c r="P946">
        <f>IFERROR(SEARCH(search!$B$6,samples!H483,1),0)</f>
        <v>0</v>
      </c>
      <c r="Q946" t="str">
        <f>IF(samples!I483=0,"",samples!I483)</f>
        <v/>
      </c>
      <c r="R946">
        <f>IFERROR(SEARCH(search!$B$6,samples!I483,1),0)</f>
        <v>0</v>
      </c>
      <c r="S946" t="str">
        <f>IF(samples!J483=0,"",samples!J483)</f>
        <v/>
      </c>
      <c r="T946">
        <f>IFERROR(SEARCH(search!$B$6,samples!J483,1),0)</f>
        <v>0</v>
      </c>
      <c r="U946" t="str">
        <f>IF(samples!K483=0,"",samples!K483)</f>
        <v/>
      </c>
      <c r="V946">
        <f>IFERROR(SEARCH(search!$B$6,samples!K483,1),0)</f>
        <v>0</v>
      </c>
      <c r="W946" t="str">
        <f>IF(samples!L483=0,"",samples!L483)</f>
        <v/>
      </c>
      <c r="X946">
        <f>IFERROR(SEARCH(search!$B$6,samples!L483,1),0)</f>
        <v>0</v>
      </c>
      <c r="Y946" t="str">
        <f>IF(samples!M483=0,"",samples!M483)</f>
        <v/>
      </c>
      <c r="Z946">
        <f>IFERROR(SEARCH(search!$B$6,samples!M483,1),0)</f>
        <v>0</v>
      </c>
      <c r="AA946" t="str">
        <f>IF(samples!N483=0,"",samples!N483)</f>
        <v/>
      </c>
      <c r="AB946">
        <f>IFERROR(SEARCH(search!$B$6,samples!N483,1),0)</f>
        <v>0</v>
      </c>
      <c r="AC946" t="str">
        <f>IF(samples!O483=0,"",samples!O483)</f>
        <v/>
      </c>
      <c r="AD946">
        <f>IFERROR(SEARCH(search!$B$6,samples!O483,1),0)</f>
        <v>0</v>
      </c>
    </row>
    <row r="947" spans="1:30">
      <c r="A947">
        <f t="shared" si="14"/>
        <v>0</v>
      </c>
      <c r="B947">
        <f>IF(SUM(D947,F947,H947,J947,L947,N947,P947,R947,T947,V947,X947,Z947,AB947,AD947)&gt;0,SUM($A$2:A947),0)</f>
        <v>0</v>
      </c>
      <c r="C947">
        <f>samples!B484</f>
        <v>0</v>
      </c>
      <c r="D947">
        <f>IFERROR(SEARCH(search!$B$6,samples!B484,1),0)</f>
        <v>0</v>
      </c>
      <c r="E947" t="str">
        <f>IF(samples!C484=0,"",samples!C484)</f>
        <v/>
      </c>
      <c r="F947">
        <f>IFERROR(SEARCH(search!$B$6,samples!C484,1),0)</f>
        <v>0</v>
      </c>
      <c r="G947" t="str">
        <f>IF(samples!D484=0,"",samples!D484)</f>
        <v/>
      </c>
      <c r="H947">
        <f>IFERROR(SEARCH(search!$B$6,samples!D484,1),0)</f>
        <v>0</v>
      </c>
      <c r="I947" t="str">
        <f>IF(samples!E484=0,"",samples!E484)</f>
        <v/>
      </c>
      <c r="J947">
        <f>IFERROR(SEARCH(search!$B$6,samples!E484,1),0)</f>
        <v>0</v>
      </c>
      <c r="K947" t="str">
        <f>IF(samples!F484=0,"",samples!F484)</f>
        <v/>
      </c>
      <c r="L947">
        <f>IFERROR(SEARCH(search!$B$6,samples!F484,1),0)</f>
        <v>0</v>
      </c>
      <c r="M947" t="str">
        <f>IF(samples!G484=0,"",samples!G484)</f>
        <v/>
      </c>
      <c r="N947">
        <f>IFERROR(SEARCH(search!$B$6,samples!G484,1),0)</f>
        <v>0</v>
      </c>
      <c r="O947" t="str">
        <f>IF(samples!H484=0,"",samples!H484)</f>
        <v/>
      </c>
      <c r="P947">
        <f>IFERROR(SEARCH(search!$B$6,samples!H484,1),0)</f>
        <v>0</v>
      </c>
      <c r="Q947" t="str">
        <f>IF(samples!I484=0,"",samples!I484)</f>
        <v/>
      </c>
      <c r="R947">
        <f>IFERROR(SEARCH(search!$B$6,samples!I484,1),0)</f>
        <v>0</v>
      </c>
      <c r="S947" t="str">
        <f>IF(samples!J484=0,"",samples!J484)</f>
        <v/>
      </c>
      <c r="T947">
        <f>IFERROR(SEARCH(search!$B$6,samples!J484,1),0)</f>
        <v>0</v>
      </c>
      <c r="U947" t="str">
        <f>IF(samples!K484=0,"",samples!K484)</f>
        <v/>
      </c>
      <c r="V947">
        <f>IFERROR(SEARCH(search!$B$6,samples!K484,1),0)</f>
        <v>0</v>
      </c>
      <c r="W947" t="str">
        <f>IF(samples!L484=0,"",samples!L484)</f>
        <v/>
      </c>
      <c r="X947">
        <f>IFERROR(SEARCH(search!$B$6,samples!L484,1),0)</f>
        <v>0</v>
      </c>
      <c r="Y947" t="str">
        <f>IF(samples!M484=0,"",samples!M484)</f>
        <v/>
      </c>
      <c r="Z947">
        <f>IFERROR(SEARCH(search!$B$6,samples!M484,1),0)</f>
        <v>0</v>
      </c>
      <c r="AA947" t="str">
        <f>IF(samples!N484=0,"",samples!N484)</f>
        <v/>
      </c>
      <c r="AB947">
        <f>IFERROR(SEARCH(search!$B$6,samples!N484,1),0)</f>
        <v>0</v>
      </c>
      <c r="AC947" t="str">
        <f>IF(samples!O484=0,"",samples!O484)</f>
        <v/>
      </c>
      <c r="AD947">
        <f>IFERROR(SEARCH(search!$B$6,samples!O484,1),0)</f>
        <v>0</v>
      </c>
    </row>
    <row r="948" spans="1:30">
      <c r="A948">
        <f t="shared" si="14"/>
        <v>0</v>
      </c>
      <c r="B948">
        <f>IF(SUM(D948,F948,H948,J948,L948,N948,P948,R948,T948,V948,X948,Z948,AB948,AD948)&gt;0,SUM($A$2:A948),0)</f>
        <v>0</v>
      </c>
      <c r="C948">
        <f>samples!B485</f>
        <v>0</v>
      </c>
      <c r="D948">
        <f>IFERROR(SEARCH(search!$B$6,samples!B485,1),0)</f>
        <v>0</v>
      </c>
      <c r="E948" t="str">
        <f>IF(samples!C485=0,"",samples!C485)</f>
        <v/>
      </c>
      <c r="F948">
        <f>IFERROR(SEARCH(search!$B$6,samples!C485,1),0)</f>
        <v>0</v>
      </c>
      <c r="G948" t="str">
        <f>IF(samples!D485=0,"",samples!D485)</f>
        <v/>
      </c>
      <c r="H948">
        <f>IFERROR(SEARCH(search!$B$6,samples!D485,1),0)</f>
        <v>0</v>
      </c>
      <c r="I948" t="str">
        <f>IF(samples!E485=0,"",samples!E485)</f>
        <v/>
      </c>
      <c r="J948">
        <f>IFERROR(SEARCH(search!$B$6,samples!E485,1),0)</f>
        <v>0</v>
      </c>
      <c r="K948" t="str">
        <f>IF(samples!F485=0,"",samples!F485)</f>
        <v/>
      </c>
      <c r="L948">
        <f>IFERROR(SEARCH(search!$B$6,samples!F485,1),0)</f>
        <v>0</v>
      </c>
      <c r="M948" t="str">
        <f>IF(samples!G485=0,"",samples!G485)</f>
        <v/>
      </c>
      <c r="N948">
        <f>IFERROR(SEARCH(search!$B$6,samples!G485,1),0)</f>
        <v>0</v>
      </c>
      <c r="O948" t="str">
        <f>IF(samples!H485=0,"",samples!H485)</f>
        <v/>
      </c>
      <c r="P948">
        <f>IFERROR(SEARCH(search!$B$6,samples!H485,1),0)</f>
        <v>0</v>
      </c>
      <c r="Q948" t="str">
        <f>IF(samples!I485=0,"",samples!I485)</f>
        <v/>
      </c>
      <c r="R948">
        <f>IFERROR(SEARCH(search!$B$6,samples!I485,1),0)</f>
        <v>0</v>
      </c>
      <c r="S948" t="str">
        <f>IF(samples!J485=0,"",samples!J485)</f>
        <v/>
      </c>
      <c r="T948">
        <f>IFERROR(SEARCH(search!$B$6,samples!J485,1),0)</f>
        <v>0</v>
      </c>
      <c r="U948" t="str">
        <f>IF(samples!K485=0,"",samples!K485)</f>
        <v/>
      </c>
      <c r="V948">
        <f>IFERROR(SEARCH(search!$B$6,samples!K485,1),0)</f>
        <v>0</v>
      </c>
      <c r="W948" t="str">
        <f>IF(samples!L485=0,"",samples!L485)</f>
        <v/>
      </c>
      <c r="X948">
        <f>IFERROR(SEARCH(search!$B$6,samples!L485,1),0)</f>
        <v>0</v>
      </c>
      <c r="Y948" t="str">
        <f>IF(samples!M485=0,"",samples!M485)</f>
        <v/>
      </c>
      <c r="Z948">
        <f>IFERROR(SEARCH(search!$B$6,samples!M485,1),0)</f>
        <v>0</v>
      </c>
      <c r="AA948" t="str">
        <f>IF(samples!N485=0,"",samples!N485)</f>
        <v/>
      </c>
      <c r="AB948">
        <f>IFERROR(SEARCH(search!$B$6,samples!N485,1),0)</f>
        <v>0</v>
      </c>
      <c r="AC948" t="str">
        <f>IF(samples!O485=0,"",samples!O485)</f>
        <v/>
      </c>
      <c r="AD948">
        <f>IFERROR(SEARCH(search!$B$6,samples!O485,1),0)</f>
        <v>0</v>
      </c>
    </row>
    <row r="949" spans="1:30">
      <c r="A949">
        <f t="shared" si="14"/>
        <v>0</v>
      </c>
      <c r="B949">
        <f>IF(SUM(D949,F949,H949,J949,L949,N949,P949,R949,T949,V949,X949,Z949,AB949,AD949)&gt;0,SUM($A$2:A949),0)</f>
        <v>0</v>
      </c>
      <c r="C949">
        <f>samples!B486</f>
        <v>0</v>
      </c>
      <c r="D949">
        <f>IFERROR(SEARCH(search!$B$6,samples!B486,1),0)</f>
        <v>0</v>
      </c>
      <c r="E949" t="str">
        <f>IF(samples!C486=0,"",samples!C486)</f>
        <v/>
      </c>
      <c r="F949">
        <f>IFERROR(SEARCH(search!$B$6,samples!C486,1),0)</f>
        <v>0</v>
      </c>
      <c r="G949" t="str">
        <f>IF(samples!D486=0,"",samples!D486)</f>
        <v/>
      </c>
      <c r="H949">
        <f>IFERROR(SEARCH(search!$B$6,samples!D486,1),0)</f>
        <v>0</v>
      </c>
      <c r="I949" t="str">
        <f>IF(samples!E486=0,"",samples!E486)</f>
        <v/>
      </c>
      <c r="J949">
        <f>IFERROR(SEARCH(search!$B$6,samples!E486,1),0)</f>
        <v>0</v>
      </c>
      <c r="K949" t="str">
        <f>IF(samples!F486=0,"",samples!F486)</f>
        <v/>
      </c>
      <c r="L949">
        <f>IFERROR(SEARCH(search!$B$6,samples!F486,1),0)</f>
        <v>0</v>
      </c>
      <c r="M949" t="str">
        <f>IF(samples!G486=0,"",samples!G486)</f>
        <v/>
      </c>
      <c r="N949">
        <f>IFERROR(SEARCH(search!$B$6,samples!G486,1),0)</f>
        <v>0</v>
      </c>
      <c r="O949" t="str">
        <f>IF(samples!H486=0,"",samples!H486)</f>
        <v/>
      </c>
      <c r="P949">
        <f>IFERROR(SEARCH(search!$B$6,samples!H486,1),0)</f>
        <v>0</v>
      </c>
      <c r="Q949" t="str">
        <f>IF(samples!I486=0,"",samples!I486)</f>
        <v/>
      </c>
      <c r="R949">
        <f>IFERROR(SEARCH(search!$B$6,samples!I486,1),0)</f>
        <v>0</v>
      </c>
      <c r="S949" t="str">
        <f>IF(samples!J486=0,"",samples!J486)</f>
        <v/>
      </c>
      <c r="T949">
        <f>IFERROR(SEARCH(search!$B$6,samples!J486,1),0)</f>
        <v>0</v>
      </c>
      <c r="U949" t="str">
        <f>IF(samples!K486=0,"",samples!K486)</f>
        <v/>
      </c>
      <c r="V949">
        <f>IFERROR(SEARCH(search!$B$6,samples!K486,1),0)</f>
        <v>0</v>
      </c>
      <c r="W949" t="str">
        <f>IF(samples!L486=0,"",samples!L486)</f>
        <v/>
      </c>
      <c r="X949">
        <f>IFERROR(SEARCH(search!$B$6,samples!L486,1),0)</f>
        <v>0</v>
      </c>
      <c r="Y949" t="str">
        <f>IF(samples!M486=0,"",samples!M486)</f>
        <v/>
      </c>
      <c r="Z949">
        <f>IFERROR(SEARCH(search!$B$6,samples!M486,1),0)</f>
        <v>0</v>
      </c>
      <c r="AA949" t="str">
        <f>IF(samples!N486=0,"",samples!N486)</f>
        <v/>
      </c>
      <c r="AB949">
        <f>IFERROR(SEARCH(search!$B$6,samples!N486,1),0)</f>
        <v>0</v>
      </c>
      <c r="AC949" t="str">
        <f>IF(samples!O486=0,"",samples!O486)</f>
        <v/>
      </c>
      <c r="AD949">
        <f>IFERROR(SEARCH(search!$B$6,samples!O486,1),0)</f>
        <v>0</v>
      </c>
    </row>
    <row r="950" spans="1:30">
      <c r="A950">
        <f t="shared" si="14"/>
        <v>0</v>
      </c>
      <c r="B950">
        <f>IF(SUM(D950,F950,H950,J950,L950,N950,P950,R950,T950,V950,X950,Z950,AB950,AD950)&gt;0,SUM($A$2:A950),0)</f>
        <v>0</v>
      </c>
      <c r="C950">
        <f>samples!B487</f>
        <v>0</v>
      </c>
      <c r="D950">
        <f>IFERROR(SEARCH(search!$B$6,samples!B487,1),0)</f>
        <v>0</v>
      </c>
      <c r="E950" t="str">
        <f>IF(samples!C487=0,"",samples!C487)</f>
        <v/>
      </c>
      <c r="F950">
        <f>IFERROR(SEARCH(search!$B$6,samples!C487,1),0)</f>
        <v>0</v>
      </c>
      <c r="G950" t="str">
        <f>IF(samples!D487=0,"",samples!D487)</f>
        <v/>
      </c>
      <c r="H950">
        <f>IFERROR(SEARCH(search!$B$6,samples!D487,1),0)</f>
        <v>0</v>
      </c>
      <c r="I950" t="str">
        <f>IF(samples!E487=0,"",samples!E487)</f>
        <v/>
      </c>
      <c r="J950">
        <f>IFERROR(SEARCH(search!$B$6,samples!E487,1),0)</f>
        <v>0</v>
      </c>
      <c r="K950" t="str">
        <f>IF(samples!F487=0,"",samples!F487)</f>
        <v/>
      </c>
      <c r="L950">
        <f>IFERROR(SEARCH(search!$B$6,samples!F487,1),0)</f>
        <v>0</v>
      </c>
      <c r="M950" t="str">
        <f>IF(samples!G487=0,"",samples!G487)</f>
        <v/>
      </c>
      <c r="N950">
        <f>IFERROR(SEARCH(search!$B$6,samples!G487,1),0)</f>
        <v>0</v>
      </c>
      <c r="O950" t="str">
        <f>IF(samples!H487=0,"",samples!H487)</f>
        <v/>
      </c>
      <c r="P950">
        <f>IFERROR(SEARCH(search!$B$6,samples!H487,1),0)</f>
        <v>0</v>
      </c>
      <c r="Q950" t="str">
        <f>IF(samples!I487=0,"",samples!I487)</f>
        <v/>
      </c>
      <c r="R950">
        <f>IFERROR(SEARCH(search!$B$6,samples!I487,1),0)</f>
        <v>0</v>
      </c>
      <c r="S950" t="str">
        <f>IF(samples!J487=0,"",samples!J487)</f>
        <v/>
      </c>
      <c r="T950">
        <f>IFERROR(SEARCH(search!$B$6,samples!J487,1),0)</f>
        <v>0</v>
      </c>
      <c r="U950" t="str">
        <f>IF(samples!K487=0,"",samples!K487)</f>
        <v/>
      </c>
      <c r="V950">
        <f>IFERROR(SEARCH(search!$B$6,samples!K487,1),0)</f>
        <v>0</v>
      </c>
      <c r="W950" t="str">
        <f>IF(samples!L487=0,"",samples!L487)</f>
        <v/>
      </c>
      <c r="X950">
        <f>IFERROR(SEARCH(search!$B$6,samples!L487,1),0)</f>
        <v>0</v>
      </c>
      <c r="Y950" t="str">
        <f>IF(samples!M487=0,"",samples!M487)</f>
        <v/>
      </c>
      <c r="Z950">
        <f>IFERROR(SEARCH(search!$B$6,samples!M487,1),0)</f>
        <v>0</v>
      </c>
      <c r="AA950" t="str">
        <f>IF(samples!N487=0,"",samples!N487)</f>
        <v/>
      </c>
      <c r="AB950">
        <f>IFERROR(SEARCH(search!$B$6,samples!N487,1),0)</f>
        <v>0</v>
      </c>
      <c r="AC950" t="str">
        <f>IF(samples!O487=0,"",samples!O487)</f>
        <v/>
      </c>
      <c r="AD950">
        <f>IFERROR(SEARCH(search!$B$6,samples!O487,1),0)</f>
        <v>0</v>
      </c>
    </row>
    <row r="951" spans="1:30">
      <c r="A951">
        <f t="shared" si="14"/>
        <v>0</v>
      </c>
      <c r="B951">
        <f>IF(SUM(D951,F951,H951,J951,L951,N951,P951,R951,T951,V951,X951,Z951,AB951,AD951)&gt;0,SUM($A$2:A951),0)</f>
        <v>0</v>
      </c>
      <c r="C951">
        <f>samples!B488</f>
        <v>0</v>
      </c>
      <c r="D951">
        <f>IFERROR(SEARCH(search!$B$6,samples!B488,1),0)</f>
        <v>0</v>
      </c>
      <c r="E951" t="str">
        <f>IF(samples!C488=0,"",samples!C488)</f>
        <v/>
      </c>
      <c r="F951">
        <f>IFERROR(SEARCH(search!$B$6,samples!C488,1),0)</f>
        <v>0</v>
      </c>
      <c r="G951" t="str">
        <f>IF(samples!D488=0,"",samples!D488)</f>
        <v/>
      </c>
      <c r="H951">
        <f>IFERROR(SEARCH(search!$B$6,samples!D488,1),0)</f>
        <v>0</v>
      </c>
      <c r="I951" t="str">
        <f>IF(samples!E488=0,"",samples!E488)</f>
        <v/>
      </c>
      <c r="J951">
        <f>IFERROR(SEARCH(search!$B$6,samples!E488,1),0)</f>
        <v>0</v>
      </c>
      <c r="K951" t="str">
        <f>IF(samples!F488=0,"",samples!F488)</f>
        <v/>
      </c>
      <c r="L951">
        <f>IFERROR(SEARCH(search!$B$6,samples!F488,1),0)</f>
        <v>0</v>
      </c>
      <c r="M951" t="str">
        <f>IF(samples!G488=0,"",samples!G488)</f>
        <v/>
      </c>
      <c r="N951">
        <f>IFERROR(SEARCH(search!$B$6,samples!G488,1),0)</f>
        <v>0</v>
      </c>
      <c r="O951" t="str">
        <f>IF(samples!H488=0,"",samples!H488)</f>
        <v/>
      </c>
      <c r="P951">
        <f>IFERROR(SEARCH(search!$B$6,samples!H488,1),0)</f>
        <v>0</v>
      </c>
      <c r="Q951" t="str">
        <f>IF(samples!I488=0,"",samples!I488)</f>
        <v/>
      </c>
      <c r="R951">
        <f>IFERROR(SEARCH(search!$B$6,samples!I488,1),0)</f>
        <v>0</v>
      </c>
      <c r="S951" t="str">
        <f>IF(samples!J488=0,"",samples!J488)</f>
        <v/>
      </c>
      <c r="T951">
        <f>IFERROR(SEARCH(search!$B$6,samples!J488,1),0)</f>
        <v>0</v>
      </c>
      <c r="U951" t="str">
        <f>IF(samples!K488=0,"",samples!K488)</f>
        <v/>
      </c>
      <c r="V951">
        <f>IFERROR(SEARCH(search!$B$6,samples!K488,1),0)</f>
        <v>0</v>
      </c>
      <c r="W951" t="str">
        <f>IF(samples!L488=0,"",samples!L488)</f>
        <v/>
      </c>
      <c r="X951">
        <f>IFERROR(SEARCH(search!$B$6,samples!L488,1),0)</f>
        <v>0</v>
      </c>
      <c r="Y951" t="str">
        <f>IF(samples!M488=0,"",samples!M488)</f>
        <v/>
      </c>
      <c r="Z951">
        <f>IFERROR(SEARCH(search!$B$6,samples!M488,1),0)</f>
        <v>0</v>
      </c>
      <c r="AA951" t="str">
        <f>IF(samples!N488=0,"",samples!N488)</f>
        <v/>
      </c>
      <c r="AB951">
        <f>IFERROR(SEARCH(search!$B$6,samples!N488,1),0)</f>
        <v>0</v>
      </c>
      <c r="AC951" t="str">
        <f>IF(samples!O488=0,"",samples!O488)</f>
        <v/>
      </c>
      <c r="AD951">
        <f>IFERROR(SEARCH(search!$B$6,samples!O488,1),0)</f>
        <v>0</v>
      </c>
    </row>
    <row r="952" spans="1:30">
      <c r="A952">
        <f t="shared" si="14"/>
        <v>0</v>
      </c>
      <c r="B952">
        <f>IF(SUM(D952,F952,H952,J952,L952,N952,P952,R952,T952,V952,X952,Z952,AB952,AD952)&gt;0,SUM($A$2:A952),0)</f>
        <v>0</v>
      </c>
      <c r="C952">
        <f>samples!B489</f>
        <v>0</v>
      </c>
      <c r="D952">
        <f>IFERROR(SEARCH(search!$B$6,samples!B489,1),0)</f>
        <v>0</v>
      </c>
      <c r="E952" t="str">
        <f>IF(samples!C489=0,"",samples!C489)</f>
        <v/>
      </c>
      <c r="F952">
        <f>IFERROR(SEARCH(search!$B$6,samples!C489,1),0)</f>
        <v>0</v>
      </c>
      <c r="G952" t="str">
        <f>IF(samples!D489=0,"",samples!D489)</f>
        <v/>
      </c>
      <c r="H952">
        <f>IFERROR(SEARCH(search!$B$6,samples!D489,1),0)</f>
        <v>0</v>
      </c>
      <c r="I952" t="str">
        <f>IF(samples!E489=0,"",samples!E489)</f>
        <v/>
      </c>
      <c r="J952">
        <f>IFERROR(SEARCH(search!$B$6,samples!E489,1),0)</f>
        <v>0</v>
      </c>
      <c r="K952" t="str">
        <f>IF(samples!F489=0,"",samples!F489)</f>
        <v/>
      </c>
      <c r="L952">
        <f>IFERROR(SEARCH(search!$B$6,samples!F489,1),0)</f>
        <v>0</v>
      </c>
      <c r="M952" t="str">
        <f>IF(samples!G489=0,"",samples!G489)</f>
        <v/>
      </c>
      <c r="N952">
        <f>IFERROR(SEARCH(search!$B$6,samples!G489,1),0)</f>
        <v>0</v>
      </c>
      <c r="O952" t="str">
        <f>IF(samples!H489=0,"",samples!H489)</f>
        <v/>
      </c>
      <c r="P952">
        <f>IFERROR(SEARCH(search!$B$6,samples!H489,1),0)</f>
        <v>0</v>
      </c>
      <c r="Q952" t="str">
        <f>IF(samples!I489=0,"",samples!I489)</f>
        <v/>
      </c>
      <c r="R952">
        <f>IFERROR(SEARCH(search!$B$6,samples!I489,1),0)</f>
        <v>0</v>
      </c>
      <c r="S952" t="str">
        <f>IF(samples!J489=0,"",samples!J489)</f>
        <v/>
      </c>
      <c r="T952">
        <f>IFERROR(SEARCH(search!$B$6,samples!J489,1),0)</f>
        <v>0</v>
      </c>
      <c r="U952" t="str">
        <f>IF(samples!K489=0,"",samples!K489)</f>
        <v/>
      </c>
      <c r="V952">
        <f>IFERROR(SEARCH(search!$B$6,samples!K489,1),0)</f>
        <v>0</v>
      </c>
      <c r="W952" t="str">
        <f>IF(samples!L489=0,"",samples!L489)</f>
        <v/>
      </c>
      <c r="X952">
        <f>IFERROR(SEARCH(search!$B$6,samples!L489,1),0)</f>
        <v>0</v>
      </c>
      <c r="Y952" t="str">
        <f>IF(samples!M489=0,"",samples!M489)</f>
        <v/>
      </c>
      <c r="Z952">
        <f>IFERROR(SEARCH(search!$B$6,samples!M489,1),0)</f>
        <v>0</v>
      </c>
      <c r="AA952" t="str">
        <f>IF(samples!N489=0,"",samples!N489)</f>
        <v/>
      </c>
      <c r="AB952">
        <f>IFERROR(SEARCH(search!$B$6,samples!N489,1),0)</f>
        <v>0</v>
      </c>
      <c r="AC952" t="str">
        <f>IF(samples!O489=0,"",samples!O489)</f>
        <v/>
      </c>
      <c r="AD952">
        <f>IFERROR(SEARCH(search!$B$6,samples!O489,1),0)</f>
        <v>0</v>
      </c>
    </row>
    <row r="953" spans="1:30">
      <c r="A953">
        <f t="shared" si="14"/>
        <v>0</v>
      </c>
      <c r="B953">
        <f>IF(SUM(D953,F953,H953,J953,L953,N953,P953,R953,T953,V953,X953,Z953,AB953,AD953)&gt;0,SUM($A$2:A953),0)</f>
        <v>0</v>
      </c>
      <c r="C953">
        <f>samples!B490</f>
        <v>0</v>
      </c>
      <c r="D953">
        <f>IFERROR(SEARCH(search!$B$6,samples!B490,1),0)</f>
        <v>0</v>
      </c>
      <c r="E953" t="str">
        <f>IF(samples!C490=0,"",samples!C490)</f>
        <v/>
      </c>
      <c r="F953">
        <f>IFERROR(SEARCH(search!$B$6,samples!C490,1),0)</f>
        <v>0</v>
      </c>
      <c r="G953" t="str">
        <f>IF(samples!D490=0,"",samples!D490)</f>
        <v/>
      </c>
      <c r="H953">
        <f>IFERROR(SEARCH(search!$B$6,samples!D490,1),0)</f>
        <v>0</v>
      </c>
      <c r="I953" t="str">
        <f>IF(samples!E490=0,"",samples!E490)</f>
        <v/>
      </c>
      <c r="J953">
        <f>IFERROR(SEARCH(search!$B$6,samples!E490,1),0)</f>
        <v>0</v>
      </c>
      <c r="K953" t="str">
        <f>IF(samples!F490=0,"",samples!F490)</f>
        <v/>
      </c>
      <c r="L953">
        <f>IFERROR(SEARCH(search!$B$6,samples!F490,1),0)</f>
        <v>0</v>
      </c>
      <c r="M953" t="str">
        <f>IF(samples!G490=0,"",samples!G490)</f>
        <v/>
      </c>
      <c r="N953">
        <f>IFERROR(SEARCH(search!$B$6,samples!G490,1),0)</f>
        <v>0</v>
      </c>
      <c r="O953" t="str">
        <f>IF(samples!H490=0,"",samples!H490)</f>
        <v/>
      </c>
      <c r="P953">
        <f>IFERROR(SEARCH(search!$B$6,samples!H490,1),0)</f>
        <v>0</v>
      </c>
      <c r="Q953" t="str">
        <f>IF(samples!I490=0,"",samples!I490)</f>
        <v/>
      </c>
      <c r="R953">
        <f>IFERROR(SEARCH(search!$B$6,samples!I490,1),0)</f>
        <v>0</v>
      </c>
      <c r="S953" t="str">
        <f>IF(samples!J490=0,"",samples!J490)</f>
        <v/>
      </c>
      <c r="T953">
        <f>IFERROR(SEARCH(search!$B$6,samples!J490,1),0)</f>
        <v>0</v>
      </c>
      <c r="U953" t="str">
        <f>IF(samples!K490=0,"",samples!K490)</f>
        <v/>
      </c>
      <c r="V953">
        <f>IFERROR(SEARCH(search!$B$6,samples!K490,1),0)</f>
        <v>0</v>
      </c>
      <c r="W953" t="str">
        <f>IF(samples!L490=0,"",samples!L490)</f>
        <v/>
      </c>
      <c r="X953">
        <f>IFERROR(SEARCH(search!$B$6,samples!L490,1),0)</f>
        <v>0</v>
      </c>
      <c r="Y953" t="str">
        <f>IF(samples!M490=0,"",samples!M490)</f>
        <v/>
      </c>
      <c r="Z953">
        <f>IFERROR(SEARCH(search!$B$6,samples!M490,1),0)</f>
        <v>0</v>
      </c>
      <c r="AA953" t="str">
        <f>IF(samples!N490=0,"",samples!N490)</f>
        <v/>
      </c>
      <c r="AB953">
        <f>IFERROR(SEARCH(search!$B$6,samples!N490,1),0)</f>
        <v>0</v>
      </c>
      <c r="AC953" t="str">
        <f>IF(samples!O490=0,"",samples!O490)</f>
        <v/>
      </c>
      <c r="AD953">
        <f>IFERROR(SEARCH(search!$B$6,samples!O490,1),0)</f>
        <v>0</v>
      </c>
    </row>
    <row r="954" spans="1:30">
      <c r="A954">
        <f t="shared" si="14"/>
        <v>0</v>
      </c>
      <c r="B954">
        <f>IF(SUM(D954,F954,H954,J954,L954,N954,P954,R954,T954,V954,X954,Z954,AB954,AD954)&gt;0,SUM($A$2:A954),0)</f>
        <v>0</v>
      </c>
      <c r="C954">
        <f>samples!B491</f>
        <v>0</v>
      </c>
      <c r="D954">
        <f>IFERROR(SEARCH(search!$B$6,samples!B491,1),0)</f>
        <v>0</v>
      </c>
      <c r="E954" t="str">
        <f>IF(samples!C491=0,"",samples!C491)</f>
        <v/>
      </c>
      <c r="F954">
        <f>IFERROR(SEARCH(search!$B$6,samples!C491,1),0)</f>
        <v>0</v>
      </c>
      <c r="G954" t="str">
        <f>IF(samples!D491=0,"",samples!D491)</f>
        <v/>
      </c>
      <c r="H954">
        <f>IFERROR(SEARCH(search!$B$6,samples!D491,1),0)</f>
        <v>0</v>
      </c>
      <c r="I954" t="str">
        <f>IF(samples!E491=0,"",samples!E491)</f>
        <v/>
      </c>
      <c r="J954">
        <f>IFERROR(SEARCH(search!$B$6,samples!E491,1),0)</f>
        <v>0</v>
      </c>
      <c r="K954" t="str">
        <f>IF(samples!F491=0,"",samples!F491)</f>
        <v/>
      </c>
      <c r="L954">
        <f>IFERROR(SEARCH(search!$B$6,samples!F491,1),0)</f>
        <v>0</v>
      </c>
      <c r="M954" t="str">
        <f>IF(samples!G491=0,"",samples!G491)</f>
        <v/>
      </c>
      <c r="N954">
        <f>IFERROR(SEARCH(search!$B$6,samples!G491,1),0)</f>
        <v>0</v>
      </c>
      <c r="O954" t="str">
        <f>IF(samples!H491=0,"",samples!H491)</f>
        <v/>
      </c>
      <c r="P954">
        <f>IFERROR(SEARCH(search!$B$6,samples!H491,1),0)</f>
        <v>0</v>
      </c>
      <c r="Q954" t="str">
        <f>IF(samples!I491=0,"",samples!I491)</f>
        <v/>
      </c>
      <c r="R954">
        <f>IFERROR(SEARCH(search!$B$6,samples!I491,1),0)</f>
        <v>0</v>
      </c>
      <c r="S954" t="str">
        <f>IF(samples!J491=0,"",samples!J491)</f>
        <v/>
      </c>
      <c r="T954">
        <f>IFERROR(SEARCH(search!$B$6,samples!J491,1),0)</f>
        <v>0</v>
      </c>
      <c r="U954" t="str">
        <f>IF(samples!K491=0,"",samples!K491)</f>
        <v/>
      </c>
      <c r="V954">
        <f>IFERROR(SEARCH(search!$B$6,samples!K491,1),0)</f>
        <v>0</v>
      </c>
      <c r="W954" t="str">
        <f>IF(samples!L491=0,"",samples!L491)</f>
        <v/>
      </c>
      <c r="X954">
        <f>IFERROR(SEARCH(search!$B$6,samples!L491,1),0)</f>
        <v>0</v>
      </c>
      <c r="Y954" t="str">
        <f>IF(samples!M491=0,"",samples!M491)</f>
        <v/>
      </c>
      <c r="Z954">
        <f>IFERROR(SEARCH(search!$B$6,samples!M491,1),0)</f>
        <v>0</v>
      </c>
      <c r="AA954" t="str">
        <f>IF(samples!N491=0,"",samples!N491)</f>
        <v/>
      </c>
      <c r="AB954">
        <f>IFERROR(SEARCH(search!$B$6,samples!N491,1),0)</f>
        <v>0</v>
      </c>
      <c r="AC954" t="str">
        <f>IF(samples!O491=0,"",samples!O491)</f>
        <v/>
      </c>
      <c r="AD954">
        <f>IFERROR(SEARCH(search!$B$6,samples!O491,1),0)</f>
        <v>0</v>
      </c>
    </row>
    <row r="955" spans="1:30">
      <c r="A955">
        <f t="shared" si="14"/>
        <v>0</v>
      </c>
      <c r="B955">
        <f>IF(SUM(D955,F955,H955,J955,L955,N955,P955,R955,T955,V955,X955,Z955,AB955,AD955)&gt;0,SUM($A$2:A955),0)</f>
        <v>0</v>
      </c>
      <c r="C955">
        <f>samples!B492</f>
        <v>0</v>
      </c>
      <c r="D955">
        <f>IFERROR(SEARCH(search!$B$6,samples!B492,1),0)</f>
        <v>0</v>
      </c>
      <c r="E955" t="str">
        <f>IF(samples!C492=0,"",samples!C492)</f>
        <v/>
      </c>
      <c r="F955">
        <f>IFERROR(SEARCH(search!$B$6,samples!C492,1),0)</f>
        <v>0</v>
      </c>
      <c r="G955" t="str">
        <f>IF(samples!D492=0,"",samples!D492)</f>
        <v/>
      </c>
      <c r="H955">
        <f>IFERROR(SEARCH(search!$B$6,samples!D492,1),0)</f>
        <v>0</v>
      </c>
      <c r="I955" t="str">
        <f>IF(samples!E492=0,"",samples!E492)</f>
        <v/>
      </c>
      <c r="J955">
        <f>IFERROR(SEARCH(search!$B$6,samples!E492,1),0)</f>
        <v>0</v>
      </c>
      <c r="K955" t="str">
        <f>IF(samples!F492=0,"",samples!F492)</f>
        <v/>
      </c>
      <c r="L955">
        <f>IFERROR(SEARCH(search!$B$6,samples!F492,1),0)</f>
        <v>0</v>
      </c>
      <c r="M955" t="str">
        <f>IF(samples!G492=0,"",samples!G492)</f>
        <v/>
      </c>
      <c r="N955">
        <f>IFERROR(SEARCH(search!$B$6,samples!G492,1),0)</f>
        <v>0</v>
      </c>
      <c r="O955" t="str">
        <f>IF(samples!H492=0,"",samples!H492)</f>
        <v/>
      </c>
      <c r="P955">
        <f>IFERROR(SEARCH(search!$B$6,samples!H492,1),0)</f>
        <v>0</v>
      </c>
      <c r="Q955" t="str">
        <f>IF(samples!I492=0,"",samples!I492)</f>
        <v/>
      </c>
      <c r="R955">
        <f>IFERROR(SEARCH(search!$B$6,samples!I492,1),0)</f>
        <v>0</v>
      </c>
      <c r="S955" t="str">
        <f>IF(samples!J492=0,"",samples!J492)</f>
        <v/>
      </c>
      <c r="T955">
        <f>IFERROR(SEARCH(search!$B$6,samples!J492,1),0)</f>
        <v>0</v>
      </c>
      <c r="U955" t="str">
        <f>IF(samples!K492=0,"",samples!K492)</f>
        <v/>
      </c>
      <c r="V955">
        <f>IFERROR(SEARCH(search!$B$6,samples!K492,1),0)</f>
        <v>0</v>
      </c>
      <c r="W955" t="str">
        <f>IF(samples!L492=0,"",samples!L492)</f>
        <v/>
      </c>
      <c r="X955">
        <f>IFERROR(SEARCH(search!$B$6,samples!L492,1),0)</f>
        <v>0</v>
      </c>
      <c r="Y955" t="str">
        <f>IF(samples!M492=0,"",samples!M492)</f>
        <v/>
      </c>
      <c r="Z955">
        <f>IFERROR(SEARCH(search!$B$6,samples!M492,1),0)</f>
        <v>0</v>
      </c>
      <c r="AA955" t="str">
        <f>IF(samples!N492=0,"",samples!N492)</f>
        <v/>
      </c>
      <c r="AB955">
        <f>IFERROR(SEARCH(search!$B$6,samples!N492,1),0)</f>
        <v>0</v>
      </c>
      <c r="AC955" t="str">
        <f>IF(samples!O492=0,"",samples!O492)</f>
        <v/>
      </c>
      <c r="AD955">
        <f>IFERROR(SEARCH(search!$B$6,samples!O492,1),0)</f>
        <v>0</v>
      </c>
    </row>
    <row r="956" spans="1:30">
      <c r="A956">
        <f t="shared" si="14"/>
        <v>0</v>
      </c>
      <c r="B956">
        <f>IF(SUM(D956,F956,H956,J956,L956,N956,P956,R956,T956,V956,X956,Z956,AB956,AD956)&gt;0,SUM($A$2:A956),0)</f>
        <v>0</v>
      </c>
      <c r="C956">
        <f>samples!B493</f>
        <v>0</v>
      </c>
      <c r="D956">
        <f>IFERROR(SEARCH(search!$B$6,samples!B493,1),0)</f>
        <v>0</v>
      </c>
      <c r="E956" t="str">
        <f>IF(samples!C493=0,"",samples!C493)</f>
        <v/>
      </c>
      <c r="F956">
        <f>IFERROR(SEARCH(search!$B$6,samples!C493,1),0)</f>
        <v>0</v>
      </c>
      <c r="G956" t="str">
        <f>IF(samples!D493=0,"",samples!D493)</f>
        <v/>
      </c>
      <c r="H956">
        <f>IFERROR(SEARCH(search!$B$6,samples!D493,1),0)</f>
        <v>0</v>
      </c>
      <c r="I956" t="str">
        <f>IF(samples!E493=0,"",samples!E493)</f>
        <v/>
      </c>
      <c r="J956">
        <f>IFERROR(SEARCH(search!$B$6,samples!E493,1),0)</f>
        <v>0</v>
      </c>
      <c r="K956" t="str">
        <f>IF(samples!F493=0,"",samples!F493)</f>
        <v/>
      </c>
      <c r="L956">
        <f>IFERROR(SEARCH(search!$B$6,samples!F493,1),0)</f>
        <v>0</v>
      </c>
      <c r="M956" t="str">
        <f>IF(samples!G493=0,"",samples!G493)</f>
        <v/>
      </c>
      <c r="N956">
        <f>IFERROR(SEARCH(search!$B$6,samples!G493,1),0)</f>
        <v>0</v>
      </c>
      <c r="O956" t="str">
        <f>IF(samples!H493=0,"",samples!H493)</f>
        <v/>
      </c>
      <c r="P956">
        <f>IFERROR(SEARCH(search!$B$6,samples!H493,1),0)</f>
        <v>0</v>
      </c>
      <c r="Q956" t="str">
        <f>IF(samples!I493=0,"",samples!I493)</f>
        <v/>
      </c>
      <c r="R956">
        <f>IFERROR(SEARCH(search!$B$6,samples!I493,1),0)</f>
        <v>0</v>
      </c>
      <c r="S956" t="str">
        <f>IF(samples!J493=0,"",samples!J493)</f>
        <v/>
      </c>
      <c r="T956">
        <f>IFERROR(SEARCH(search!$B$6,samples!J493,1),0)</f>
        <v>0</v>
      </c>
      <c r="U956" t="str">
        <f>IF(samples!K493=0,"",samples!K493)</f>
        <v/>
      </c>
      <c r="V956">
        <f>IFERROR(SEARCH(search!$B$6,samples!K493,1),0)</f>
        <v>0</v>
      </c>
      <c r="W956" t="str">
        <f>IF(samples!L493=0,"",samples!L493)</f>
        <v/>
      </c>
      <c r="X956">
        <f>IFERROR(SEARCH(search!$B$6,samples!L493,1),0)</f>
        <v>0</v>
      </c>
      <c r="Y956" t="str">
        <f>IF(samples!M493=0,"",samples!M493)</f>
        <v/>
      </c>
      <c r="Z956">
        <f>IFERROR(SEARCH(search!$B$6,samples!M493,1),0)</f>
        <v>0</v>
      </c>
      <c r="AA956" t="str">
        <f>IF(samples!N493=0,"",samples!N493)</f>
        <v/>
      </c>
      <c r="AB956">
        <f>IFERROR(SEARCH(search!$B$6,samples!N493,1),0)</f>
        <v>0</v>
      </c>
      <c r="AC956" t="str">
        <f>IF(samples!O493=0,"",samples!O493)</f>
        <v/>
      </c>
      <c r="AD956">
        <f>IFERROR(SEARCH(search!$B$6,samples!O493,1),0)</f>
        <v>0</v>
      </c>
    </row>
    <row r="957" spans="1:30">
      <c r="A957">
        <f t="shared" si="14"/>
        <v>0</v>
      </c>
      <c r="B957">
        <f>IF(SUM(D957,F957,H957,J957,L957,N957,P957,R957,T957,V957,X957,Z957,AB957,AD957)&gt;0,SUM($A$2:A957),0)</f>
        <v>0</v>
      </c>
      <c r="C957">
        <f>samples!B494</f>
        <v>0</v>
      </c>
      <c r="D957">
        <f>IFERROR(SEARCH(search!$B$6,samples!B494,1),0)</f>
        <v>0</v>
      </c>
      <c r="E957" t="str">
        <f>IF(samples!C494=0,"",samples!C494)</f>
        <v/>
      </c>
      <c r="F957">
        <f>IFERROR(SEARCH(search!$B$6,samples!C494,1),0)</f>
        <v>0</v>
      </c>
      <c r="G957" t="str">
        <f>IF(samples!D494=0,"",samples!D494)</f>
        <v/>
      </c>
      <c r="H957">
        <f>IFERROR(SEARCH(search!$B$6,samples!D494,1),0)</f>
        <v>0</v>
      </c>
      <c r="I957" t="str">
        <f>IF(samples!E494=0,"",samples!E494)</f>
        <v/>
      </c>
      <c r="J957">
        <f>IFERROR(SEARCH(search!$B$6,samples!E494,1),0)</f>
        <v>0</v>
      </c>
      <c r="K957" t="str">
        <f>IF(samples!F494=0,"",samples!F494)</f>
        <v/>
      </c>
      <c r="L957">
        <f>IFERROR(SEARCH(search!$B$6,samples!F494,1),0)</f>
        <v>0</v>
      </c>
      <c r="M957" t="str">
        <f>IF(samples!G494=0,"",samples!G494)</f>
        <v/>
      </c>
      <c r="N957">
        <f>IFERROR(SEARCH(search!$B$6,samples!G494,1),0)</f>
        <v>0</v>
      </c>
      <c r="O957" t="str">
        <f>IF(samples!H494=0,"",samples!H494)</f>
        <v/>
      </c>
      <c r="P957">
        <f>IFERROR(SEARCH(search!$B$6,samples!H494,1),0)</f>
        <v>0</v>
      </c>
      <c r="Q957" t="str">
        <f>IF(samples!I494=0,"",samples!I494)</f>
        <v/>
      </c>
      <c r="R957">
        <f>IFERROR(SEARCH(search!$B$6,samples!I494,1),0)</f>
        <v>0</v>
      </c>
      <c r="S957" t="str">
        <f>IF(samples!J494=0,"",samples!J494)</f>
        <v/>
      </c>
      <c r="T957">
        <f>IFERROR(SEARCH(search!$B$6,samples!J494,1),0)</f>
        <v>0</v>
      </c>
      <c r="U957" t="str">
        <f>IF(samples!K494=0,"",samples!K494)</f>
        <v/>
      </c>
      <c r="V957">
        <f>IFERROR(SEARCH(search!$B$6,samples!K494,1),0)</f>
        <v>0</v>
      </c>
      <c r="W957" t="str">
        <f>IF(samples!L494=0,"",samples!L494)</f>
        <v/>
      </c>
      <c r="X957">
        <f>IFERROR(SEARCH(search!$B$6,samples!L494,1),0)</f>
        <v>0</v>
      </c>
      <c r="Y957" t="str">
        <f>IF(samples!M494=0,"",samples!M494)</f>
        <v/>
      </c>
      <c r="Z957">
        <f>IFERROR(SEARCH(search!$B$6,samples!M494,1),0)</f>
        <v>0</v>
      </c>
      <c r="AA957" t="str">
        <f>IF(samples!N494=0,"",samples!N494)</f>
        <v/>
      </c>
      <c r="AB957">
        <f>IFERROR(SEARCH(search!$B$6,samples!N494,1),0)</f>
        <v>0</v>
      </c>
      <c r="AC957" t="str">
        <f>IF(samples!O494=0,"",samples!O494)</f>
        <v/>
      </c>
      <c r="AD957">
        <f>IFERROR(SEARCH(search!$B$6,samples!O494,1),0)</f>
        <v>0</v>
      </c>
    </row>
    <row r="958" spans="1:30">
      <c r="A958">
        <f t="shared" si="14"/>
        <v>0</v>
      </c>
      <c r="B958">
        <f>IF(SUM(D958,F958,H958,J958,L958,N958,P958,R958,T958,V958,X958,Z958,AB958,AD958)&gt;0,SUM($A$2:A958),0)</f>
        <v>0</v>
      </c>
      <c r="C958">
        <f>samples!B495</f>
        <v>0</v>
      </c>
      <c r="D958">
        <f>IFERROR(SEARCH(search!$B$6,samples!B495,1),0)</f>
        <v>0</v>
      </c>
      <c r="E958" t="str">
        <f>IF(samples!C495=0,"",samples!C495)</f>
        <v/>
      </c>
      <c r="F958">
        <f>IFERROR(SEARCH(search!$B$6,samples!C495,1),0)</f>
        <v>0</v>
      </c>
      <c r="G958" t="str">
        <f>IF(samples!D495=0,"",samples!D495)</f>
        <v/>
      </c>
      <c r="H958">
        <f>IFERROR(SEARCH(search!$B$6,samples!D495,1),0)</f>
        <v>0</v>
      </c>
      <c r="I958" t="str">
        <f>IF(samples!E495=0,"",samples!E495)</f>
        <v/>
      </c>
      <c r="J958">
        <f>IFERROR(SEARCH(search!$B$6,samples!E495,1),0)</f>
        <v>0</v>
      </c>
      <c r="K958" t="str">
        <f>IF(samples!F495=0,"",samples!F495)</f>
        <v/>
      </c>
      <c r="L958">
        <f>IFERROR(SEARCH(search!$B$6,samples!F495,1),0)</f>
        <v>0</v>
      </c>
      <c r="M958" t="str">
        <f>IF(samples!G495=0,"",samples!G495)</f>
        <v/>
      </c>
      <c r="N958">
        <f>IFERROR(SEARCH(search!$B$6,samples!G495,1),0)</f>
        <v>0</v>
      </c>
      <c r="O958" t="str">
        <f>IF(samples!H495=0,"",samples!H495)</f>
        <v/>
      </c>
      <c r="P958">
        <f>IFERROR(SEARCH(search!$B$6,samples!H495,1),0)</f>
        <v>0</v>
      </c>
      <c r="Q958" t="str">
        <f>IF(samples!I495=0,"",samples!I495)</f>
        <v/>
      </c>
      <c r="R958">
        <f>IFERROR(SEARCH(search!$B$6,samples!I495,1),0)</f>
        <v>0</v>
      </c>
      <c r="S958" t="str">
        <f>IF(samples!J495=0,"",samples!J495)</f>
        <v/>
      </c>
      <c r="T958">
        <f>IFERROR(SEARCH(search!$B$6,samples!J495,1),0)</f>
        <v>0</v>
      </c>
      <c r="U958" t="str">
        <f>IF(samples!K495=0,"",samples!K495)</f>
        <v/>
      </c>
      <c r="V958">
        <f>IFERROR(SEARCH(search!$B$6,samples!K495,1),0)</f>
        <v>0</v>
      </c>
      <c r="W958" t="str">
        <f>IF(samples!L495=0,"",samples!L495)</f>
        <v/>
      </c>
      <c r="X958">
        <f>IFERROR(SEARCH(search!$B$6,samples!L495,1),0)</f>
        <v>0</v>
      </c>
      <c r="Y958" t="str">
        <f>IF(samples!M495=0,"",samples!M495)</f>
        <v/>
      </c>
      <c r="Z958">
        <f>IFERROR(SEARCH(search!$B$6,samples!M495,1),0)</f>
        <v>0</v>
      </c>
      <c r="AA958" t="str">
        <f>IF(samples!N495=0,"",samples!N495)</f>
        <v/>
      </c>
      <c r="AB958">
        <f>IFERROR(SEARCH(search!$B$6,samples!N495,1),0)</f>
        <v>0</v>
      </c>
      <c r="AC958" t="str">
        <f>IF(samples!O495=0,"",samples!O495)</f>
        <v/>
      </c>
      <c r="AD958">
        <f>IFERROR(SEARCH(search!$B$6,samples!O495,1),0)</f>
        <v>0</v>
      </c>
    </row>
    <row r="959" spans="1:30">
      <c r="A959">
        <f t="shared" si="14"/>
        <v>0</v>
      </c>
      <c r="B959">
        <f>IF(SUM(D959,F959,H959,J959,L959,N959,P959,R959,T959,V959,X959,Z959,AB959,AD959)&gt;0,SUM($A$2:A959),0)</f>
        <v>0</v>
      </c>
      <c r="C959">
        <f>samples!B496</f>
        <v>0</v>
      </c>
      <c r="D959">
        <f>IFERROR(SEARCH(search!$B$6,samples!B496,1),0)</f>
        <v>0</v>
      </c>
      <c r="E959" t="str">
        <f>IF(samples!C496=0,"",samples!C496)</f>
        <v/>
      </c>
      <c r="F959">
        <f>IFERROR(SEARCH(search!$B$6,samples!C496,1),0)</f>
        <v>0</v>
      </c>
      <c r="G959" t="str">
        <f>IF(samples!D496=0,"",samples!D496)</f>
        <v/>
      </c>
      <c r="H959">
        <f>IFERROR(SEARCH(search!$B$6,samples!D496,1),0)</f>
        <v>0</v>
      </c>
      <c r="I959" t="str">
        <f>IF(samples!E496=0,"",samples!E496)</f>
        <v/>
      </c>
      <c r="J959">
        <f>IFERROR(SEARCH(search!$B$6,samples!E496,1),0)</f>
        <v>0</v>
      </c>
      <c r="K959" t="str">
        <f>IF(samples!F496=0,"",samples!F496)</f>
        <v/>
      </c>
      <c r="L959">
        <f>IFERROR(SEARCH(search!$B$6,samples!F496,1),0)</f>
        <v>0</v>
      </c>
      <c r="M959" t="str">
        <f>IF(samples!G496=0,"",samples!G496)</f>
        <v/>
      </c>
      <c r="N959">
        <f>IFERROR(SEARCH(search!$B$6,samples!G496,1),0)</f>
        <v>0</v>
      </c>
      <c r="O959" t="str">
        <f>IF(samples!H496=0,"",samples!H496)</f>
        <v/>
      </c>
      <c r="P959">
        <f>IFERROR(SEARCH(search!$B$6,samples!H496,1),0)</f>
        <v>0</v>
      </c>
      <c r="Q959" t="str">
        <f>IF(samples!I496=0,"",samples!I496)</f>
        <v/>
      </c>
      <c r="R959">
        <f>IFERROR(SEARCH(search!$B$6,samples!I496,1),0)</f>
        <v>0</v>
      </c>
      <c r="S959" t="str">
        <f>IF(samples!J496=0,"",samples!J496)</f>
        <v/>
      </c>
      <c r="T959">
        <f>IFERROR(SEARCH(search!$B$6,samples!J496,1),0)</f>
        <v>0</v>
      </c>
      <c r="U959" t="str">
        <f>IF(samples!K496=0,"",samples!K496)</f>
        <v/>
      </c>
      <c r="V959">
        <f>IFERROR(SEARCH(search!$B$6,samples!K496,1),0)</f>
        <v>0</v>
      </c>
      <c r="W959" t="str">
        <f>IF(samples!L496=0,"",samples!L496)</f>
        <v/>
      </c>
      <c r="X959">
        <f>IFERROR(SEARCH(search!$B$6,samples!L496,1),0)</f>
        <v>0</v>
      </c>
      <c r="Y959" t="str">
        <f>IF(samples!M496=0,"",samples!M496)</f>
        <v/>
      </c>
      <c r="Z959">
        <f>IFERROR(SEARCH(search!$B$6,samples!M496,1),0)</f>
        <v>0</v>
      </c>
      <c r="AA959" t="str">
        <f>IF(samples!N496=0,"",samples!N496)</f>
        <v/>
      </c>
      <c r="AB959">
        <f>IFERROR(SEARCH(search!$B$6,samples!N496,1),0)</f>
        <v>0</v>
      </c>
      <c r="AC959" t="str">
        <f>IF(samples!O496=0,"",samples!O496)</f>
        <v/>
      </c>
      <c r="AD959">
        <f>IFERROR(SEARCH(search!$B$6,samples!O496,1),0)</f>
        <v>0</v>
      </c>
    </row>
    <row r="960" spans="1:30">
      <c r="A960">
        <f t="shared" si="14"/>
        <v>0</v>
      </c>
      <c r="B960">
        <f>IF(SUM(D960,F960,H960,J960,L960,N960,P960,R960,T960,V960,X960,Z960,AB960,AD960)&gt;0,SUM($A$2:A960),0)</f>
        <v>0</v>
      </c>
      <c r="C960">
        <f>samples!B497</f>
        <v>0</v>
      </c>
      <c r="D960">
        <f>IFERROR(SEARCH(search!$B$6,samples!B497,1),0)</f>
        <v>0</v>
      </c>
      <c r="E960" t="str">
        <f>IF(samples!C497=0,"",samples!C497)</f>
        <v/>
      </c>
      <c r="F960">
        <f>IFERROR(SEARCH(search!$B$6,samples!C497,1),0)</f>
        <v>0</v>
      </c>
      <c r="G960" t="str">
        <f>IF(samples!D497=0,"",samples!D497)</f>
        <v/>
      </c>
      <c r="H960">
        <f>IFERROR(SEARCH(search!$B$6,samples!D497,1),0)</f>
        <v>0</v>
      </c>
      <c r="I960" t="str">
        <f>IF(samples!E497=0,"",samples!E497)</f>
        <v/>
      </c>
      <c r="J960">
        <f>IFERROR(SEARCH(search!$B$6,samples!E497,1),0)</f>
        <v>0</v>
      </c>
      <c r="K960" t="str">
        <f>IF(samples!F497=0,"",samples!F497)</f>
        <v/>
      </c>
      <c r="L960">
        <f>IFERROR(SEARCH(search!$B$6,samples!F497,1),0)</f>
        <v>0</v>
      </c>
      <c r="M960" t="str">
        <f>IF(samples!G497=0,"",samples!G497)</f>
        <v/>
      </c>
      <c r="N960">
        <f>IFERROR(SEARCH(search!$B$6,samples!G497,1),0)</f>
        <v>0</v>
      </c>
      <c r="O960" t="str">
        <f>IF(samples!H497=0,"",samples!H497)</f>
        <v/>
      </c>
      <c r="P960">
        <f>IFERROR(SEARCH(search!$B$6,samples!H497,1),0)</f>
        <v>0</v>
      </c>
      <c r="Q960" t="str">
        <f>IF(samples!I497=0,"",samples!I497)</f>
        <v/>
      </c>
      <c r="R960">
        <f>IFERROR(SEARCH(search!$B$6,samples!I497,1),0)</f>
        <v>0</v>
      </c>
      <c r="S960" t="str">
        <f>IF(samples!J497=0,"",samples!J497)</f>
        <v/>
      </c>
      <c r="T960">
        <f>IFERROR(SEARCH(search!$B$6,samples!J497,1),0)</f>
        <v>0</v>
      </c>
      <c r="U960" t="str">
        <f>IF(samples!K497=0,"",samples!K497)</f>
        <v/>
      </c>
      <c r="V960">
        <f>IFERROR(SEARCH(search!$B$6,samples!K497,1),0)</f>
        <v>0</v>
      </c>
      <c r="W960" t="str">
        <f>IF(samples!L497=0,"",samples!L497)</f>
        <v/>
      </c>
      <c r="X960">
        <f>IFERROR(SEARCH(search!$B$6,samples!L497,1),0)</f>
        <v>0</v>
      </c>
      <c r="Y960" t="str">
        <f>IF(samples!M497=0,"",samples!M497)</f>
        <v/>
      </c>
      <c r="Z960">
        <f>IFERROR(SEARCH(search!$B$6,samples!M497,1),0)</f>
        <v>0</v>
      </c>
      <c r="AA960" t="str">
        <f>IF(samples!N497=0,"",samples!N497)</f>
        <v/>
      </c>
      <c r="AB960">
        <f>IFERROR(SEARCH(search!$B$6,samples!N497,1),0)</f>
        <v>0</v>
      </c>
      <c r="AC960" t="str">
        <f>IF(samples!O497=0,"",samples!O497)</f>
        <v/>
      </c>
      <c r="AD960">
        <f>IFERROR(SEARCH(search!$B$6,samples!O497,1),0)</f>
        <v>0</v>
      </c>
    </row>
    <row r="961" spans="1:30">
      <c r="A961">
        <f t="shared" si="14"/>
        <v>0</v>
      </c>
      <c r="B961">
        <f>IF(SUM(D961,F961,H961,J961,L961,N961,P961,R961,T961,V961,X961,Z961,AB961,AD961)&gt;0,SUM($A$2:A961),0)</f>
        <v>0</v>
      </c>
      <c r="C961">
        <f>samples!B498</f>
        <v>0</v>
      </c>
      <c r="D961">
        <f>IFERROR(SEARCH(search!$B$6,samples!B498,1),0)</f>
        <v>0</v>
      </c>
      <c r="E961" t="str">
        <f>IF(samples!C498=0,"",samples!C498)</f>
        <v/>
      </c>
      <c r="F961">
        <f>IFERROR(SEARCH(search!$B$6,samples!C498,1),0)</f>
        <v>0</v>
      </c>
      <c r="G961" t="str">
        <f>IF(samples!D498=0,"",samples!D498)</f>
        <v/>
      </c>
      <c r="H961">
        <f>IFERROR(SEARCH(search!$B$6,samples!D498,1),0)</f>
        <v>0</v>
      </c>
      <c r="I961" t="str">
        <f>IF(samples!E498=0,"",samples!E498)</f>
        <v/>
      </c>
      <c r="J961">
        <f>IFERROR(SEARCH(search!$B$6,samples!E498,1),0)</f>
        <v>0</v>
      </c>
      <c r="K961" t="str">
        <f>IF(samples!F498=0,"",samples!F498)</f>
        <v/>
      </c>
      <c r="L961">
        <f>IFERROR(SEARCH(search!$B$6,samples!F498,1),0)</f>
        <v>0</v>
      </c>
      <c r="M961" t="str">
        <f>IF(samples!G498=0,"",samples!G498)</f>
        <v/>
      </c>
      <c r="N961">
        <f>IFERROR(SEARCH(search!$B$6,samples!G498,1),0)</f>
        <v>0</v>
      </c>
      <c r="O961" t="str">
        <f>IF(samples!H498=0,"",samples!H498)</f>
        <v/>
      </c>
      <c r="P961">
        <f>IFERROR(SEARCH(search!$B$6,samples!H498,1),0)</f>
        <v>0</v>
      </c>
      <c r="Q961" t="str">
        <f>IF(samples!I498=0,"",samples!I498)</f>
        <v/>
      </c>
      <c r="R961">
        <f>IFERROR(SEARCH(search!$B$6,samples!I498,1),0)</f>
        <v>0</v>
      </c>
      <c r="S961" t="str">
        <f>IF(samples!J498=0,"",samples!J498)</f>
        <v/>
      </c>
      <c r="T961">
        <f>IFERROR(SEARCH(search!$B$6,samples!J498,1),0)</f>
        <v>0</v>
      </c>
      <c r="U961" t="str">
        <f>IF(samples!K498=0,"",samples!K498)</f>
        <v/>
      </c>
      <c r="V961">
        <f>IFERROR(SEARCH(search!$B$6,samples!K498,1),0)</f>
        <v>0</v>
      </c>
      <c r="W961" t="str">
        <f>IF(samples!L498=0,"",samples!L498)</f>
        <v/>
      </c>
      <c r="X961">
        <f>IFERROR(SEARCH(search!$B$6,samples!L498,1),0)</f>
        <v>0</v>
      </c>
      <c r="Y961" t="str">
        <f>IF(samples!M498=0,"",samples!M498)</f>
        <v/>
      </c>
      <c r="Z961">
        <f>IFERROR(SEARCH(search!$B$6,samples!M498,1),0)</f>
        <v>0</v>
      </c>
      <c r="AA961" t="str">
        <f>IF(samples!N498=0,"",samples!N498)</f>
        <v/>
      </c>
      <c r="AB961">
        <f>IFERROR(SEARCH(search!$B$6,samples!N498,1),0)</f>
        <v>0</v>
      </c>
      <c r="AC961" t="str">
        <f>IF(samples!O498=0,"",samples!O498)</f>
        <v/>
      </c>
      <c r="AD961">
        <f>IFERROR(SEARCH(search!$B$6,samples!O498,1),0)</f>
        <v>0</v>
      </c>
    </row>
    <row r="962" spans="1:30">
      <c r="A962">
        <f t="shared" si="14"/>
        <v>0</v>
      </c>
      <c r="B962">
        <f>IF(SUM(D962,F962,H962,J962,L962,N962,P962,R962,T962,V962,X962,Z962,AB962,AD962)&gt;0,SUM($A$2:A962),0)</f>
        <v>0</v>
      </c>
      <c r="C962">
        <f>samples!B499</f>
        <v>0</v>
      </c>
      <c r="D962">
        <f>IFERROR(SEARCH(search!$B$6,samples!B499,1),0)</f>
        <v>0</v>
      </c>
      <c r="E962" t="str">
        <f>IF(samples!C499=0,"",samples!C499)</f>
        <v/>
      </c>
      <c r="F962">
        <f>IFERROR(SEARCH(search!$B$6,samples!C499,1),0)</f>
        <v>0</v>
      </c>
      <c r="G962" t="str">
        <f>IF(samples!D499=0,"",samples!D499)</f>
        <v/>
      </c>
      <c r="H962">
        <f>IFERROR(SEARCH(search!$B$6,samples!D499,1),0)</f>
        <v>0</v>
      </c>
      <c r="I962" t="str">
        <f>IF(samples!E499=0,"",samples!E499)</f>
        <v/>
      </c>
      <c r="J962">
        <f>IFERROR(SEARCH(search!$B$6,samples!E499,1),0)</f>
        <v>0</v>
      </c>
      <c r="K962" t="str">
        <f>IF(samples!F499=0,"",samples!F499)</f>
        <v/>
      </c>
      <c r="L962">
        <f>IFERROR(SEARCH(search!$B$6,samples!F499,1),0)</f>
        <v>0</v>
      </c>
      <c r="M962" t="str">
        <f>IF(samples!G499=0,"",samples!G499)</f>
        <v/>
      </c>
      <c r="N962">
        <f>IFERROR(SEARCH(search!$B$6,samples!G499,1),0)</f>
        <v>0</v>
      </c>
      <c r="O962" t="str">
        <f>IF(samples!H499=0,"",samples!H499)</f>
        <v/>
      </c>
      <c r="P962">
        <f>IFERROR(SEARCH(search!$B$6,samples!H499,1),0)</f>
        <v>0</v>
      </c>
      <c r="Q962" t="str">
        <f>IF(samples!I499=0,"",samples!I499)</f>
        <v/>
      </c>
      <c r="R962">
        <f>IFERROR(SEARCH(search!$B$6,samples!I499,1),0)</f>
        <v>0</v>
      </c>
      <c r="S962" t="str">
        <f>IF(samples!J499=0,"",samples!J499)</f>
        <v/>
      </c>
      <c r="T962">
        <f>IFERROR(SEARCH(search!$B$6,samples!J499,1),0)</f>
        <v>0</v>
      </c>
      <c r="U962" t="str">
        <f>IF(samples!K499=0,"",samples!K499)</f>
        <v/>
      </c>
      <c r="V962">
        <f>IFERROR(SEARCH(search!$B$6,samples!K499,1),0)</f>
        <v>0</v>
      </c>
      <c r="W962" t="str">
        <f>IF(samples!L499=0,"",samples!L499)</f>
        <v/>
      </c>
      <c r="X962">
        <f>IFERROR(SEARCH(search!$B$6,samples!L499,1),0)</f>
        <v>0</v>
      </c>
      <c r="Y962" t="str">
        <f>IF(samples!M499=0,"",samples!M499)</f>
        <v/>
      </c>
      <c r="Z962">
        <f>IFERROR(SEARCH(search!$B$6,samples!M499,1),0)</f>
        <v>0</v>
      </c>
      <c r="AA962" t="str">
        <f>IF(samples!N499=0,"",samples!N499)</f>
        <v/>
      </c>
      <c r="AB962">
        <f>IFERROR(SEARCH(search!$B$6,samples!N499,1),0)</f>
        <v>0</v>
      </c>
      <c r="AC962" t="str">
        <f>IF(samples!O499=0,"",samples!O499)</f>
        <v/>
      </c>
      <c r="AD962">
        <f>IFERROR(SEARCH(search!$B$6,samples!O499,1),0)</f>
        <v>0</v>
      </c>
    </row>
    <row r="963" spans="1:30">
      <c r="A963">
        <f t="shared" ref="A963:A1001" si="15">IF(SUM(D963,F963,H963,J963,L963,N963,P963,R963,T963,V963,X963,Z963,AB963,AD963)&gt;0,1,0)</f>
        <v>0</v>
      </c>
      <c r="B963">
        <f>IF(SUM(D963,F963,H963,J963,L963,N963,P963,R963,T963,V963,X963,Z963,AB963,AD963)&gt;0,SUM($A$2:A963),0)</f>
        <v>0</v>
      </c>
      <c r="C963">
        <f>samples!B500</f>
        <v>0</v>
      </c>
      <c r="D963">
        <f>IFERROR(SEARCH(search!$B$6,samples!B500,1),0)</f>
        <v>0</v>
      </c>
      <c r="E963" t="str">
        <f>IF(samples!C500=0,"",samples!C500)</f>
        <v/>
      </c>
      <c r="F963">
        <f>IFERROR(SEARCH(search!$B$6,samples!C500,1),0)</f>
        <v>0</v>
      </c>
      <c r="G963" t="str">
        <f>IF(samples!D500=0,"",samples!D500)</f>
        <v/>
      </c>
      <c r="H963">
        <f>IFERROR(SEARCH(search!$B$6,samples!D500,1),0)</f>
        <v>0</v>
      </c>
      <c r="I963" t="str">
        <f>IF(samples!E500=0,"",samples!E500)</f>
        <v/>
      </c>
      <c r="J963">
        <f>IFERROR(SEARCH(search!$B$6,samples!E500,1),0)</f>
        <v>0</v>
      </c>
      <c r="K963" t="str">
        <f>IF(samples!F500=0,"",samples!F500)</f>
        <v/>
      </c>
      <c r="L963">
        <f>IFERROR(SEARCH(search!$B$6,samples!F500,1),0)</f>
        <v>0</v>
      </c>
      <c r="M963" t="str">
        <f>IF(samples!G500=0,"",samples!G500)</f>
        <v/>
      </c>
      <c r="N963">
        <f>IFERROR(SEARCH(search!$B$6,samples!G500,1),0)</f>
        <v>0</v>
      </c>
      <c r="O963" t="str">
        <f>IF(samples!H500=0,"",samples!H500)</f>
        <v/>
      </c>
      <c r="P963">
        <f>IFERROR(SEARCH(search!$B$6,samples!H500,1),0)</f>
        <v>0</v>
      </c>
      <c r="Q963" t="str">
        <f>IF(samples!I500=0,"",samples!I500)</f>
        <v/>
      </c>
      <c r="R963">
        <f>IFERROR(SEARCH(search!$B$6,samples!I500,1),0)</f>
        <v>0</v>
      </c>
      <c r="S963" t="str">
        <f>IF(samples!J500=0,"",samples!J500)</f>
        <v/>
      </c>
      <c r="T963">
        <f>IFERROR(SEARCH(search!$B$6,samples!J500,1),0)</f>
        <v>0</v>
      </c>
      <c r="U963" t="str">
        <f>IF(samples!K500=0,"",samples!K500)</f>
        <v/>
      </c>
      <c r="V963">
        <f>IFERROR(SEARCH(search!$B$6,samples!K500,1),0)</f>
        <v>0</v>
      </c>
      <c r="W963" t="str">
        <f>IF(samples!L500=0,"",samples!L500)</f>
        <v/>
      </c>
      <c r="X963">
        <f>IFERROR(SEARCH(search!$B$6,samples!L500,1),0)</f>
        <v>0</v>
      </c>
      <c r="Y963" t="str">
        <f>IF(samples!M500=0,"",samples!M500)</f>
        <v/>
      </c>
      <c r="Z963">
        <f>IFERROR(SEARCH(search!$B$6,samples!M500,1),0)</f>
        <v>0</v>
      </c>
      <c r="AA963" t="str">
        <f>IF(samples!N500=0,"",samples!N500)</f>
        <v/>
      </c>
      <c r="AB963">
        <f>IFERROR(SEARCH(search!$B$6,samples!N500,1),0)</f>
        <v>0</v>
      </c>
      <c r="AC963" t="str">
        <f>IF(samples!O500=0,"",samples!O500)</f>
        <v/>
      </c>
      <c r="AD963">
        <f>IFERROR(SEARCH(search!$B$6,samples!O500,1),0)</f>
        <v>0</v>
      </c>
    </row>
    <row r="964" spans="1:30">
      <c r="A964">
        <f t="shared" si="15"/>
        <v>0</v>
      </c>
      <c r="B964">
        <f>IF(SUM(D964,F964,H964,J964,L964,N964,P964,R964,T964,V964,X964,Z964,AB964,AD964)&gt;0,SUM($A$2:A964),0)</f>
        <v>0</v>
      </c>
      <c r="C964">
        <f>samples!B501</f>
        <v>0</v>
      </c>
      <c r="D964">
        <f>IFERROR(SEARCH(search!$B$6,samples!B501,1),0)</f>
        <v>0</v>
      </c>
      <c r="E964" t="str">
        <f>IF(samples!C501=0,"",samples!C501)</f>
        <v/>
      </c>
      <c r="F964">
        <f>IFERROR(SEARCH(search!$B$6,samples!C501,1),0)</f>
        <v>0</v>
      </c>
      <c r="G964" t="str">
        <f>IF(samples!D501=0,"",samples!D501)</f>
        <v/>
      </c>
      <c r="H964">
        <f>IFERROR(SEARCH(search!$B$6,samples!D501,1),0)</f>
        <v>0</v>
      </c>
      <c r="I964" t="str">
        <f>IF(samples!E501=0,"",samples!E501)</f>
        <v/>
      </c>
      <c r="J964">
        <f>IFERROR(SEARCH(search!$B$6,samples!E501,1),0)</f>
        <v>0</v>
      </c>
      <c r="K964" t="str">
        <f>IF(samples!F501=0,"",samples!F501)</f>
        <v/>
      </c>
      <c r="L964">
        <f>IFERROR(SEARCH(search!$B$6,samples!F501,1),0)</f>
        <v>0</v>
      </c>
      <c r="M964" t="str">
        <f>IF(samples!G501=0,"",samples!G501)</f>
        <v/>
      </c>
      <c r="N964">
        <f>IFERROR(SEARCH(search!$B$6,samples!G501,1),0)</f>
        <v>0</v>
      </c>
      <c r="O964" t="str">
        <f>IF(samples!H501=0,"",samples!H501)</f>
        <v/>
      </c>
      <c r="P964">
        <f>IFERROR(SEARCH(search!$B$6,samples!H501,1),0)</f>
        <v>0</v>
      </c>
      <c r="Q964" t="str">
        <f>IF(samples!I501=0,"",samples!I501)</f>
        <v/>
      </c>
      <c r="R964">
        <f>IFERROR(SEARCH(search!$B$6,samples!I501,1),0)</f>
        <v>0</v>
      </c>
      <c r="S964" t="str">
        <f>IF(samples!J501=0,"",samples!J501)</f>
        <v/>
      </c>
      <c r="T964">
        <f>IFERROR(SEARCH(search!$B$6,samples!J501,1),0)</f>
        <v>0</v>
      </c>
      <c r="U964" t="str">
        <f>IF(samples!K501=0,"",samples!K501)</f>
        <v/>
      </c>
      <c r="V964">
        <f>IFERROR(SEARCH(search!$B$6,samples!K501,1),0)</f>
        <v>0</v>
      </c>
      <c r="W964" t="str">
        <f>IF(samples!L501=0,"",samples!L501)</f>
        <v/>
      </c>
      <c r="X964">
        <f>IFERROR(SEARCH(search!$B$6,samples!L501,1),0)</f>
        <v>0</v>
      </c>
      <c r="Y964" t="str">
        <f>IF(samples!M501=0,"",samples!M501)</f>
        <v/>
      </c>
      <c r="Z964">
        <f>IFERROR(SEARCH(search!$B$6,samples!M501,1),0)</f>
        <v>0</v>
      </c>
      <c r="AA964" t="str">
        <f>IF(samples!N501=0,"",samples!N501)</f>
        <v/>
      </c>
      <c r="AB964">
        <f>IFERROR(SEARCH(search!$B$6,samples!N501,1),0)</f>
        <v>0</v>
      </c>
      <c r="AC964" t="str">
        <f>IF(samples!O501=0,"",samples!O501)</f>
        <v/>
      </c>
      <c r="AD964">
        <f>IFERROR(SEARCH(search!$B$6,samples!O501,1),0)</f>
        <v>0</v>
      </c>
    </row>
    <row r="965" spans="1:30">
      <c r="A965">
        <f t="shared" si="15"/>
        <v>0</v>
      </c>
      <c r="B965">
        <f>IF(SUM(D965,F965,H965,J965,L965,N965,P965,R965,T965,V965,X965,Z965,AB965,AD965)&gt;0,SUM($A$2:A965),0)</f>
        <v>0</v>
      </c>
      <c r="C965">
        <f>samples!B502</f>
        <v>0</v>
      </c>
      <c r="D965">
        <f>IFERROR(SEARCH(search!$B$6,samples!B502,1),0)</f>
        <v>0</v>
      </c>
      <c r="E965" t="str">
        <f>IF(samples!C502=0,"",samples!C502)</f>
        <v/>
      </c>
      <c r="F965">
        <f>IFERROR(SEARCH(search!$B$6,samples!C502,1),0)</f>
        <v>0</v>
      </c>
      <c r="G965" t="str">
        <f>IF(samples!D502=0,"",samples!D502)</f>
        <v/>
      </c>
      <c r="H965">
        <f>IFERROR(SEARCH(search!$B$6,samples!D502,1),0)</f>
        <v>0</v>
      </c>
      <c r="I965" t="str">
        <f>IF(samples!E502=0,"",samples!E502)</f>
        <v/>
      </c>
      <c r="J965">
        <f>IFERROR(SEARCH(search!$B$6,samples!E502,1),0)</f>
        <v>0</v>
      </c>
      <c r="K965" t="str">
        <f>IF(samples!F502=0,"",samples!F502)</f>
        <v/>
      </c>
      <c r="L965">
        <f>IFERROR(SEARCH(search!$B$6,samples!F502,1),0)</f>
        <v>0</v>
      </c>
      <c r="M965" t="str">
        <f>IF(samples!G502=0,"",samples!G502)</f>
        <v/>
      </c>
      <c r="N965">
        <f>IFERROR(SEARCH(search!$B$6,samples!G502,1),0)</f>
        <v>0</v>
      </c>
      <c r="O965" t="str">
        <f>IF(samples!H502=0,"",samples!H502)</f>
        <v/>
      </c>
      <c r="P965">
        <f>IFERROR(SEARCH(search!$B$6,samples!H502,1),0)</f>
        <v>0</v>
      </c>
      <c r="Q965" t="str">
        <f>IF(samples!I502=0,"",samples!I502)</f>
        <v/>
      </c>
      <c r="R965">
        <f>IFERROR(SEARCH(search!$B$6,samples!I502,1),0)</f>
        <v>0</v>
      </c>
      <c r="S965" t="str">
        <f>IF(samples!J502=0,"",samples!J502)</f>
        <v/>
      </c>
      <c r="T965">
        <f>IFERROR(SEARCH(search!$B$6,samples!J502,1),0)</f>
        <v>0</v>
      </c>
      <c r="U965" t="str">
        <f>IF(samples!K502=0,"",samples!K502)</f>
        <v/>
      </c>
      <c r="V965">
        <f>IFERROR(SEARCH(search!$B$6,samples!K502,1),0)</f>
        <v>0</v>
      </c>
      <c r="W965" t="str">
        <f>IF(samples!L502=0,"",samples!L502)</f>
        <v/>
      </c>
      <c r="X965">
        <f>IFERROR(SEARCH(search!$B$6,samples!L502,1),0)</f>
        <v>0</v>
      </c>
      <c r="Y965" t="str">
        <f>IF(samples!M502=0,"",samples!M502)</f>
        <v/>
      </c>
      <c r="Z965">
        <f>IFERROR(SEARCH(search!$B$6,samples!M502,1),0)</f>
        <v>0</v>
      </c>
      <c r="AA965" t="str">
        <f>IF(samples!N502=0,"",samples!N502)</f>
        <v/>
      </c>
      <c r="AB965">
        <f>IFERROR(SEARCH(search!$B$6,samples!N502,1),0)</f>
        <v>0</v>
      </c>
      <c r="AC965" t="str">
        <f>IF(samples!O502=0,"",samples!O502)</f>
        <v/>
      </c>
      <c r="AD965">
        <f>IFERROR(SEARCH(search!$B$6,samples!O502,1),0)</f>
        <v>0</v>
      </c>
    </row>
    <row r="966" spans="1:30">
      <c r="A966">
        <f t="shared" si="15"/>
        <v>0</v>
      </c>
      <c r="B966">
        <f>IF(SUM(D966,F966,H966,J966,L966,N966,P966,R966,T966,V966,X966,Z966,AB966,AD966)&gt;0,SUM($A$2:A966),0)</f>
        <v>0</v>
      </c>
      <c r="C966">
        <f>samples!B503</f>
        <v>0</v>
      </c>
      <c r="D966">
        <f>IFERROR(SEARCH(search!$B$6,samples!B503,1),0)</f>
        <v>0</v>
      </c>
      <c r="E966" t="str">
        <f>IF(samples!C503=0,"",samples!C503)</f>
        <v/>
      </c>
      <c r="F966">
        <f>IFERROR(SEARCH(search!$B$6,samples!C503,1),0)</f>
        <v>0</v>
      </c>
      <c r="G966" t="str">
        <f>IF(samples!D503=0,"",samples!D503)</f>
        <v/>
      </c>
      <c r="H966">
        <f>IFERROR(SEARCH(search!$B$6,samples!D503,1),0)</f>
        <v>0</v>
      </c>
      <c r="I966" t="str">
        <f>IF(samples!E503=0,"",samples!E503)</f>
        <v/>
      </c>
      <c r="J966">
        <f>IFERROR(SEARCH(search!$B$6,samples!E503,1),0)</f>
        <v>0</v>
      </c>
      <c r="K966" t="str">
        <f>IF(samples!F503=0,"",samples!F503)</f>
        <v/>
      </c>
      <c r="L966">
        <f>IFERROR(SEARCH(search!$B$6,samples!F503,1),0)</f>
        <v>0</v>
      </c>
      <c r="M966" t="str">
        <f>IF(samples!G503=0,"",samples!G503)</f>
        <v/>
      </c>
      <c r="N966">
        <f>IFERROR(SEARCH(search!$B$6,samples!G503,1),0)</f>
        <v>0</v>
      </c>
      <c r="O966" t="str">
        <f>IF(samples!H503=0,"",samples!H503)</f>
        <v/>
      </c>
      <c r="P966">
        <f>IFERROR(SEARCH(search!$B$6,samples!H503,1),0)</f>
        <v>0</v>
      </c>
      <c r="Q966" t="str">
        <f>IF(samples!I503=0,"",samples!I503)</f>
        <v/>
      </c>
      <c r="R966">
        <f>IFERROR(SEARCH(search!$B$6,samples!I503,1),0)</f>
        <v>0</v>
      </c>
      <c r="S966" t="str">
        <f>IF(samples!J503=0,"",samples!J503)</f>
        <v/>
      </c>
      <c r="T966">
        <f>IFERROR(SEARCH(search!$B$6,samples!J503,1),0)</f>
        <v>0</v>
      </c>
      <c r="U966" t="str">
        <f>IF(samples!K503=0,"",samples!K503)</f>
        <v/>
      </c>
      <c r="V966">
        <f>IFERROR(SEARCH(search!$B$6,samples!K503,1),0)</f>
        <v>0</v>
      </c>
      <c r="W966" t="str">
        <f>IF(samples!L503=0,"",samples!L503)</f>
        <v/>
      </c>
      <c r="X966">
        <f>IFERROR(SEARCH(search!$B$6,samples!L503,1),0)</f>
        <v>0</v>
      </c>
      <c r="Y966" t="str">
        <f>IF(samples!M503=0,"",samples!M503)</f>
        <v/>
      </c>
      <c r="Z966">
        <f>IFERROR(SEARCH(search!$B$6,samples!M503,1),0)</f>
        <v>0</v>
      </c>
      <c r="AA966" t="str">
        <f>IF(samples!N503=0,"",samples!N503)</f>
        <v/>
      </c>
      <c r="AB966">
        <f>IFERROR(SEARCH(search!$B$6,samples!N503,1),0)</f>
        <v>0</v>
      </c>
      <c r="AC966" t="str">
        <f>IF(samples!O503=0,"",samples!O503)</f>
        <v/>
      </c>
      <c r="AD966">
        <f>IFERROR(SEARCH(search!$B$6,samples!O503,1),0)</f>
        <v>0</v>
      </c>
    </row>
    <row r="967" spans="1:30">
      <c r="A967">
        <f t="shared" si="15"/>
        <v>0</v>
      </c>
      <c r="B967">
        <f>IF(SUM(D967,F967,H967,J967,L967,N967,P967,R967,T967,V967,X967,Z967,AB967,AD967)&gt;0,SUM($A$2:A967),0)</f>
        <v>0</v>
      </c>
      <c r="C967">
        <f>samples!B504</f>
        <v>0</v>
      </c>
      <c r="D967">
        <f>IFERROR(SEARCH(search!$B$6,samples!B504,1),0)</f>
        <v>0</v>
      </c>
      <c r="E967" t="str">
        <f>IF(samples!C504=0,"",samples!C504)</f>
        <v/>
      </c>
      <c r="F967">
        <f>IFERROR(SEARCH(search!$B$6,samples!C504,1),0)</f>
        <v>0</v>
      </c>
      <c r="G967" t="str">
        <f>IF(samples!D504=0,"",samples!D504)</f>
        <v/>
      </c>
      <c r="H967">
        <f>IFERROR(SEARCH(search!$B$6,samples!D504,1),0)</f>
        <v>0</v>
      </c>
      <c r="I967" t="str">
        <f>IF(samples!E504=0,"",samples!E504)</f>
        <v/>
      </c>
      <c r="J967">
        <f>IFERROR(SEARCH(search!$B$6,samples!E504,1),0)</f>
        <v>0</v>
      </c>
      <c r="K967" t="str">
        <f>IF(samples!F504=0,"",samples!F504)</f>
        <v/>
      </c>
      <c r="L967">
        <f>IFERROR(SEARCH(search!$B$6,samples!F504,1),0)</f>
        <v>0</v>
      </c>
      <c r="M967" t="str">
        <f>IF(samples!G504=0,"",samples!G504)</f>
        <v/>
      </c>
      <c r="N967">
        <f>IFERROR(SEARCH(search!$B$6,samples!G504,1),0)</f>
        <v>0</v>
      </c>
      <c r="O967" t="str">
        <f>IF(samples!H504=0,"",samples!H504)</f>
        <v/>
      </c>
      <c r="P967">
        <f>IFERROR(SEARCH(search!$B$6,samples!H504,1),0)</f>
        <v>0</v>
      </c>
      <c r="Q967" t="str">
        <f>IF(samples!I504=0,"",samples!I504)</f>
        <v/>
      </c>
      <c r="R967">
        <f>IFERROR(SEARCH(search!$B$6,samples!I504,1),0)</f>
        <v>0</v>
      </c>
      <c r="S967" t="str">
        <f>IF(samples!J504=0,"",samples!J504)</f>
        <v/>
      </c>
      <c r="T967">
        <f>IFERROR(SEARCH(search!$B$6,samples!J504,1),0)</f>
        <v>0</v>
      </c>
      <c r="U967" t="str">
        <f>IF(samples!K504=0,"",samples!K504)</f>
        <v/>
      </c>
      <c r="V967">
        <f>IFERROR(SEARCH(search!$B$6,samples!K504,1),0)</f>
        <v>0</v>
      </c>
      <c r="W967" t="str">
        <f>IF(samples!L504=0,"",samples!L504)</f>
        <v/>
      </c>
      <c r="X967">
        <f>IFERROR(SEARCH(search!$B$6,samples!L504,1),0)</f>
        <v>0</v>
      </c>
      <c r="Y967" t="str">
        <f>IF(samples!M504=0,"",samples!M504)</f>
        <v/>
      </c>
      <c r="Z967">
        <f>IFERROR(SEARCH(search!$B$6,samples!M504,1),0)</f>
        <v>0</v>
      </c>
      <c r="AA967" t="str">
        <f>IF(samples!N504=0,"",samples!N504)</f>
        <v/>
      </c>
      <c r="AB967">
        <f>IFERROR(SEARCH(search!$B$6,samples!N504,1),0)</f>
        <v>0</v>
      </c>
      <c r="AC967" t="str">
        <f>IF(samples!O504=0,"",samples!O504)</f>
        <v/>
      </c>
      <c r="AD967">
        <f>IFERROR(SEARCH(search!$B$6,samples!O504,1),0)</f>
        <v>0</v>
      </c>
    </row>
    <row r="968" spans="1:30">
      <c r="A968">
        <f t="shared" si="15"/>
        <v>0</v>
      </c>
      <c r="B968">
        <f>IF(SUM(D968,F968,H968,J968,L968,N968,P968,R968,T968,V968,X968,Z968,AB968,AD968)&gt;0,SUM($A$2:A968),0)</f>
        <v>0</v>
      </c>
      <c r="C968">
        <f>samples!B505</f>
        <v>0</v>
      </c>
      <c r="D968">
        <f>IFERROR(SEARCH(search!$B$6,samples!B505,1),0)</f>
        <v>0</v>
      </c>
      <c r="E968" t="str">
        <f>IF(samples!C505=0,"",samples!C505)</f>
        <v/>
      </c>
      <c r="F968">
        <f>IFERROR(SEARCH(search!$B$6,samples!C505,1),0)</f>
        <v>0</v>
      </c>
      <c r="G968" t="str">
        <f>IF(samples!D505=0,"",samples!D505)</f>
        <v/>
      </c>
      <c r="H968">
        <f>IFERROR(SEARCH(search!$B$6,samples!D505,1),0)</f>
        <v>0</v>
      </c>
      <c r="I968" t="str">
        <f>IF(samples!E505=0,"",samples!E505)</f>
        <v/>
      </c>
      <c r="J968">
        <f>IFERROR(SEARCH(search!$B$6,samples!E505,1),0)</f>
        <v>0</v>
      </c>
      <c r="K968" t="str">
        <f>IF(samples!F505=0,"",samples!F505)</f>
        <v/>
      </c>
      <c r="L968">
        <f>IFERROR(SEARCH(search!$B$6,samples!F505,1),0)</f>
        <v>0</v>
      </c>
      <c r="M968" t="str">
        <f>IF(samples!G505=0,"",samples!G505)</f>
        <v/>
      </c>
      <c r="N968">
        <f>IFERROR(SEARCH(search!$B$6,samples!G505,1),0)</f>
        <v>0</v>
      </c>
      <c r="O968" t="str">
        <f>IF(samples!H505=0,"",samples!H505)</f>
        <v/>
      </c>
      <c r="P968">
        <f>IFERROR(SEARCH(search!$B$6,samples!H505,1),0)</f>
        <v>0</v>
      </c>
      <c r="Q968" t="str">
        <f>IF(samples!I505=0,"",samples!I505)</f>
        <v/>
      </c>
      <c r="R968">
        <f>IFERROR(SEARCH(search!$B$6,samples!I505,1),0)</f>
        <v>0</v>
      </c>
      <c r="S968" t="str">
        <f>IF(samples!J505=0,"",samples!J505)</f>
        <v/>
      </c>
      <c r="T968">
        <f>IFERROR(SEARCH(search!$B$6,samples!J505,1),0)</f>
        <v>0</v>
      </c>
      <c r="U968" t="str">
        <f>IF(samples!K505=0,"",samples!K505)</f>
        <v/>
      </c>
      <c r="V968">
        <f>IFERROR(SEARCH(search!$B$6,samples!K505,1),0)</f>
        <v>0</v>
      </c>
      <c r="W968" t="str">
        <f>IF(samples!L505=0,"",samples!L505)</f>
        <v/>
      </c>
      <c r="X968">
        <f>IFERROR(SEARCH(search!$B$6,samples!L505,1),0)</f>
        <v>0</v>
      </c>
      <c r="Y968" t="str">
        <f>IF(samples!M505=0,"",samples!M505)</f>
        <v/>
      </c>
      <c r="Z968">
        <f>IFERROR(SEARCH(search!$B$6,samples!M505,1),0)</f>
        <v>0</v>
      </c>
      <c r="AA968" t="str">
        <f>IF(samples!N505=0,"",samples!N505)</f>
        <v/>
      </c>
      <c r="AB968">
        <f>IFERROR(SEARCH(search!$B$6,samples!N505,1),0)</f>
        <v>0</v>
      </c>
      <c r="AC968" t="str">
        <f>IF(samples!O505=0,"",samples!O505)</f>
        <v/>
      </c>
      <c r="AD968">
        <f>IFERROR(SEARCH(search!$B$6,samples!O505,1),0)</f>
        <v>0</v>
      </c>
    </row>
    <row r="969" spans="1:30">
      <c r="A969">
        <f t="shared" si="15"/>
        <v>0</v>
      </c>
      <c r="B969">
        <f>IF(SUM(D969,F969,H969,J969,L969,N969,P969,R969,T969,V969,X969,Z969,AB969,AD969)&gt;0,SUM($A$2:A969),0)</f>
        <v>0</v>
      </c>
      <c r="C969">
        <f>samples!B506</f>
        <v>0</v>
      </c>
      <c r="D969">
        <f>IFERROR(SEARCH(search!$B$6,samples!B506,1),0)</f>
        <v>0</v>
      </c>
      <c r="E969" t="str">
        <f>IF(samples!C506=0,"",samples!C506)</f>
        <v/>
      </c>
      <c r="F969">
        <f>IFERROR(SEARCH(search!$B$6,samples!C506,1),0)</f>
        <v>0</v>
      </c>
      <c r="G969" t="str">
        <f>IF(samples!D506=0,"",samples!D506)</f>
        <v/>
      </c>
      <c r="H969">
        <f>IFERROR(SEARCH(search!$B$6,samples!D506,1),0)</f>
        <v>0</v>
      </c>
      <c r="I969" t="str">
        <f>IF(samples!E506=0,"",samples!E506)</f>
        <v/>
      </c>
      <c r="J969">
        <f>IFERROR(SEARCH(search!$B$6,samples!E506,1),0)</f>
        <v>0</v>
      </c>
      <c r="K969" t="str">
        <f>IF(samples!F506=0,"",samples!F506)</f>
        <v/>
      </c>
      <c r="L969">
        <f>IFERROR(SEARCH(search!$B$6,samples!F506,1),0)</f>
        <v>0</v>
      </c>
      <c r="M969" t="str">
        <f>IF(samples!G506=0,"",samples!G506)</f>
        <v/>
      </c>
      <c r="N969">
        <f>IFERROR(SEARCH(search!$B$6,samples!G506,1),0)</f>
        <v>0</v>
      </c>
      <c r="O969" t="str">
        <f>IF(samples!H506=0,"",samples!H506)</f>
        <v/>
      </c>
      <c r="P969">
        <f>IFERROR(SEARCH(search!$B$6,samples!H506,1),0)</f>
        <v>0</v>
      </c>
      <c r="Q969" t="str">
        <f>IF(samples!I506=0,"",samples!I506)</f>
        <v/>
      </c>
      <c r="R969">
        <f>IFERROR(SEARCH(search!$B$6,samples!I506,1),0)</f>
        <v>0</v>
      </c>
      <c r="S969" t="str">
        <f>IF(samples!J506=0,"",samples!J506)</f>
        <v/>
      </c>
      <c r="T969">
        <f>IFERROR(SEARCH(search!$B$6,samples!J506,1),0)</f>
        <v>0</v>
      </c>
      <c r="U969" t="str">
        <f>IF(samples!K506=0,"",samples!K506)</f>
        <v/>
      </c>
      <c r="V969">
        <f>IFERROR(SEARCH(search!$B$6,samples!K506,1),0)</f>
        <v>0</v>
      </c>
      <c r="W969" t="str">
        <f>IF(samples!L506=0,"",samples!L506)</f>
        <v/>
      </c>
      <c r="X969">
        <f>IFERROR(SEARCH(search!$B$6,samples!L506,1),0)</f>
        <v>0</v>
      </c>
      <c r="Y969" t="str">
        <f>IF(samples!M506=0,"",samples!M506)</f>
        <v/>
      </c>
      <c r="Z969">
        <f>IFERROR(SEARCH(search!$B$6,samples!M506,1),0)</f>
        <v>0</v>
      </c>
      <c r="AA969" t="str">
        <f>IF(samples!N506=0,"",samples!N506)</f>
        <v/>
      </c>
      <c r="AB969">
        <f>IFERROR(SEARCH(search!$B$6,samples!N506,1),0)</f>
        <v>0</v>
      </c>
      <c r="AC969" t="str">
        <f>IF(samples!O506=0,"",samples!O506)</f>
        <v/>
      </c>
      <c r="AD969">
        <f>IFERROR(SEARCH(search!$B$6,samples!O506,1),0)</f>
        <v>0</v>
      </c>
    </row>
    <row r="970" spans="1:30">
      <c r="A970">
        <f t="shared" si="15"/>
        <v>0</v>
      </c>
      <c r="B970">
        <f>IF(SUM(D970,F970,H970,J970,L970,N970,P970,R970,T970,V970,X970,Z970,AB970,AD970)&gt;0,SUM($A$2:A970),0)</f>
        <v>0</v>
      </c>
      <c r="C970">
        <f>samples!B507</f>
        <v>0</v>
      </c>
      <c r="D970">
        <f>IFERROR(SEARCH(search!$B$6,samples!B507,1),0)</f>
        <v>0</v>
      </c>
      <c r="E970" t="str">
        <f>IF(samples!C507=0,"",samples!C507)</f>
        <v/>
      </c>
      <c r="F970">
        <f>IFERROR(SEARCH(search!$B$6,samples!C507,1),0)</f>
        <v>0</v>
      </c>
      <c r="G970" t="str">
        <f>IF(samples!D507=0,"",samples!D507)</f>
        <v/>
      </c>
      <c r="H970">
        <f>IFERROR(SEARCH(search!$B$6,samples!D507,1),0)</f>
        <v>0</v>
      </c>
      <c r="I970" t="str">
        <f>IF(samples!E507=0,"",samples!E507)</f>
        <v/>
      </c>
      <c r="J970">
        <f>IFERROR(SEARCH(search!$B$6,samples!E507,1),0)</f>
        <v>0</v>
      </c>
      <c r="K970" t="str">
        <f>IF(samples!F507=0,"",samples!F507)</f>
        <v/>
      </c>
      <c r="L970">
        <f>IFERROR(SEARCH(search!$B$6,samples!F507,1),0)</f>
        <v>0</v>
      </c>
      <c r="M970" t="str">
        <f>IF(samples!G507=0,"",samples!G507)</f>
        <v/>
      </c>
      <c r="N970">
        <f>IFERROR(SEARCH(search!$B$6,samples!G507,1),0)</f>
        <v>0</v>
      </c>
      <c r="O970" t="str">
        <f>IF(samples!H507=0,"",samples!H507)</f>
        <v/>
      </c>
      <c r="P970">
        <f>IFERROR(SEARCH(search!$B$6,samples!H507,1),0)</f>
        <v>0</v>
      </c>
      <c r="Q970" t="str">
        <f>IF(samples!I507=0,"",samples!I507)</f>
        <v/>
      </c>
      <c r="R970">
        <f>IFERROR(SEARCH(search!$B$6,samples!I507,1),0)</f>
        <v>0</v>
      </c>
      <c r="S970" t="str">
        <f>IF(samples!J507=0,"",samples!J507)</f>
        <v/>
      </c>
      <c r="T970">
        <f>IFERROR(SEARCH(search!$B$6,samples!J507,1),0)</f>
        <v>0</v>
      </c>
      <c r="U970" t="str">
        <f>IF(samples!K507=0,"",samples!K507)</f>
        <v/>
      </c>
      <c r="V970">
        <f>IFERROR(SEARCH(search!$B$6,samples!K507,1),0)</f>
        <v>0</v>
      </c>
      <c r="W970" t="str">
        <f>IF(samples!L507=0,"",samples!L507)</f>
        <v/>
      </c>
      <c r="X970">
        <f>IFERROR(SEARCH(search!$B$6,samples!L507,1),0)</f>
        <v>0</v>
      </c>
      <c r="Y970" t="str">
        <f>IF(samples!M507=0,"",samples!M507)</f>
        <v/>
      </c>
      <c r="Z970">
        <f>IFERROR(SEARCH(search!$B$6,samples!M507,1),0)</f>
        <v>0</v>
      </c>
      <c r="AA970" t="str">
        <f>IF(samples!N507=0,"",samples!N507)</f>
        <v/>
      </c>
      <c r="AB970">
        <f>IFERROR(SEARCH(search!$B$6,samples!N507,1),0)</f>
        <v>0</v>
      </c>
      <c r="AC970" t="str">
        <f>IF(samples!O507=0,"",samples!O507)</f>
        <v/>
      </c>
      <c r="AD970">
        <f>IFERROR(SEARCH(search!$B$6,samples!O507,1),0)</f>
        <v>0</v>
      </c>
    </row>
    <row r="971" spans="1:30">
      <c r="A971">
        <f t="shared" si="15"/>
        <v>0</v>
      </c>
      <c r="B971">
        <f>IF(SUM(D971,F971,H971,J971,L971,N971,P971,R971,T971,V971,X971,Z971,AB971,AD971)&gt;0,SUM($A$2:A971),0)</f>
        <v>0</v>
      </c>
      <c r="C971">
        <f>samples!B508</f>
        <v>0</v>
      </c>
      <c r="D971">
        <f>IFERROR(SEARCH(search!$B$6,samples!B508,1),0)</f>
        <v>0</v>
      </c>
      <c r="E971" t="str">
        <f>IF(samples!C508=0,"",samples!C508)</f>
        <v/>
      </c>
      <c r="F971">
        <f>IFERROR(SEARCH(search!$B$6,samples!C508,1),0)</f>
        <v>0</v>
      </c>
      <c r="G971" t="str">
        <f>IF(samples!D508=0,"",samples!D508)</f>
        <v/>
      </c>
      <c r="H971">
        <f>IFERROR(SEARCH(search!$B$6,samples!D508,1),0)</f>
        <v>0</v>
      </c>
      <c r="I971" t="str">
        <f>IF(samples!E508=0,"",samples!E508)</f>
        <v/>
      </c>
      <c r="J971">
        <f>IFERROR(SEARCH(search!$B$6,samples!E508,1),0)</f>
        <v>0</v>
      </c>
      <c r="K971" t="str">
        <f>IF(samples!F508=0,"",samples!F508)</f>
        <v/>
      </c>
      <c r="L971">
        <f>IFERROR(SEARCH(search!$B$6,samples!F508,1),0)</f>
        <v>0</v>
      </c>
      <c r="M971" t="str">
        <f>IF(samples!G508=0,"",samples!G508)</f>
        <v/>
      </c>
      <c r="N971">
        <f>IFERROR(SEARCH(search!$B$6,samples!G508,1),0)</f>
        <v>0</v>
      </c>
      <c r="O971" t="str">
        <f>IF(samples!H508=0,"",samples!H508)</f>
        <v/>
      </c>
      <c r="P971">
        <f>IFERROR(SEARCH(search!$B$6,samples!H508,1),0)</f>
        <v>0</v>
      </c>
      <c r="Q971" t="str">
        <f>IF(samples!I508=0,"",samples!I508)</f>
        <v/>
      </c>
      <c r="R971">
        <f>IFERROR(SEARCH(search!$B$6,samples!I508,1),0)</f>
        <v>0</v>
      </c>
      <c r="S971" t="str">
        <f>IF(samples!J508=0,"",samples!J508)</f>
        <v/>
      </c>
      <c r="T971">
        <f>IFERROR(SEARCH(search!$B$6,samples!J508,1),0)</f>
        <v>0</v>
      </c>
      <c r="U971" t="str">
        <f>IF(samples!K508=0,"",samples!K508)</f>
        <v/>
      </c>
      <c r="V971">
        <f>IFERROR(SEARCH(search!$B$6,samples!K508,1),0)</f>
        <v>0</v>
      </c>
      <c r="W971" t="str">
        <f>IF(samples!L508=0,"",samples!L508)</f>
        <v/>
      </c>
      <c r="X971">
        <f>IFERROR(SEARCH(search!$B$6,samples!L508,1),0)</f>
        <v>0</v>
      </c>
      <c r="Y971" t="str">
        <f>IF(samples!M508=0,"",samples!M508)</f>
        <v/>
      </c>
      <c r="Z971">
        <f>IFERROR(SEARCH(search!$B$6,samples!M508,1),0)</f>
        <v>0</v>
      </c>
      <c r="AA971" t="str">
        <f>IF(samples!N508=0,"",samples!N508)</f>
        <v/>
      </c>
      <c r="AB971">
        <f>IFERROR(SEARCH(search!$B$6,samples!N508,1),0)</f>
        <v>0</v>
      </c>
      <c r="AC971" t="str">
        <f>IF(samples!O508=0,"",samples!O508)</f>
        <v/>
      </c>
      <c r="AD971">
        <f>IFERROR(SEARCH(search!$B$6,samples!O508,1),0)</f>
        <v>0</v>
      </c>
    </row>
    <row r="972" spans="1:30">
      <c r="A972">
        <f t="shared" si="15"/>
        <v>0</v>
      </c>
      <c r="B972">
        <f>IF(SUM(D972,F972,H972,J972,L972,N972,P972,R972,T972,V972,X972,Z972,AB972,AD972)&gt;0,SUM($A$2:A972),0)</f>
        <v>0</v>
      </c>
      <c r="C972">
        <f>samples!B509</f>
        <v>0</v>
      </c>
      <c r="D972">
        <f>IFERROR(SEARCH(search!$B$6,samples!B509,1),0)</f>
        <v>0</v>
      </c>
      <c r="E972" t="str">
        <f>IF(samples!C509=0,"",samples!C509)</f>
        <v/>
      </c>
      <c r="F972">
        <f>IFERROR(SEARCH(search!$B$6,samples!C509,1),0)</f>
        <v>0</v>
      </c>
      <c r="G972" t="str">
        <f>IF(samples!D509=0,"",samples!D509)</f>
        <v/>
      </c>
      <c r="H972">
        <f>IFERROR(SEARCH(search!$B$6,samples!D509,1),0)</f>
        <v>0</v>
      </c>
      <c r="I972" t="str">
        <f>IF(samples!E509=0,"",samples!E509)</f>
        <v/>
      </c>
      <c r="J972">
        <f>IFERROR(SEARCH(search!$B$6,samples!E509,1),0)</f>
        <v>0</v>
      </c>
      <c r="K972" t="str">
        <f>IF(samples!F509=0,"",samples!F509)</f>
        <v/>
      </c>
      <c r="L972">
        <f>IFERROR(SEARCH(search!$B$6,samples!F509,1),0)</f>
        <v>0</v>
      </c>
      <c r="M972" t="str">
        <f>IF(samples!G509=0,"",samples!G509)</f>
        <v/>
      </c>
      <c r="N972">
        <f>IFERROR(SEARCH(search!$B$6,samples!G509,1),0)</f>
        <v>0</v>
      </c>
      <c r="O972" t="str">
        <f>IF(samples!H509=0,"",samples!H509)</f>
        <v/>
      </c>
      <c r="P972">
        <f>IFERROR(SEARCH(search!$B$6,samples!H509,1),0)</f>
        <v>0</v>
      </c>
      <c r="Q972" t="str">
        <f>IF(samples!I509=0,"",samples!I509)</f>
        <v/>
      </c>
      <c r="R972">
        <f>IFERROR(SEARCH(search!$B$6,samples!I509,1),0)</f>
        <v>0</v>
      </c>
      <c r="S972" t="str">
        <f>IF(samples!J509=0,"",samples!J509)</f>
        <v/>
      </c>
      <c r="T972">
        <f>IFERROR(SEARCH(search!$B$6,samples!J509,1),0)</f>
        <v>0</v>
      </c>
      <c r="U972" t="str">
        <f>IF(samples!K509=0,"",samples!K509)</f>
        <v/>
      </c>
      <c r="V972">
        <f>IFERROR(SEARCH(search!$B$6,samples!K509,1),0)</f>
        <v>0</v>
      </c>
      <c r="W972" t="str">
        <f>IF(samples!L509=0,"",samples!L509)</f>
        <v/>
      </c>
      <c r="X972">
        <f>IFERROR(SEARCH(search!$B$6,samples!L509,1),0)</f>
        <v>0</v>
      </c>
      <c r="Y972" t="str">
        <f>IF(samples!M509=0,"",samples!M509)</f>
        <v/>
      </c>
      <c r="Z972">
        <f>IFERROR(SEARCH(search!$B$6,samples!M509,1),0)</f>
        <v>0</v>
      </c>
      <c r="AA972" t="str">
        <f>IF(samples!N509=0,"",samples!N509)</f>
        <v/>
      </c>
      <c r="AB972">
        <f>IFERROR(SEARCH(search!$B$6,samples!N509,1),0)</f>
        <v>0</v>
      </c>
      <c r="AC972" t="str">
        <f>IF(samples!O509=0,"",samples!O509)</f>
        <v/>
      </c>
      <c r="AD972">
        <f>IFERROR(SEARCH(search!$B$6,samples!O509,1),0)</f>
        <v>0</v>
      </c>
    </row>
    <row r="973" spans="1:30">
      <c r="A973">
        <f t="shared" si="15"/>
        <v>0</v>
      </c>
      <c r="B973">
        <f>IF(SUM(D973,F973,H973,J973,L973,N973,P973,R973,T973,V973,X973,Z973,AB973,AD973)&gt;0,SUM($A$2:A973),0)</f>
        <v>0</v>
      </c>
      <c r="C973">
        <f>samples!B510</f>
        <v>0</v>
      </c>
      <c r="D973">
        <f>IFERROR(SEARCH(search!$B$6,samples!B510,1),0)</f>
        <v>0</v>
      </c>
      <c r="E973" t="str">
        <f>IF(samples!C510=0,"",samples!C510)</f>
        <v/>
      </c>
      <c r="F973">
        <f>IFERROR(SEARCH(search!$B$6,samples!C510,1),0)</f>
        <v>0</v>
      </c>
      <c r="G973" t="str">
        <f>IF(samples!D510=0,"",samples!D510)</f>
        <v/>
      </c>
      <c r="H973">
        <f>IFERROR(SEARCH(search!$B$6,samples!D510,1),0)</f>
        <v>0</v>
      </c>
      <c r="I973" t="str">
        <f>IF(samples!E510=0,"",samples!E510)</f>
        <v/>
      </c>
      <c r="J973">
        <f>IFERROR(SEARCH(search!$B$6,samples!E510,1),0)</f>
        <v>0</v>
      </c>
      <c r="K973" t="str">
        <f>IF(samples!F510=0,"",samples!F510)</f>
        <v/>
      </c>
      <c r="L973">
        <f>IFERROR(SEARCH(search!$B$6,samples!F510,1),0)</f>
        <v>0</v>
      </c>
      <c r="M973" t="str">
        <f>IF(samples!G510=0,"",samples!G510)</f>
        <v/>
      </c>
      <c r="N973">
        <f>IFERROR(SEARCH(search!$B$6,samples!G510,1),0)</f>
        <v>0</v>
      </c>
      <c r="O973" t="str">
        <f>IF(samples!H510=0,"",samples!H510)</f>
        <v/>
      </c>
      <c r="P973">
        <f>IFERROR(SEARCH(search!$B$6,samples!H510,1),0)</f>
        <v>0</v>
      </c>
      <c r="Q973" t="str">
        <f>IF(samples!I510=0,"",samples!I510)</f>
        <v/>
      </c>
      <c r="R973">
        <f>IFERROR(SEARCH(search!$B$6,samples!I510,1),0)</f>
        <v>0</v>
      </c>
      <c r="S973" t="str">
        <f>IF(samples!J510=0,"",samples!J510)</f>
        <v/>
      </c>
      <c r="T973">
        <f>IFERROR(SEARCH(search!$B$6,samples!J510,1),0)</f>
        <v>0</v>
      </c>
      <c r="U973" t="str">
        <f>IF(samples!K510=0,"",samples!K510)</f>
        <v/>
      </c>
      <c r="V973">
        <f>IFERROR(SEARCH(search!$B$6,samples!K510,1),0)</f>
        <v>0</v>
      </c>
      <c r="W973" t="str">
        <f>IF(samples!L510=0,"",samples!L510)</f>
        <v/>
      </c>
      <c r="X973">
        <f>IFERROR(SEARCH(search!$B$6,samples!L510,1),0)</f>
        <v>0</v>
      </c>
      <c r="Y973" t="str">
        <f>IF(samples!M510=0,"",samples!M510)</f>
        <v/>
      </c>
      <c r="Z973">
        <f>IFERROR(SEARCH(search!$B$6,samples!M510,1),0)</f>
        <v>0</v>
      </c>
      <c r="AA973" t="str">
        <f>IF(samples!N510=0,"",samples!N510)</f>
        <v/>
      </c>
      <c r="AB973">
        <f>IFERROR(SEARCH(search!$B$6,samples!N510,1),0)</f>
        <v>0</v>
      </c>
      <c r="AC973" t="str">
        <f>IF(samples!O510=0,"",samples!O510)</f>
        <v/>
      </c>
      <c r="AD973">
        <f>IFERROR(SEARCH(search!$B$6,samples!O510,1),0)</f>
        <v>0</v>
      </c>
    </row>
    <row r="974" spans="1:30">
      <c r="A974">
        <f t="shared" si="15"/>
        <v>0</v>
      </c>
      <c r="B974">
        <f>IF(SUM(D974,F974,H974,J974,L974,N974,P974,R974,T974,V974,X974,Z974,AB974,AD974)&gt;0,SUM($A$2:A974),0)</f>
        <v>0</v>
      </c>
      <c r="C974">
        <f>samples!B511</f>
        <v>0</v>
      </c>
      <c r="D974">
        <f>IFERROR(SEARCH(search!$B$6,samples!B511,1),0)</f>
        <v>0</v>
      </c>
      <c r="E974" t="str">
        <f>IF(samples!C511=0,"",samples!C511)</f>
        <v/>
      </c>
      <c r="F974">
        <f>IFERROR(SEARCH(search!$B$6,samples!C511,1),0)</f>
        <v>0</v>
      </c>
      <c r="G974" t="str">
        <f>IF(samples!D511=0,"",samples!D511)</f>
        <v/>
      </c>
      <c r="H974">
        <f>IFERROR(SEARCH(search!$B$6,samples!D511,1),0)</f>
        <v>0</v>
      </c>
      <c r="I974" t="str">
        <f>IF(samples!E511=0,"",samples!E511)</f>
        <v/>
      </c>
      <c r="J974">
        <f>IFERROR(SEARCH(search!$B$6,samples!E511,1),0)</f>
        <v>0</v>
      </c>
      <c r="K974" t="str">
        <f>IF(samples!F511=0,"",samples!F511)</f>
        <v/>
      </c>
      <c r="L974">
        <f>IFERROR(SEARCH(search!$B$6,samples!F511,1),0)</f>
        <v>0</v>
      </c>
      <c r="M974" t="str">
        <f>IF(samples!G511=0,"",samples!G511)</f>
        <v/>
      </c>
      <c r="N974">
        <f>IFERROR(SEARCH(search!$B$6,samples!G511,1),0)</f>
        <v>0</v>
      </c>
      <c r="O974" t="str">
        <f>IF(samples!H511=0,"",samples!H511)</f>
        <v/>
      </c>
      <c r="P974">
        <f>IFERROR(SEARCH(search!$B$6,samples!H511,1),0)</f>
        <v>0</v>
      </c>
      <c r="Q974" t="str">
        <f>IF(samples!I511=0,"",samples!I511)</f>
        <v/>
      </c>
      <c r="R974">
        <f>IFERROR(SEARCH(search!$B$6,samples!I511,1),0)</f>
        <v>0</v>
      </c>
      <c r="S974" t="str">
        <f>IF(samples!J511=0,"",samples!J511)</f>
        <v/>
      </c>
      <c r="T974">
        <f>IFERROR(SEARCH(search!$B$6,samples!J511,1),0)</f>
        <v>0</v>
      </c>
      <c r="U974" t="str">
        <f>IF(samples!K511=0,"",samples!K511)</f>
        <v/>
      </c>
      <c r="V974">
        <f>IFERROR(SEARCH(search!$B$6,samples!K511,1),0)</f>
        <v>0</v>
      </c>
      <c r="W974" t="str">
        <f>IF(samples!L511=0,"",samples!L511)</f>
        <v/>
      </c>
      <c r="X974">
        <f>IFERROR(SEARCH(search!$B$6,samples!L511,1),0)</f>
        <v>0</v>
      </c>
      <c r="Y974" t="str">
        <f>IF(samples!M511=0,"",samples!M511)</f>
        <v/>
      </c>
      <c r="Z974">
        <f>IFERROR(SEARCH(search!$B$6,samples!M511,1),0)</f>
        <v>0</v>
      </c>
      <c r="AA974" t="str">
        <f>IF(samples!N511=0,"",samples!N511)</f>
        <v/>
      </c>
      <c r="AB974">
        <f>IFERROR(SEARCH(search!$B$6,samples!N511,1),0)</f>
        <v>0</v>
      </c>
      <c r="AC974" t="str">
        <f>IF(samples!O511=0,"",samples!O511)</f>
        <v/>
      </c>
      <c r="AD974">
        <f>IFERROR(SEARCH(search!$B$6,samples!O511,1),0)</f>
        <v>0</v>
      </c>
    </row>
    <row r="975" spans="1:30">
      <c r="A975">
        <f t="shared" si="15"/>
        <v>0</v>
      </c>
      <c r="B975">
        <f>IF(SUM(D975,F975,H975,J975,L975,N975,P975,R975,T975,V975,X975,Z975,AB975,AD975)&gt;0,SUM($A$2:A975),0)</f>
        <v>0</v>
      </c>
      <c r="C975">
        <f>samples!B512</f>
        <v>0</v>
      </c>
      <c r="D975">
        <f>IFERROR(SEARCH(search!$B$6,samples!B512,1),0)</f>
        <v>0</v>
      </c>
      <c r="E975" t="str">
        <f>IF(samples!C512=0,"",samples!C512)</f>
        <v/>
      </c>
      <c r="F975">
        <f>IFERROR(SEARCH(search!$B$6,samples!C512,1),0)</f>
        <v>0</v>
      </c>
      <c r="G975" t="str">
        <f>IF(samples!D512=0,"",samples!D512)</f>
        <v/>
      </c>
      <c r="H975">
        <f>IFERROR(SEARCH(search!$B$6,samples!D512,1),0)</f>
        <v>0</v>
      </c>
      <c r="I975" t="str">
        <f>IF(samples!E512=0,"",samples!E512)</f>
        <v/>
      </c>
      <c r="J975">
        <f>IFERROR(SEARCH(search!$B$6,samples!E512,1),0)</f>
        <v>0</v>
      </c>
      <c r="K975" t="str">
        <f>IF(samples!F512=0,"",samples!F512)</f>
        <v/>
      </c>
      <c r="L975">
        <f>IFERROR(SEARCH(search!$B$6,samples!F512,1),0)</f>
        <v>0</v>
      </c>
      <c r="M975" t="str">
        <f>IF(samples!G512=0,"",samples!G512)</f>
        <v/>
      </c>
      <c r="N975">
        <f>IFERROR(SEARCH(search!$B$6,samples!G512,1),0)</f>
        <v>0</v>
      </c>
      <c r="O975" t="str">
        <f>IF(samples!H512=0,"",samples!H512)</f>
        <v/>
      </c>
      <c r="P975">
        <f>IFERROR(SEARCH(search!$B$6,samples!H512,1),0)</f>
        <v>0</v>
      </c>
      <c r="Q975" t="str">
        <f>IF(samples!I512=0,"",samples!I512)</f>
        <v/>
      </c>
      <c r="R975">
        <f>IFERROR(SEARCH(search!$B$6,samples!I512,1),0)</f>
        <v>0</v>
      </c>
      <c r="S975" t="str">
        <f>IF(samples!J512=0,"",samples!J512)</f>
        <v/>
      </c>
      <c r="T975">
        <f>IFERROR(SEARCH(search!$B$6,samples!J512,1),0)</f>
        <v>0</v>
      </c>
      <c r="U975" t="str">
        <f>IF(samples!K512=0,"",samples!K512)</f>
        <v/>
      </c>
      <c r="V975">
        <f>IFERROR(SEARCH(search!$B$6,samples!K512,1),0)</f>
        <v>0</v>
      </c>
      <c r="W975" t="str">
        <f>IF(samples!L512=0,"",samples!L512)</f>
        <v/>
      </c>
      <c r="X975">
        <f>IFERROR(SEARCH(search!$B$6,samples!L512,1),0)</f>
        <v>0</v>
      </c>
      <c r="Y975" t="str">
        <f>IF(samples!M512=0,"",samples!M512)</f>
        <v/>
      </c>
      <c r="Z975">
        <f>IFERROR(SEARCH(search!$B$6,samples!M512,1),0)</f>
        <v>0</v>
      </c>
      <c r="AA975" t="str">
        <f>IF(samples!N512=0,"",samples!N512)</f>
        <v/>
      </c>
      <c r="AB975">
        <f>IFERROR(SEARCH(search!$B$6,samples!N512,1),0)</f>
        <v>0</v>
      </c>
      <c r="AC975" t="str">
        <f>IF(samples!O512=0,"",samples!O512)</f>
        <v/>
      </c>
      <c r="AD975">
        <f>IFERROR(SEARCH(search!$B$6,samples!O512,1),0)</f>
        <v>0</v>
      </c>
    </row>
    <row r="976" spans="1:30">
      <c r="A976">
        <f t="shared" si="15"/>
        <v>0</v>
      </c>
      <c r="B976">
        <f>IF(SUM(D976,F976,H976,J976,L976,N976,P976,R976,T976,V976,X976,Z976,AB976,AD976)&gt;0,SUM($A$2:A976),0)</f>
        <v>0</v>
      </c>
      <c r="C976">
        <f>samples!B513</f>
        <v>0</v>
      </c>
      <c r="D976">
        <f>IFERROR(SEARCH(search!$B$6,samples!B513,1),0)</f>
        <v>0</v>
      </c>
      <c r="E976" t="str">
        <f>IF(samples!C513=0,"",samples!C513)</f>
        <v/>
      </c>
      <c r="F976">
        <f>IFERROR(SEARCH(search!$B$6,samples!C513,1),0)</f>
        <v>0</v>
      </c>
      <c r="G976" t="str">
        <f>IF(samples!D513=0,"",samples!D513)</f>
        <v/>
      </c>
      <c r="H976">
        <f>IFERROR(SEARCH(search!$B$6,samples!D513,1),0)</f>
        <v>0</v>
      </c>
      <c r="I976" t="str">
        <f>IF(samples!E513=0,"",samples!E513)</f>
        <v/>
      </c>
      <c r="J976">
        <f>IFERROR(SEARCH(search!$B$6,samples!E513,1),0)</f>
        <v>0</v>
      </c>
      <c r="K976" t="str">
        <f>IF(samples!F513=0,"",samples!F513)</f>
        <v/>
      </c>
      <c r="L976">
        <f>IFERROR(SEARCH(search!$B$6,samples!F513,1),0)</f>
        <v>0</v>
      </c>
      <c r="M976" t="str">
        <f>IF(samples!G513=0,"",samples!G513)</f>
        <v/>
      </c>
      <c r="N976">
        <f>IFERROR(SEARCH(search!$B$6,samples!G513,1),0)</f>
        <v>0</v>
      </c>
      <c r="O976" t="str">
        <f>IF(samples!H513=0,"",samples!H513)</f>
        <v/>
      </c>
      <c r="P976">
        <f>IFERROR(SEARCH(search!$B$6,samples!H513,1),0)</f>
        <v>0</v>
      </c>
      <c r="Q976" t="str">
        <f>IF(samples!I513=0,"",samples!I513)</f>
        <v/>
      </c>
      <c r="R976">
        <f>IFERROR(SEARCH(search!$B$6,samples!I513,1),0)</f>
        <v>0</v>
      </c>
      <c r="S976" t="str">
        <f>IF(samples!J513=0,"",samples!J513)</f>
        <v/>
      </c>
      <c r="T976">
        <f>IFERROR(SEARCH(search!$B$6,samples!J513,1),0)</f>
        <v>0</v>
      </c>
      <c r="U976" t="str">
        <f>IF(samples!K513=0,"",samples!K513)</f>
        <v/>
      </c>
      <c r="V976">
        <f>IFERROR(SEARCH(search!$B$6,samples!K513,1),0)</f>
        <v>0</v>
      </c>
      <c r="W976" t="str">
        <f>IF(samples!L513=0,"",samples!L513)</f>
        <v/>
      </c>
      <c r="X976">
        <f>IFERROR(SEARCH(search!$B$6,samples!L513,1),0)</f>
        <v>0</v>
      </c>
      <c r="Y976" t="str">
        <f>IF(samples!M513=0,"",samples!M513)</f>
        <v/>
      </c>
      <c r="Z976">
        <f>IFERROR(SEARCH(search!$B$6,samples!M513,1),0)</f>
        <v>0</v>
      </c>
      <c r="AA976" t="str">
        <f>IF(samples!N513=0,"",samples!N513)</f>
        <v/>
      </c>
      <c r="AB976">
        <f>IFERROR(SEARCH(search!$B$6,samples!N513,1),0)</f>
        <v>0</v>
      </c>
      <c r="AC976" t="str">
        <f>IF(samples!O513=0,"",samples!O513)</f>
        <v/>
      </c>
      <c r="AD976">
        <f>IFERROR(SEARCH(search!$B$6,samples!O513,1),0)</f>
        <v>0</v>
      </c>
    </row>
    <row r="977" spans="1:30">
      <c r="A977">
        <f t="shared" si="15"/>
        <v>0</v>
      </c>
      <c r="B977">
        <f>IF(SUM(D977,F977,H977,J977,L977,N977,P977,R977,T977,V977,X977,Z977,AB977,AD977)&gt;0,SUM($A$2:A977),0)</f>
        <v>0</v>
      </c>
      <c r="C977">
        <f>samples!B514</f>
        <v>0</v>
      </c>
      <c r="D977">
        <f>IFERROR(SEARCH(search!$B$6,samples!B514,1),0)</f>
        <v>0</v>
      </c>
      <c r="E977" t="str">
        <f>IF(samples!C514=0,"",samples!C514)</f>
        <v/>
      </c>
      <c r="F977">
        <f>IFERROR(SEARCH(search!$B$6,samples!C514,1),0)</f>
        <v>0</v>
      </c>
      <c r="G977" t="str">
        <f>IF(samples!D514=0,"",samples!D514)</f>
        <v/>
      </c>
      <c r="H977">
        <f>IFERROR(SEARCH(search!$B$6,samples!D514,1),0)</f>
        <v>0</v>
      </c>
      <c r="I977" t="str">
        <f>IF(samples!E514=0,"",samples!E514)</f>
        <v/>
      </c>
      <c r="J977">
        <f>IFERROR(SEARCH(search!$B$6,samples!E514,1),0)</f>
        <v>0</v>
      </c>
      <c r="K977" t="str">
        <f>IF(samples!F514=0,"",samples!F514)</f>
        <v/>
      </c>
      <c r="L977">
        <f>IFERROR(SEARCH(search!$B$6,samples!F514,1),0)</f>
        <v>0</v>
      </c>
      <c r="M977" t="str">
        <f>IF(samples!G514=0,"",samples!G514)</f>
        <v/>
      </c>
      <c r="N977">
        <f>IFERROR(SEARCH(search!$B$6,samples!G514,1),0)</f>
        <v>0</v>
      </c>
      <c r="O977" t="str">
        <f>IF(samples!H514=0,"",samples!H514)</f>
        <v/>
      </c>
      <c r="P977">
        <f>IFERROR(SEARCH(search!$B$6,samples!H514,1),0)</f>
        <v>0</v>
      </c>
      <c r="Q977" t="str">
        <f>IF(samples!I514=0,"",samples!I514)</f>
        <v/>
      </c>
      <c r="R977">
        <f>IFERROR(SEARCH(search!$B$6,samples!I514,1),0)</f>
        <v>0</v>
      </c>
      <c r="S977" t="str">
        <f>IF(samples!J514=0,"",samples!J514)</f>
        <v/>
      </c>
      <c r="T977">
        <f>IFERROR(SEARCH(search!$B$6,samples!J514,1),0)</f>
        <v>0</v>
      </c>
      <c r="U977" t="str">
        <f>IF(samples!K514=0,"",samples!K514)</f>
        <v/>
      </c>
      <c r="V977">
        <f>IFERROR(SEARCH(search!$B$6,samples!K514,1),0)</f>
        <v>0</v>
      </c>
      <c r="W977" t="str">
        <f>IF(samples!L514=0,"",samples!L514)</f>
        <v/>
      </c>
      <c r="X977">
        <f>IFERROR(SEARCH(search!$B$6,samples!L514,1),0)</f>
        <v>0</v>
      </c>
      <c r="Y977" t="str">
        <f>IF(samples!M514=0,"",samples!M514)</f>
        <v/>
      </c>
      <c r="Z977">
        <f>IFERROR(SEARCH(search!$B$6,samples!M514,1),0)</f>
        <v>0</v>
      </c>
      <c r="AA977" t="str">
        <f>IF(samples!N514=0,"",samples!N514)</f>
        <v/>
      </c>
      <c r="AB977">
        <f>IFERROR(SEARCH(search!$B$6,samples!N514,1),0)</f>
        <v>0</v>
      </c>
      <c r="AC977" t="str">
        <f>IF(samples!O514=0,"",samples!O514)</f>
        <v/>
      </c>
      <c r="AD977">
        <f>IFERROR(SEARCH(search!$B$6,samples!O514,1),0)</f>
        <v>0</v>
      </c>
    </row>
    <row r="978" spans="1:30">
      <c r="A978">
        <f t="shared" si="15"/>
        <v>0</v>
      </c>
      <c r="B978">
        <f>IF(SUM(D978,F978,H978,J978,L978,N978,P978,R978,T978,V978,X978,Z978,AB978,AD978)&gt;0,SUM($A$2:A978),0)</f>
        <v>0</v>
      </c>
      <c r="C978">
        <f>samples!B515</f>
        <v>0</v>
      </c>
      <c r="D978">
        <f>IFERROR(SEARCH(search!$B$6,samples!B515,1),0)</f>
        <v>0</v>
      </c>
      <c r="E978" t="str">
        <f>IF(samples!C515=0,"",samples!C515)</f>
        <v/>
      </c>
      <c r="F978">
        <f>IFERROR(SEARCH(search!$B$6,samples!C515,1),0)</f>
        <v>0</v>
      </c>
      <c r="G978" t="str">
        <f>IF(samples!D515=0,"",samples!D515)</f>
        <v/>
      </c>
      <c r="H978">
        <f>IFERROR(SEARCH(search!$B$6,samples!D515,1),0)</f>
        <v>0</v>
      </c>
      <c r="I978" t="str">
        <f>IF(samples!E515=0,"",samples!E515)</f>
        <v/>
      </c>
      <c r="J978">
        <f>IFERROR(SEARCH(search!$B$6,samples!E515,1),0)</f>
        <v>0</v>
      </c>
      <c r="K978" t="str">
        <f>IF(samples!F515=0,"",samples!F515)</f>
        <v/>
      </c>
      <c r="L978">
        <f>IFERROR(SEARCH(search!$B$6,samples!F515,1),0)</f>
        <v>0</v>
      </c>
      <c r="M978" t="str">
        <f>IF(samples!G515=0,"",samples!G515)</f>
        <v/>
      </c>
      <c r="N978">
        <f>IFERROR(SEARCH(search!$B$6,samples!G515,1),0)</f>
        <v>0</v>
      </c>
      <c r="O978" t="str">
        <f>IF(samples!H515=0,"",samples!H515)</f>
        <v/>
      </c>
      <c r="P978">
        <f>IFERROR(SEARCH(search!$B$6,samples!H515,1),0)</f>
        <v>0</v>
      </c>
      <c r="Q978" t="str">
        <f>IF(samples!I515=0,"",samples!I515)</f>
        <v/>
      </c>
      <c r="R978">
        <f>IFERROR(SEARCH(search!$B$6,samples!I515,1),0)</f>
        <v>0</v>
      </c>
      <c r="S978" t="str">
        <f>IF(samples!J515=0,"",samples!J515)</f>
        <v/>
      </c>
      <c r="T978">
        <f>IFERROR(SEARCH(search!$B$6,samples!J515,1),0)</f>
        <v>0</v>
      </c>
      <c r="U978" t="str">
        <f>IF(samples!K515=0,"",samples!K515)</f>
        <v/>
      </c>
      <c r="V978">
        <f>IFERROR(SEARCH(search!$B$6,samples!K515,1),0)</f>
        <v>0</v>
      </c>
      <c r="W978" t="str">
        <f>IF(samples!L515=0,"",samples!L515)</f>
        <v/>
      </c>
      <c r="X978">
        <f>IFERROR(SEARCH(search!$B$6,samples!L515,1),0)</f>
        <v>0</v>
      </c>
      <c r="Y978" t="str">
        <f>IF(samples!M515=0,"",samples!M515)</f>
        <v/>
      </c>
      <c r="Z978">
        <f>IFERROR(SEARCH(search!$B$6,samples!M515,1),0)</f>
        <v>0</v>
      </c>
      <c r="AA978" t="str">
        <f>IF(samples!N515=0,"",samples!N515)</f>
        <v/>
      </c>
      <c r="AB978">
        <f>IFERROR(SEARCH(search!$B$6,samples!N515,1),0)</f>
        <v>0</v>
      </c>
      <c r="AC978" t="str">
        <f>IF(samples!O515=0,"",samples!O515)</f>
        <v/>
      </c>
      <c r="AD978">
        <f>IFERROR(SEARCH(search!$B$6,samples!O515,1),0)</f>
        <v>0</v>
      </c>
    </row>
    <row r="979" spans="1:30">
      <c r="A979">
        <f t="shared" si="15"/>
        <v>0</v>
      </c>
      <c r="B979">
        <f>IF(SUM(D979,F979,H979,J979,L979,N979,P979,R979,T979,V979,X979,Z979,AB979,AD979)&gt;0,SUM($A$2:A979),0)</f>
        <v>0</v>
      </c>
      <c r="C979">
        <f>samples!B516</f>
        <v>0</v>
      </c>
      <c r="D979">
        <f>IFERROR(SEARCH(search!$B$6,samples!B516,1),0)</f>
        <v>0</v>
      </c>
      <c r="E979" t="str">
        <f>IF(samples!C516=0,"",samples!C516)</f>
        <v/>
      </c>
      <c r="F979">
        <f>IFERROR(SEARCH(search!$B$6,samples!C516,1),0)</f>
        <v>0</v>
      </c>
      <c r="G979" t="str">
        <f>IF(samples!D516=0,"",samples!D516)</f>
        <v/>
      </c>
      <c r="H979">
        <f>IFERROR(SEARCH(search!$B$6,samples!D516,1),0)</f>
        <v>0</v>
      </c>
      <c r="I979" t="str">
        <f>IF(samples!E516=0,"",samples!E516)</f>
        <v/>
      </c>
      <c r="J979">
        <f>IFERROR(SEARCH(search!$B$6,samples!E516,1),0)</f>
        <v>0</v>
      </c>
      <c r="K979" t="str">
        <f>IF(samples!F516=0,"",samples!F516)</f>
        <v/>
      </c>
      <c r="L979">
        <f>IFERROR(SEARCH(search!$B$6,samples!F516,1),0)</f>
        <v>0</v>
      </c>
      <c r="M979" t="str">
        <f>IF(samples!G516=0,"",samples!G516)</f>
        <v/>
      </c>
      <c r="N979">
        <f>IFERROR(SEARCH(search!$B$6,samples!G516,1),0)</f>
        <v>0</v>
      </c>
      <c r="O979" t="str">
        <f>IF(samples!H516=0,"",samples!H516)</f>
        <v/>
      </c>
      <c r="P979">
        <f>IFERROR(SEARCH(search!$B$6,samples!H516,1),0)</f>
        <v>0</v>
      </c>
      <c r="Q979" t="str">
        <f>IF(samples!I516=0,"",samples!I516)</f>
        <v/>
      </c>
      <c r="R979">
        <f>IFERROR(SEARCH(search!$B$6,samples!I516,1),0)</f>
        <v>0</v>
      </c>
      <c r="S979" t="str">
        <f>IF(samples!J516=0,"",samples!J516)</f>
        <v/>
      </c>
      <c r="T979">
        <f>IFERROR(SEARCH(search!$B$6,samples!J516,1),0)</f>
        <v>0</v>
      </c>
      <c r="U979" t="str">
        <f>IF(samples!K516=0,"",samples!K516)</f>
        <v/>
      </c>
      <c r="V979">
        <f>IFERROR(SEARCH(search!$B$6,samples!K516,1),0)</f>
        <v>0</v>
      </c>
      <c r="W979" t="str">
        <f>IF(samples!L516=0,"",samples!L516)</f>
        <v/>
      </c>
      <c r="X979">
        <f>IFERROR(SEARCH(search!$B$6,samples!L516,1),0)</f>
        <v>0</v>
      </c>
      <c r="Y979" t="str">
        <f>IF(samples!M516=0,"",samples!M516)</f>
        <v/>
      </c>
      <c r="Z979">
        <f>IFERROR(SEARCH(search!$B$6,samples!M516,1),0)</f>
        <v>0</v>
      </c>
      <c r="AA979" t="str">
        <f>IF(samples!N516=0,"",samples!N516)</f>
        <v/>
      </c>
      <c r="AB979">
        <f>IFERROR(SEARCH(search!$B$6,samples!N516,1),0)</f>
        <v>0</v>
      </c>
      <c r="AC979" t="str">
        <f>IF(samples!O516=0,"",samples!O516)</f>
        <v/>
      </c>
      <c r="AD979">
        <f>IFERROR(SEARCH(search!$B$6,samples!O516,1),0)</f>
        <v>0</v>
      </c>
    </row>
    <row r="980" spans="1:30">
      <c r="A980">
        <f t="shared" si="15"/>
        <v>0</v>
      </c>
      <c r="B980">
        <f>IF(SUM(D980,F980,H980,J980,L980,N980,P980,R980,T980,V980,X980,Z980,AB980,AD980)&gt;0,SUM($A$2:A980),0)</f>
        <v>0</v>
      </c>
      <c r="C980">
        <f>samples!B517</f>
        <v>0</v>
      </c>
      <c r="D980">
        <f>IFERROR(SEARCH(search!$B$6,samples!B517,1),0)</f>
        <v>0</v>
      </c>
      <c r="E980" t="str">
        <f>IF(samples!C517=0,"",samples!C517)</f>
        <v/>
      </c>
      <c r="F980">
        <f>IFERROR(SEARCH(search!$B$6,samples!C517,1),0)</f>
        <v>0</v>
      </c>
      <c r="G980" t="str">
        <f>IF(samples!D517=0,"",samples!D517)</f>
        <v/>
      </c>
      <c r="H980">
        <f>IFERROR(SEARCH(search!$B$6,samples!D517,1),0)</f>
        <v>0</v>
      </c>
      <c r="I980" t="str">
        <f>IF(samples!E517=0,"",samples!E517)</f>
        <v/>
      </c>
      <c r="J980">
        <f>IFERROR(SEARCH(search!$B$6,samples!E517,1),0)</f>
        <v>0</v>
      </c>
      <c r="K980" t="str">
        <f>IF(samples!F517=0,"",samples!F517)</f>
        <v/>
      </c>
      <c r="L980">
        <f>IFERROR(SEARCH(search!$B$6,samples!F517,1),0)</f>
        <v>0</v>
      </c>
      <c r="M980" t="str">
        <f>IF(samples!G517=0,"",samples!G517)</f>
        <v/>
      </c>
      <c r="N980">
        <f>IFERROR(SEARCH(search!$B$6,samples!G517,1),0)</f>
        <v>0</v>
      </c>
      <c r="O980" t="str">
        <f>IF(samples!H517=0,"",samples!H517)</f>
        <v/>
      </c>
      <c r="P980">
        <f>IFERROR(SEARCH(search!$B$6,samples!H517,1),0)</f>
        <v>0</v>
      </c>
      <c r="Q980" t="str">
        <f>IF(samples!I517=0,"",samples!I517)</f>
        <v/>
      </c>
      <c r="R980">
        <f>IFERROR(SEARCH(search!$B$6,samples!I517,1),0)</f>
        <v>0</v>
      </c>
      <c r="S980" t="str">
        <f>IF(samples!J517=0,"",samples!J517)</f>
        <v/>
      </c>
      <c r="T980">
        <f>IFERROR(SEARCH(search!$B$6,samples!J517,1),0)</f>
        <v>0</v>
      </c>
      <c r="U980" t="str">
        <f>IF(samples!K517=0,"",samples!K517)</f>
        <v/>
      </c>
      <c r="V980">
        <f>IFERROR(SEARCH(search!$B$6,samples!K517,1),0)</f>
        <v>0</v>
      </c>
      <c r="W980" t="str">
        <f>IF(samples!L517=0,"",samples!L517)</f>
        <v/>
      </c>
      <c r="X980">
        <f>IFERROR(SEARCH(search!$B$6,samples!L517,1),0)</f>
        <v>0</v>
      </c>
      <c r="Y980" t="str">
        <f>IF(samples!M517=0,"",samples!M517)</f>
        <v/>
      </c>
      <c r="Z980">
        <f>IFERROR(SEARCH(search!$B$6,samples!M517,1),0)</f>
        <v>0</v>
      </c>
      <c r="AA980" t="str">
        <f>IF(samples!N517=0,"",samples!N517)</f>
        <v/>
      </c>
      <c r="AB980">
        <f>IFERROR(SEARCH(search!$B$6,samples!N517,1),0)</f>
        <v>0</v>
      </c>
      <c r="AC980" t="str">
        <f>IF(samples!O517=0,"",samples!O517)</f>
        <v/>
      </c>
      <c r="AD980">
        <f>IFERROR(SEARCH(search!$B$6,samples!O517,1),0)</f>
        <v>0</v>
      </c>
    </row>
    <row r="981" spans="1:30">
      <c r="A981">
        <f t="shared" si="15"/>
        <v>0</v>
      </c>
      <c r="B981">
        <f>IF(SUM(D981,F981,H981,J981,L981,N981,P981,R981,T981,V981,X981,Z981,AB981,AD981)&gt;0,SUM($A$2:A981),0)</f>
        <v>0</v>
      </c>
      <c r="C981">
        <f>samples!B518</f>
        <v>0</v>
      </c>
      <c r="D981">
        <f>IFERROR(SEARCH(search!$B$6,samples!B518,1),0)</f>
        <v>0</v>
      </c>
      <c r="E981" t="str">
        <f>IF(samples!C518=0,"",samples!C518)</f>
        <v/>
      </c>
      <c r="F981">
        <f>IFERROR(SEARCH(search!$B$6,samples!C518,1),0)</f>
        <v>0</v>
      </c>
      <c r="G981" t="str">
        <f>IF(samples!D518=0,"",samples!D518)</f>
        <v/>
      </c>
      <c r="H981">
        <f>IFERROR(SEARCH(search!$B$6,samples!D518,1),0)</f>
        <v>0</v>
      </c>
      <c r="I981" t="str">
        <f>IF(samples!E518=0,"",samples!E518)</f>
        <v/>
      </c>
      <c r="J981">
        <f>IFERROR(SEARCH(search!$B$6,samples!E518,1),0)</f>
        <v>0</v>
      </c>
      <c r="K981" t="str">
        <f>IF(samples!F518=0,"",samples!F518)</f>
        <v/>
      </c>
      <c r="L981">
        <f>IFERROR(SEARCH(search!$B$6,samples!F518,1),0)</f>
        <v>0</v>
      </c>
      <c r="M981" t="str">
        <f>IF(samples!G518=0,"",samples!G518)</f>
        <v/>
      </c>
      <c r="N981">
        <f>IFERROR(SEARCH(search!$B$6,samples!G518,1),0)</f>
        <v>0</v>
      </c>
      <c r="O981" t="str">
        <f>IF(samples!H518=0,"",samples!H518)</f>
        <v/>
      </c>
      <c r="P981">
        <f>IFERROR(SEARCH(search!$B$6,samples!H518,1),0)</f>
        <v>0</v>
      </c>
      <c r="Q981" t="str">
        <f>IF(samples!I518=0,"",samples!I518)</f>
        <v/>
      </c>
      <c r="R981">
        <f>IFERROR(SEARCH(search!$B$6,samples!I518,1),0)</f>
        <v>0</v>
      </c>
      <c r="S981" t="str">
        <f>IF(samples!J518=0,"",samples!J518)</f>
        <v/>
      </c>
      <c r="T981">
        <f>IFERROR(SEARCH(search!$B$6,samples!J518,1),0)</f>
        <v>0</v>
      </c>
      <c r="U981" t="str">
        <f>IF(samples!K518=0,"",samples!K518)</f>
        <v/>
      </c>
      <c r="V981">
        <f>IFERROR(SEARCH(search!$B$6,samples!K518,1),0)</f>
        <v>0</v>
      </c>
      <c r="W981" t="str">
        <f>IF(samples!L518=0,"",samples!L518)</f>
        <v/>
      </c>
      <c r="X981">
        <f>IFERROR(SEARCH(search!$B$6,samples!L518,1),0)</f>
        <v>0</v>
      </c>
      <c r="Y981" t="str">
        <f>IF(samples!M518=0,"",samples!M518)</f>
        <v/>
      </c>
      <c r="Z981">
        <f>IFERROR(SEARCH(search!$B$6,samples!M518,1),0)</f>
        <v>0</v>
      </c>
      <c r="AA981" t="str">
        <f>IF(samples!N518=0,"",samples!N518)</f>
        <v/>
      </c>
      <c r="AB981">
        <f>IFERROR(SEARCH(search!$B$6,samples!N518,1),0)</f>
        <v>0</v>
      </c>
      <c r="AC981" t="str">
        <f>IF(samples!O518=0,"",samples!O518)</f>
        <v/>
      </c>
      <c r="AD981">
        <f>IFERROR(SEARCH(search!$B$6,samples!O518,1),0)</f>
        <v>0</v>
      </c>
    </row>
    <row r="982" spans="1:30">
      <c r="A982">
        <f t="shared" si="15"/>
        <v>0</v>
      </c>
      <c r="B982">
        <f>IF(SUM(D982,F982,H982,J982,L982,N982,P982,R982,T982,V982,X982,Z982,AB982,AD982)&gt;0,SUM($A$2:A982),0)</f>
        <v>0</v>
      </c>
      <c r="C982">
        <f>samples!B519</f>
        <v>0</v>
      </c>
      <c r="D982">
        <f>IFERROR(SEARCH(search!$B$6,samples!B519,1),0)</f>
        <v>0</v>
      </c>
      <c r="E982" t="str">
        <f>IF(samples!C519=0,"",samples!C519)</f>
        <v/>
      </c>
      <c r="F982">
        <f>IFERROR(SEARCH(search!$B$6,samples!C519,1),0)</f>
        <v>0</v>
      </c>
      <c r="G982" t="str">
        <f>IF(samples!D519=0,"",samples!D519)</f>
        <v/>
      </c>
      <c r="H982">
        <f>IFERROR(SEARCH(search!$B$6,samples!D519,1),0)</f>
        <v>0</v>
      </c>
      <c r="I982" t="str">
        <f>IF(samples!E519=0,"",samples!E519)</f>
        <v/>
      </c>
      <c r="J982">
        <f>IFERROR(SEARCH(search!$B$6,samples!E519,1),0)</f>
        <v>0</v>
      </c>
      <c r="K982" t="str">
        <f>IF(samples!F519=0,"",samples!F519)</f>
        <v/>
      </c>
      <c r="L982">
        <f>IFERROR(SEARCH(search!$B$6,samples!F519,1),0)</f>
        <v>0</v>
      </c>
      <c r="M982" t="str">
        <f>IF(samples!G519=0,"",samples!G519)</f>
        <v/>
      </c>
      <c r="N982">
        <f>IFERROR(SEARCH(search!$B$6,samples!G519,1),0)</f>
        <v>0</v>
      </c>
      <c r="O982" t="str">
        <f>IF(samples!H519=0,"",samples!H519)</f>
        <v/>
      </c>
      <c r="P982">
        <f>IFERROR(SEARCH(search!$B$6,samples!H519,1),0)</f>
        <v>0</v>
      </c>
      <c r="Q982" t="str">
        <f>IF(samples!I519=0,"",samples!I519)</f>
        <v/>
      </c>
      <c r="R982">
        <f>IFERROR(SEARCH(search!$B$6,samples!I519,1),0)</f>
        <v>0</v>
      </c>
      <c r="S982" t="str">
        <f>IF(samples!J519=0,"",samples!J519)</f>
        <v/>
      </c>
      <c r="T982">
        <f>IFERROR(SEARCH(search!$B$6,samples!J519,1),0)</f>
        <v>0</v>
      </c>
      <c r="U982" t="str">
        <f>IF(samples!K519=0,"",samples!K519)</f>
        <v/>
      </c>
      <c r="V982">
        <f>IFERROR(SEARCH(search!$B$6,samples!K519,1),0)</f>
        <v>0</v>
      </c>
      <c r="W982" t="str">
        <f>IF(samples!L519=0,"",samples!L519)</f>
        <v/>
      </c>
      <c r="X982">
        <f>IFERROR(SEARCH(search!$B$6,samples!L519,1),0)</f>
        <v>0</v>
      </c>
      <c r="Y982" t="str">
        <f>IF(samples!M519=0,"",samples!M519)</f>
        <v/>
      </c>
      <c r="Z982">
        <f>IFERROR(SEARCH(search!$B$6,samples!M519,1),0)</f>
        <v>0</v>
      </c>
      <c r="AA982" t="str">
        <f>IF(samples!N519=0,"",samples!N519)</f>
        <v/>
      </c>
      <c r="AB982">
        <f>IFERROR(SEARCH(search!$B$6,samples!N519,1),0)</f>
        <v>0</v>
      </c>
      <c r="AC982" t="str">
        <f>IF(samples!O519=0,"",samples!O519)</f>
        <v/>
      </c>
      <c r="AD982">
        <f>IFERROR(SEARCH(search!$B$6,samples!O519,1),0)</f>
        <v>0</v>
      </c>
    </row>
    <row r="983" spans="1:30">
      <c r="A983">
        <f t="shared" si="15"/>
        <v>0</v>
      </c>
      <c r="B983">
        <f>IF(SUM(D983,F983,H983,J983,L983,N983,P983,R983,T983,V983,X983,Z983,AB983,AD983)&gt;0,SUM($A$2:A983),0)</f>
        <v>0</v>
      </c>
      <c r="C983">
        <f>samples!B520</f>
        <v>0</v>
      </c>
      <c r="D983">
        <f>IFERROR(SEARCH(search!$B$6,samples!B520,1),0)</f>
        <v>0</v>
      </c>
      <c r="E983" t="str">
        <f>IF(samples!C520=0,"",samples!C520)</f>
        <v/>
      </c>
      <c r="F983">
        <f>IFERROR(SEARCH(search!$B$6,samples!C520,1),0)</f>
        <v>0</v>
      </c>
      <c r="G983" t="str">
        <f>IF(samples!D520=0,"",samples!D520)</f>
        <v/>
      </c>
      <c r="H983">
        <f>IFERROR(SEARCH(search!$B$6,samples!D520,1),0)</f>
        <v>0</v>
      </c>
      <c r="I983" t="str">
        <f>IF(samples!E520=0,"",samples!E520)</f>
        <v/>
      </c>
      <c r="J983">
        <f>IFERROR(SEARCH(search!$B$6,samples!E520,1),0)</f>
        <v>0</v>
      </c>
      <c r="K983" t="str">
        <f>IF(samples!F520=0,"",samples!F520)</f>
        <v/>
      </c>
      <c r="L983">
        <f>IFERROR(SEARCH(search!$B$6,samples!F520,1),0)</f>
        <v>0</v>
      </c>
      <c r="M983" t="str">
        <f>IF(samples!G520=0,"",samples!G520)</f>
        <v/>
      </c>
      <c r="N983">
        <f>IFERROR(SEARCH(search!$B$6,samples!G520,1),0)</f>
        <v>0</v>
      </c>
      <c r="O983" t="str">
        <f>IF(samples!H520=0,"",samples!H520)</f>
        <v/>
      </c>
      <c r="P983">
        <f>IFERROR(SEARCH(search!$B$6,samples!H520,1),0)</f>
        <v>0</v>
      </c>
      <c r="Q983" t="str">
        <f>IF(samples!I520=0,"",samples!I520)</f>
        <v/>
      </c>
      <c r="R983">
        <f>IFERROR(SEARCH(search!$B$6,samples!I520,1),0)</f>
        <v>0</v>
      </c>
      <c r="S983" t="str">
        <f>IF(samples!J520=0,"",samples!J520)</f>
        <v/>
      </c>
      <c r="T983">
        <f>IFERROR(SEARCH(search!$B$6,samples!J520,1),0)</f>
        <v>0</v>
      </c>
      <c r="U983" t="str">
        <f>IF(samples!K520=0,"",samples!K520)</f>
        <v/>
      </c>
      <c r="V983">
        <f>IFERROR(SEARCH(search!$B$6,samples!K520,1),0)</f>
        <v>0</v>
      </c>
      <c r="W983" t="str">
        <f>IF(samples!L520=0,"",samples!L520)</f>
        <v/>
      </c>
      <c r="X983">
        <f>IFERROR(SEARCH(search!$B$6,samples!L520,1),0)</f>
        <v>0</v>
      </c>
      <c r="Y983" t="str">
        <f>IF(samples!M520=0,"",samples!M520)</f>
        <v/>
      </c>
      <c r="Z983">
        <f>IFERROR(SEARCH(search!$B$6,samples!M520,1),0)</f>
        <v>0</v>
      </c>
      <c r="AA983" t="str">
        <f>IF(samples!N520=0,"",samples!N520)</f>
        <v/>
      </c>
      <c r="AB983">
        <f>IFERROR(SEARCH(search!$B$6,samples!N520,1),0)</f>
        <v>0</v>
      </c>
      <c r="AC983" t="str">
        <f>IF(samples!O520=0,"",samples!O520)</f>
        <v/>
      </c>
      <c r="AD983">
        <f>IFERROR(SEARCH(search!$B$6,samples!O520,1),0)</f>
        <v>0</v>
      </c>
    </row>
    <row r="984" spans="1:30">
      <c r="A984">
        <f t="shared" si="15"/>
        <v>0</v>
      </c>
      <c r="B984">
        <f>IF(SUM(D984,F984,H984,J984,L984,N984,P984,R984,T984,V984,X984,Z984,AB984,AD984)&gt;0,SUM($A$2:A984),0)</f>
        <v>0</v>
      </c>
      <c r="C984">
        <f>samples!B521</f>
        <v>0</v>
      </c>
      <c r="D984">
        <f>IFERROR(SEARCH(search!$B$6,samples!B521,1),0)</f>
        <v>0</v>
      </c>
      <c r="E984" t="str">
        <f>IF(samples!C521=0,"",samples!C521)</f>
        <v/>
      </c>
      <c r="F984">
        <f>IFERROR(SEARCH(search!$B$6,samples!C521,1),0)</f>
        <v>0</v>
      </c>
      <c r="G984" t="str">
        <f>IF(samples!D521=0,"",samples!D521)</f>
        <v/>
      </c>
      <c r="H984">
        <f>IFERROR(SEARCH(search!$B$6,samples!D521,1),0)</f>
        <v>0</v>
      </c>
      <c r="I984" t="str">
        <f>IF(samples!E521=0,"",samples!E521)</f>
        <v/>
      </c>
      <c r="J984">
        <f>IFERROR(SEARCH(search!$B$6,samples!E521,1),0)</f>
        <v>0</v>
      </c>
      <c r="K984" t="str">
        <f>IF(samples!F521=0,"",samples!F521)</f>
        <v/>
      </c>
      <c r="L984">
        <f>IFERROR(SEARCH(search!$B$6,samples!F521,1),0)</f>
        <v>0</v>
      </c>
      <c r="M984" t="str">
        <f>IF(samples!G521=0,"",samples!G521)</f>
        <v/>
      </c>
      <c r="N984">
        <f>IFERROR(SEARCH(search!$B$6,samples!G521,1),0)</f>
        <v>0</v>
      </c>
      <c r="O984" t="str">
        <f>IF(samples!H521=0,"",samples!H521)</f>
        <v/>
      </c>
      <c r="P984">
        <f>IFERROR(SEARCH(search!$B$6,samples!H521,1),0)</f>
        <v>0</v>
      </c>
      <c r="Q984" t="str">
        <f>IF(samples!I521=0,"",samples!I521)</f>
        <v/>
      </c>
      <c r="R984">
        <f>IFERROR(SEARCH(search!$B$6,samples!I521,1),0)</f>
        <v>0</v>
      </c>
      <c r="S984" t="str">
        <f>IF(samples!J521=0,"",samples!J521)</f>
        <v/>
      </c>
      <c r="T984">
        <f>IFERROR(SEARCH(search!$B$6,samples!J521,1),0)</f>
        <v>0</v>
      </c>
      <c r="U984" t="str">
        <f>IF(samples!K521=0,"",samples!K521)</f>
        <v/>
      </c>
      <c r="V984">
        <f>IFERROR(SEARCH(search!$B$6,samples!K521,1),0)</f>
        <v>0</v>
      </c>
      <c r="W984" t="str">
        <f>IF(samples!L521=0,"",samples!L521)</f>
        <v/>
      </c>
      <c r="X984">
        <f>IFERROR(SEARCH(search!$B$6,samples!L521,1),0)</f>
        <v>0</v>
      </c>
      <c r="Y984" t="str">
        <f>IF(samples!M521=0,"",samples!M521)</f>
        <v/>
      </c>
      <c r="Z984">
        <f>IFERROR(SEARCH(search!$B$6,samples!M521,1),0)</f>
        <v>0</v>
      </c>
      <c r="AA984" t="str">
        <f>IF(samples!N521=0,"",samples!N521)</f>
        <v/>
      </c>
      <c r="AB984">
        <f>IFERROR(SEARCH(search!$B$6,samples!N521,1),0)</f>
        <v>0</v>
      </c>
      <c r="AC984" t="str">
        <f>IF(samples!O521=0,"",samples!O521)</f>
        <v/>
      </c>
      <c r="AD984">
        <f>IFERROR(SEARCH(search!$B$6,samples!O521,1),0)</f>
        <v>0</v>
      </c>
    </row>
    <row r="985" spans="1:30">
      <c r="A985">
        <f t="shared" si="15"/>
        <v>0</v>
      </c>
      <c r="B985">
        <f>IF(SUM(D985,F985,H985,J985,L985,N985,P985,R985,T985,V985,X985,Z985,AB985,AD985)&gt;0,SUM($A$2:A985),0)</f>
        <v>0</v>
      </c>
      <c r="C985">
        <f>samples!B522</f>
        <v>0</v>
      </c>
      <c r="D985">
        <f>IFERROR(SEARCH(search!$B$6,samples!B522,1),0)</f>
        <v>0</v>
      </c>
      <c r="E985" t="str">
        <f>IF(samples!C522=0,"",samples!C522)</f>
        <v/>
      </c>
      <c r="F985">
        <f>IFERROR(SEARCH(search!$B$6,samples!C522,1),0)</f>
        <v>0</v>
      </c>
      <c r="G985" t="str">
        <f>IF(samples!D522=0,"",samples!D522)</f>
        <v/>
      </c>
      <c r="H985">
        <f>IFERROR(SEARCH(search!$B$6,samples!D522,1),0)</f>
        <v>0</v>
      </c>
      <c r="I985" t="str">
        <f>IF(samples!E522=0,"",samples!E522)</f>
        <v/>
      </c>
      <c r="J985">
        <f>IFERROR(SEARCH(search!$B$6,samples!E522,1),0)</f>
        <v>0</v>
      </c>
      <c r="K985" t="str">
        <f>IF(samples!F522=0,"",samples!F522)</f>
        <v/>
      </c>
      <c r="L985">
        <f>IFERROR(SEARCH(search!$B$6,samples!F522,1),0)</f>
        <v>0</v>
      </c>
      <c r="M985" t="str">
        <f>IF(samples!G522=0,"",samples!G522)</f>
        <v/>
      </c>
      <c r="N985">
        <f>IFERROR(SEARCH(search!$B$6,samples!G522,1),0)</f>
        <v>0</v>
      </c>
      <c r="O985" t="str">
        <f>IF(samples!H522=0,"",samples!H522)</f>
        <v/>
      </c>
      <c r="P985">
        <f>IFERROR(SEARCH(search!$B$6,samples!H522,1),0)</f>
        <v>0</v>
      </c>
      <c r="Q985" t="str">
        <f>IF(samples!I522=0,"",samples!I522)</f>
        <v/>
      </c>
      <c r="R985">
        <f>IFERROR(SEARCH(search!$B$6,samples!I522,1),0)</f>
        <v>0</v>
      </c>
      <c r="S985" t="str">
        <f>IF(samples!J522=0,"",samples!J522)</f>
        <v/>
      </c>
      <c r="T985">
        <f>IFERROR(SEARCH(search!$B$6,samples!J522,1),0)</f>
        <v>0</v>
      </c>
      <c r="U985" t="str">
        <f>IF(samples!K522=0,"",samples!K522)</f>
        <v/>
      </c>
      <c r="V985">
        <f>IFERROR(SEARCH(search!$B$6,samples!K522,1),0)</f>
        <v>0</v>
      </c>
      <c r="W985" t="str">
        <f>IF(samples!L522=0,"",samples!L522)</f>
        <v/>
      </c>
      <c r="X985">
        <f>IFERROR(SEARCH(search!$B$6,samples!L522,1),0)</f>
        <v>0</v>
      </c>
      <c r="Y985" t="str">
        <f>IF(samples!M522=0,"",samples!M522)</f>
        <v/>
      </c>
      <c r="Z985">
        <f>IFERROR(SEARCH(search!$B$6,samples!M522,1),0)</f>
        <v>0</v>
      </c>
      <c r="AA985" t="str">
        <f>IF(samples!N522=0,"",samples!N522)</f>
        <v/>
      </c>
      <c r="AB985">
        <f>IFERROR(SEARCH(search!$B$6,samples!N522,1),0)</f>
        <v>0</v>
      </c>
      <c r="AC985" t="str">
        <f>IF(samples!O522=0,"",samples!O522)</f>
        <v/>
      </c>
      <c r="AD985">
        <f>IFERROR(SEARCH(search!$B$6,samples!O522,1),0)</f>
        <v>0</v>
      </c>
    </row>
    <row r="986" spans="1:30">
      <c r="A986">
        <f t="shared" si="15"/>
        <v>0</v>
      </c>
      <c r="B986">
        <f>IF(SUM(D986,F986,H986,J986,L986,N986,P986,R986,T986,V986,X986,Z986,AB986,AD986)&gt;0,SUM($A$2:A986),0)</f>
        <v>0</v>
      </c>
      <c r="C986">
        <f>samples!B523</f>
        <v>0</v>
      </c>
      <c r="D986">
        <f>IFERROR(SEARCH(search!$B$6,samples!B523,1),0)</f>
        <v>0</v>
      </c>
      <c r="E986" t="str">
        <f>IF(samples!C523=0,"",samples!C523)</f>
        <v/>
      </c>
      <c r="F986">
        <f>IFERROR(SEARCH(search!$B$6,samples!C523,1),0)</f>
        <v>0</v>
      </c>
      <c r="G986" t="str">
        <f>IF(samples!D523=0,"",samples!D523)</f>
        <v/>
      </c>
      <c r="H986">
        <f>IFERROR(SEARCH(search!$B$6,samples!D523,1),0)</f>
        <v>0</v>
      </c>
      <c r="I986" t="str">
        <f>IF(samples!E523=0,"",samples!E523)</f>
        <v/>
      </c>
      <c r="J986">
        <f>IFERROR(SEARCH(search!$B$6,samples!E523,1),0)</f>
        <v>0</v>
      </c>
      <c r="K986" t="str">
        <f>IF(samples!F523=0,"",samples!F523)</f>
        <v/>
      </c>
      <c r="L986">
        <f>IFERROR(SEARCH(search!$B$6,samples!F523,1),0)</f>
        <v>0</v>
      </c>
      <c r="M986" t="str">
        <f>IF(samples!G523=0,"",samples!G523)</f>
        <v/>
      </c>
      <c r="N986">
        <f>IFERROR(SEARCH(search!$B$6,samples!G523,1),0)</f>
        <v>0</v>
      </c>
      <c r="O986" t="str">
        <f>IF(samples!H523=0,"",samples!H523)</f>
        <v/>
      </c>
      <c r="P986">
        <f>IFERROR(SEARCH(search!$B$6,samples!H523,1),0)</f>
        <v>0</v>
      </c>
      <c r="Q986" t="str">
        <f>IF(samples!I523=0,"",samples!I523)</f>
        <v/>
      </c>
      <c r="R986">
        <f>IFERROR(SEARCH(search!$B$6,samples!I523,1),0)</f>
        <v>0</v>
      </c>
      <c r="S986" t="str">
        <f>IF(samples!J523=0,"",samples!J523)</f>
        <v/>
      </c>
      <c r="T986">
        <f>IFERROR(SEARCH(search!$B$6,samples!J523,1),0)</f>
        <v>0</v>
      </c>
      <c r="U986" t="str">
        <f>IF(samples!K523=0,"",samples!K523)</f>
        <v/>
      </c>
      <c r="V986">
        <f>IFERROR(SEARCH(search!$B$6,samples!K523,1),0)</f>
        <v>0</v>
      </c>
      <c r="W986" t="str">
        <f>IF(samples!L523=0,"",samples!L523)</f>
        <v/>
      </c>
      <c r="X986">
        <f>IFERROR(SEARCH(search!$B$6,samples!L523,1),0)</f>
        <v>0</v>
      </c>
      <c r="Y986" t="str">
        <f>IF(samples!M523=0,"",samples!M523)</f>
        <v/>
      </c>
      <c r="Z986">
        <f>IFERROR(SEARCH(search!$B$6,samples!M523,1),0)</f>
        <v>0</v>
      </c>
      <c r="AA986" t="str">
        <f>IF(samples!N523=0,"",samples!N523)</f>
        <v/>
      </c>
      <c r="AB986">
        <f>IFERROR(SEARCH(search!$B$6,samples!N523,1),0)</f>
        <v>0</v>
      </c>
      <c r="AC986" t="str">
        <f>IF(samples!O523=0,"",samples!O523)</f>
        <v/>
      </c>
      <c r="AD986">
        <f>IFERROR(SEARCH(search!$B$6,samples!O523,1),0)</f>
        <v>0</v>
      </c>
    </row>
    <row r="987" spans="1:30">
      <c r="A987">
        <f t="shared" si="15"/>
        <v>0</v>
      </c>
      <c r="B987">
        <f>IF(SUM(D987,F987,H987,J987,L987,N987,P987,R987,T987,V987,X987,Z987,AB987,AD987)&gt;0,SUM($A$2:A987),0)</f>
        <v>0</v>
      </c>
      <c r="C987">
        <f>samples!B524</f>
        <v>0</v>
      </c>
      <c r="D987">
        <f>IFERROR(SEARCH(search!$B$6,samples!B524,1),0)</f>
        <v>0</v>
      </c>
      <c r="E987" t="str">
        <f>IF(samples!C524=0,"",samples!C524)</f>
        <v/>
      </c>
      <c r="F987">
        <f>IFERROR(SEARCH(search!$B$6,samples!C524,1),0)</f>
        <v>0</v>
      </c>
      <c r="G987" t="str">
        <f>IF(samples!D524=0,"",samples!D524)</f>
        <v/>
      </c>
      <c r="H987">
        <f>IFERROR(SEARCH(search!$B$6,samples!D524,1),0)</f>
        <v>0</v>
      </c>
      <c r="I987" t="str">
        <f>IF(samples!E524=0,"",samples!E524)</f>
        <v/>
      </c>
      <c r="J987">
        <f>IFERROR(SEARCH(search!$B$6,samples!E524,1),0)</f>
        <v>0</v>
      </c>
      <c r="K987" t="str">
        <f>IF(samples!F524=0,"",samples!F524)</f>
        <v/>
      </c>
      <c r="L987">
        <f>IFERROR(SEARCH(search!$B$6,samples!F524,1),0)</f>
        <v>0</v>
      </c>
      <c r="M987" t="str">
        <f>IF(samples!G524=0,"",samples!G524)</f>
        <v/>
      </c>
      <c r="N987">
        <f>IFERROR(SEARCH(search!$B$6,samples!G524,1),0)</f>
        <v>0</v>
      </c>
      <c r="O987" t="str">
        <f>IF(samples!H524=0,"",samples!H524)</f>
        <v/>
      </c>
      <c r="P987">
        <f>IFERROR(SEARCH(search!$B$6,samples!H524,1),0)</f>
        <v>0</v>
      </c>
      <c r="Q987" t="str">
        <f>IF(samples!I524=0,"",samples!I524)</f>
        <v/>
      </c>
      <c r="R987">
        <f>IFERROR(SEARCH(search!$B$6,samples!I524,1),0)</f>
        <v>0</v>
      </c>
      <c r="S987" t="str">
        <f>IF(samples!J524=0,"",samples!J524)</f>
        <v/>
      </c>
      <c r="T987">
        <f>IFERROR(SEARCH(search!$B$6,samples!J524,1),0)</f>
        <v>0</v>
      </c>
      <c r="U987" t="str">
        <f>IF(samples!K524=0,"",samples!K524)</f>
        <v/>
      </c>
      <c r="V987">
        <f>IFERROR(SEARCH(search!$B$6,samples!K524,1),0)</f>
        <v>0</v>
      </c>
      <c r="W987" t="str">
        <f>IF(samples!L524=0,"",samples!L524)</f>
        <v/>
      </c>
      <c r="X987">
        <f>IFERROR(SEARCH(search!$B$6,samples!L524,1),0)</f>
        <v>0</v>
      </c>
      <c r="Y987" t="str">
        <f>IF(samples!M524=0,"",samples!M524)</f>
        <v/>
      </c>
      <c r="Z987">
        <f>IFERROR(SEARCH(search!$B$6,samples!M524,1),0)</f>
        <v>0</v>
      </c>
      <c r="AA987" t="str">
        <f>IF(samples!N524=0,"",samples!N524)</f>
        <v/>
      </c>
      <c r="AB987">
        <f>IFERROR(SEARCH(search!$B$6,samples!N524,1),0)</f>
        <v>0</v>
      </c>
      <c r="AC987" t="str">
        <f>IF(samples!O524=0,"",samples!O524)</f>
        <v/>
      </c>
      <c r="AD987">
        <f>IFERROR(SEARCH(search!$B$6,samples!O524,1),0)</f>
        <v>0</v>
      </c>
    </row>
    <row r="988" spans="1:30">
      <c r="A988">
        <f t="shared" si="15"/>
        <v>0</v>
      </c>
      <c r="B988">
        <f>IF(SUM(D988,F988,H988,J988,L988,N988,P988,R988,T988,V988,X988,Z988,AB988,AD988)&gt;0,SUM($A$2:A988),0)</f>
        <v>0</v>
      </c>
      <c r="C988">
        <f>samples!B525</f>
        <v>0</v>
      </c>
      <c r="D988">
        <f>IFERROR(SEARCH(search!$B$6,samples!B525,1),0)</f>
        <v>0</v>
      </c>
      <c r="E988" t="str">
        <f>IF(samples!C525=0,"",samples!C525)</f>
        <v/>
      </c>
      <c r="F988">
        <f>IFERROR(SEARCH(search!$B$6,samples!C525,1),0)</f>
        <v>0</v>
      </c>
      <c r="G988" t="str">
        <f>IF(samples!D525=0,"",samples!D525)</f>
        <v/>
      </c>
      <c r="H988">
        <f>IFERROR(SEARCH(search!$B$6,samples!D525,1),0)</f>
        <v>0</v>
      </c>
      <c r="I988" t="str">
        <f>IF(samples!E525=0,"",samples!E525)</f>
        <v/>
      </c>
      <c r="J988">
        <f>IFERROR(SEARCH(search!$B$6,samples!E525,1),0)</f>
        <v>0</v>
      </c>
      <c r="K988" t="str">
        <f>IF(samples!F525=0,"",samples!F525)</f>
        <v/>
      </c>
      <c r="L988">
        <f>IFERROR(SEARCH(search!$B$6,samples!F525,1),0)</f>
        <v>0</v>
      </c>
      <c r="M988" t="str">
        <f>IF(samples!G525=0,"",samples!G525)</f>
        <v/>
      </c>
      <c r="N988">
        <f>IFERROR(SEARCH(search!$B$6,samples!G525,1),0)</f>
        <v>0</v>
      </c>
      <c r="O988" t="str">
        <f>IF(samples!H525=0,"",samples!H525)</f>
        <v/>
      </c>
      <c r="P988">
        <f>IFERROR(SEARCH(search!$B$6,samples!H525,1),0)</f>
        <v>0</v>
      </c>
      <c r="Q988" t="str">
        <f>IF(samples!I525=0,"",samples!I525)</f>
        <v/>
      </c>
      <c r="R988">
        <f>IFERROR(SEARCH(search!$B$6,samples!I525,1),0)</f>
        <v>0</v>
      </c>
      <c r="S988" t="str">
        <f>IF(samples!J525=0,"",samples!J525)</f>
        <v/>
      </c>
      <c r="T988">
        <f>IFERROR(SEARCH(search!$B$6,samples!J525,1),0)</f>
        <v>0</v>
      </c>
      <c r="U988" t="str">
        <f>IF(samples!K525=0,"",samples!K525)</f>
        <v/>
      </c>
      <c r="V988">
        <f>IFERROR(SEARCH(search!$B$6,samples!K525,1),0)</f>
        <v>0</v>
      </c>
      <c r="W988" t="str">
        <f>IF(samples!L525=0,"",samples!L525)</f>
        <v/>
      </c>
      <c r="X988">
        <f>IFERROR(SEARCH(search!$B$6,samples!L525,1),0)</f>
        <v>0</v>
      </c>
      <c r="Y988" t="str">
        <f>IF(samples!M525=0,"",samples!M525)</f>
        <v/>
      </c>
      <c r="Z988">
        <f>IFERROR(SEARCH(search!$B$6,samples!M525,1),0)</f>
        <v>0</v>
      </c>
      <c r="AA988" t="str">
        <f>IF(samples!N525=0,"",samples!N525)</f>
        <v/>
      </c>
      <c r="AB988">
        <f>IFERROR(SEARCH(search!$B$6,samples!N525,1),0)</f>
        <v>0</v>
      </c>
      <c r="AC988" t="str">
        <f>IF(samples!O525=0,"",samples!O525)</f>
        <v/>
      </c>
      <c r="AD988">
        <f>IFERROR(SEARCH(search!$B$6,samples!O525,1),0)</f>
        <v>0</v>
      </c>
    </row>
    <row r="989" spans="1:30">
      <c r="A989">
        <f t="shared" si="15"/>
        <v>0</v>
      </c>
      <c r="B989">
        <f>IF(SUM(D989,F989,H989,J989,L989,N989,P989,R989,T989,V989,X989,Z989,AB989,AD989)&gt;0,SUM($A$2:A989),0)</f>
        <v>0</v>
      </c>
      <c r="C989">
        <f>samples!B526</f>
        <v>0</v>
      </c>
      <c r="D989">
        <f>IFERROR(SEARCH(search!$B$6,samples!B526,1),0)</f>
        <v>0</v>
      </c>
      <c r="E989" t="str">
        <f>IF(samples!C526=0,"",samples!C526)</f>
        <v/>
      </c>
      <c r="F989">
        <f>IFERROR(SEARCH(search!$B$6,samples!C526,1),0)</f>
        <v>0</v>
      </c>
      <c r="G989" t="str">
        <f>IF(samples!D526=0,"",samples!D526)</f>
        <v/>
      </c>
      <c r="H989">
        <f>IFERROR(SEARCH(search!$B$6,samples!D526,1),0)</f>
        <v>0</v>
      </c>
      <c r="I989" t="str">
        <f>IF(samples!E526=0,"",samples!E526)</f>
        <v/>
      </c>
      <c r="J989">
        <f>IFERROR(SEARCH(search!$B$6,samples!E526,1),0)</f>
        <v>0</v>
      </c>
      <c r="K989" t="str">
        <f>IF(samples!F526=0,"",samples!F526)</f>
        <v/>
      </c>
      <c r="L989">
        <f>IFERROR(SEARCH(search!$B$6,samples!F526,1),0)</f>
        <v>0</v>
      </c>
      <c r="M989" t="str">
        <f>IF(samples!G526=0,"",samples!G526)</f>
        <v/>
      </c>
      <c r="N989">
        <f>IFERROR(SEARCH(search!$B$6,samples!G526,1),0)</f>
        <v>0</v>
      </c>
      <c r="O989" t="str">
        <f>IF(samples!H526=0,"",samples!H526)</f>
        <v/>
      </c>
      <c r="P989">
        <f>IFERROR(SEARCH(search!$B$6,samples!H526,1),0)</f>
        <v>0</v>
      </c>
      <c r="Q989" t="str">
        <f>IF(samples!I526=0,"",samples!I526)</f>
        <v/>
      </c>
      <c r="R989">
        <f>IFERROR(SEARCH(search!$B$6,samples!I526,1),0)</f>
        <v>0</v>
      </c>
      <c r="S989" t="str">
        <f>IF(samples!J526=0,"",samples!J526)</f>
        <v/>
      </c>
      <c r="T989">
        <f>IFERROR(SEARCH(search!$B$6,samples!J526,1),0)</f>
        <v>0</v>
      </c>
      <c r="U989" t="str">
        <f>IF(samples!K526=0,"",samples!K526)</f>
        <v/>
      </c>
      <c r="V989">
        <f>IFERROR(SEARCH(search!$B$6,samples!K526,1),0)</f>
        <v>0</v>
      </c>
      <c r="W989" t="str">
        <f>IF(samples!L526=0,"",samples!L526)</f>
        <v/>
      </c>
      <c r="X989">
        <f>IFERROR(SEARCH(search!$B$6,samples!L526,1),0)</f>
        <v>0</v>
      </c>
      <c r="Y989" t="str">
        <f>IF(samples!M526=0,"",samples!M526)</f>
        <v/>
      </c>
      <c r="Z989">
        <f>IFERROR(SEARCH(search!$B$6,samples!M526,1),0)</f>
        <v>0</v>
      </c>
      <c r="AA989" t="str">
        <f>IF(samples!N526=0,"",samples!N526)</f>
        <v/>
      </c>
      <c r="AB989">
        <f>IFERROR(SEARCH(search!$B$6,samples!N526,1),0)</f>
        <v>0</v>
      </c>
      <c r="AC989" t="str">
        <f>IF(samples!O526=0,"",samples!O526)</f>
        <v/>
      </c>
      <c r="AD989">
        <f>IFERROR(SEARCH(search!$B$6,samples!O526,1),0)</f>
        <v>0</v>
      </c>
    </row>
    <row r="990" spans="1:30">
      <c r="A990">
        <f t="shared" si="15"/>
        <v>0</v>
      </c>
      <c r="B990">
        <f>IF(SUM(D990,F990,H990,J990,L990,N990,P990,R990,T990,V990,X990,Z990,AB990,AD990)&gt;0,SUM($A$2:A990),0)</f>
        <v>0</v>
      </c>
      <c r="C990">
        <f>samples!B527</f>
        <v>0</v>
      </c>
      <c r="D990">
        <f>IFERROR(SEARCH(search!$B$6,samples!B527,1),0)</f>
        <v>0</v>
      </c>
      <c r="E990" t="str">
        <f>IF(samples!C527=0,"",samples!C527)</f>
        <v/>
      </c>
      <c r="F990">
        <f>IFERROR(SEARCH(search!$B$6,samples!C527,1),0)</f>
        <v>0</v>
      </c>
      <c r="G990" t="str">
        <f>IF(samples!D527=0,"",samples!D527)</f>
        <v/>
      </c>
      <c r="H990">
        <f>IFERROR(SEARCH(search!$B$6,samples!D527,1),0)</f>
        <v>0</v>
      </c>
      <c r="I990" t="str">
        <f>IF(samples!E527=0,"",samples!E527)</f>
        <v/>
      </c>
      <c r="J990">
        <f>IFERROR(SEARCH(search!$B$6,samples!E527,1),0)</f>
        <v>0</v>
      </c>
      <c r="K990" t="str">
        <f>IF(samples!F527=0,"",samples!F527)</f>
        <v/>
      </c>
      <c r="L990">
        <f>IFERROR(SEARCH(search!$B$6,samples!F527,1),0)</f>
        <v>0</v>
      </c>
      <c r="M990" t="str">
        <f>IF(samples!G527=0,"",samples!G527)</f>
        <v/>
      </c>
      <c r="N990">
        <f>IFERROR(SEARCH(search!$B$6,samples!G527,1),0)</f>
        <v>0</v>
      </c>
      <c r="O990" t="str">
        <f>IF(samples!H527=0,"",samples!H527)</f>
        <v/>
      </c>
      <c r="P990">
        <f>IFERROR(SEARCH(search!$B$6,samples!H527,1),0)</f>
        <v>0</v>
      </c>
      <c r="Q990" t="str">
        <f>IF(samples!I527=0,"",samples!I527)</f>
        <v/>
      </c>
      <c r="R990">
        <f>IFERROR(SEARCH(search!$B$6,samples!I527,1),0)</f>
        <v>0</v>
      </c>
      <c r="S990" t="str">
        <f>IF(samples!J527=0,"",samples!J527)</f>
        <v/>
      </c>
      <c r="T990">
        <f>IFERROR(SEARCH(search!$B$6,samples!J527,1),0)</f>
        <v>0</v>
      </c>
      <c r="U990" t="str">
        <f>IF(samples!K527=0,"",samples!K527)</f>
        <v/>
      </c>
      <c r="V990">
        <f>IFERROR(SEARCH(search!$B$6,samples!K527,1),0)</f>
        <v>0</v>
      </c>
      <c r="W990" t="str">
        <f>IF(samples!L527=0,"",samples!L527)</f>
        <v/>
      </c>
      <c r="X990">
        <f>IFERROR(SEARCH(search!$B$6,samples!L527,1),0)</f>
        <v>0</v>
      </c>
      <c r="Y990" t="str">
        <f>IF(samples!M527=0,"",samples!M527)</f>
        <v/>
      </c>
      <c r="Z990">
        <f>IFERROR(SEARCH(search!$B$6,samples!M527,1),0)</f>
        <v>0</v>
      </c>
      <c r="AA990" t="str">
        <f>IF(samples!N527=0,"",samples!N527)</f>
        <v/>
      </c>
      <c r="AB990">
        <f>IFERROR(SEARCH(search!$B$6,samples!N527,1),0)</f>
        <v>0</v>
      </c>
      <c r="AC990" t="str">
        <f>IF(samples!O527=0,"",samples!O527)</f>
        <v/>
      </c>
      <c r="AD990">
        <f>IFERROR(SEARCH(search!$B$6,samples!O527,1),0)</f>
        <v>0</v>
      </c>
    </row>
    <row r="991" spans="1:30">
      <c r="A991">
        <f t="shared" si="15"/>
        <v>0</v>
      </c>
      <c r="B991">
        <f>IF(SUM(D991,F991,H991,J991,L991,N991,P991,R991,T991,V991,X991,Z991,AB991,AD991)&gt;0,SUM($A$2:A991),0)</f>
        <v>0</v>
      </c>
      <c r="C991">
        <f>samples!B528</f>
        <v>0</v>
      </c>
      <c r="D991">
        <f>IFERROR(SEARCH(search!$B$6,samples!B528,1),0)</f>
        <v>0</v>
      </c>
      <c r="E991" t="str">
        <f>IF(samples!C528=0,"",samples!C528)</f>
        <v/>
      </c>
      <c r="F991">
        <f>IFERROR(SEARCH(search!$B$6,samples!C528,1),0)</f>
        <v>0</v>
      </c>
      <c r="G991" t="str">
        <f>IF(samples!D528=0,"",samples!D528)</f>
        <v/>
      </c>
      <c r="H991">
        <f>IFERROR(SEARCH(search!$B$6,samples!D528,1),0)</f>
        <v>0</v>
      </c>
      <c r="I991" t="str">
        <f>IF(samples!E528=0,"",samples!E528)</f>
        <v/>
      </c>
      <c r="J991">
        <f>IFERROR(SEARCH(search!$B$6,samples!E528,1),0)</f>
        <v>0</v>
      </c>
      <c r="K991" t="str">
        <f>IF(samples!F528=0,"",samples!F528)</f>
        <v/>
      </c>
      <c r="L991">
        <f>IFERROR(SEARCH(search!$B$6,samples!F528,1),0)</f>
        <v>0</v>
      </c>
      <c r="M991" t="str">
        <f>IF(samples!G528=0,"",samples!G528)</f>
        <v/>
      </c>
      <c r="N991">
        <f>IFERROR(SEARCH(search!$B$6,samples!G528,1),0)</f>
        <v>0</v>
      </c>
      <c r="O991" t="str">
        <f>IF(samples!H528=0,"",samples!H528)</f>
        <v/>
      </c>
      <c r="P991">
        <f>IFERROR(SEARCH(search!$B$6,samples!H528,1),0)</f>
        <v>0</v>
      </c>
      <c r="Q991" t="str">
        <f>IF(samples!I528=0,"",samples!I528)</f>
        <v/>
      </c>
      <c r="R991">
        <f>IFERROR(SEARCH(search!$B$6,samples!I528,1),0)</f>
        <v>0</v>
      </c>
      <c r="S991" t="str">
        <f>IF(samples!J528=0,"",samples!J528)</f>
        <v/>
      </c>
      <c r="T991">
        <f>IFERROR(SEARCH(search!$B$6,samples!J528,1),0)</f>
        <v>0</v>
      </c>
      <c r="U991" t="str">
        <f>IF(samples!K528=0,"",samples!K528)</f>
        <v/>
      </c>
      <c r="V991">
        <f>IFERROR(SEARCH(search!$B$6,samples!K528,1),0)</f>
        <v>0</v>
      </c>
      <c r="W991" t="str">
        <f>IF(samples!L528=0,"",samples!L528)</f>
        <v/>
      </c>
      <c r="X991">
        <f>IFERROR(SEARCH(search!$B$6,samples!L528,1),0)</f>
        <v>0</v>
      </c>
      <c r="Y991" t="str">
        <f>IF(samples!M528=0,"",samples!M528)</f>
        <v/>
      </c>
      <c r="Z991">
        <f>IFERROR(SEARCH(search!$B$6,samples!M528,1),0)</f>
        <v>0</v>
      </c>
      <c r="AA991" t="str">
        <f>IF(samples!N528=0,"",samples!N528)</f>
        <v/>
      </c>
      <c r="AB991">
        <f>IFERROR(SEARCH(search!$B$6,samples!N528,1),0)</f>
        <v>0</v>
      </c>
      <c r="AC991" t="str">
        <f>IF(samples!O528=0,"",samples!O528)</f>
        <v/>
      </c>
      <c r="AD991">
        <f>IFERROR(SEARCH(search!$B$6,samples!O528,1),0)</f>
        <v>0</v>
      </c>
    </row>
    <row r="992" spans="1:30">
      <c r="A992">
        <f t="shared" si="15"/>
        <v>0</v>
      </c>
      <c r="B992">
        <f>IF(SUM(D992,F992,H992,J992,L992,N992,P992,R992,T992,V992,X992,Z992,AB992,AD992)&gt;0,SUM($A$2:A992),0)</f>
        <v>0</v>
      </c>
      <c r="C992">
        <f>samples!B529</f>
        <v>0</v>
      </c>
      <c r="D992">
        <f>IFERROR(SEARCH(search!$B$6,samples!B529,1),0)</f>
        <v>0</v>
      </c>
      <c r="E992" t="str">
        <f>IF(samples!C529=0,"",samples!C529)</f>
        <v/>
      </c>
      <c r="F992">
        <f>IFERROR(SEARCH(search!$B$6,samples!C529,1),0)</f>
        <v>0</v>
      </c>
      <c r="G992" t="str">
        <f>IF(samples!D529=0,"",samples!D529)</f>
        <v/>
      </c>
      <c r="H992">
        <f>IFERROR(SEARCH(search!$B$6,samples!D529,1),0)</f>
        <v>0</v>
      </c>
      <c r="I992" t="str">
        <f>IF(samples!E529=0,"",samples!E529)</f>
        <v/>
      </c>
      <c r="J992">
        <f>IFERROR(SEARCH(search!$B$6,samples!E529,1),0)</f>
        <v>0</v>
      </c>
      <c r="K992" t="str">
        <f>IF(samples!F529=0,"",samples!F529)</f>
        <v/>
      </c>
      <c r="L992">
        <f>IFERROR(SEARCH(search!$B$6,samples!F529,1),0)</f>
        <v>0</v>
      </c>
      <c r="M992" t="str">
        <f>IF(samples!G529=0,"",samples!G529)</f>
        <v/>
      </c>
      <c r="N992">
        <f>IFERROR(SEARCH(search!$B$6,samples!G529,1),0)</f>
        <v>0</v>
      </c>
      <c r="O992" t="str">
        <f>IF(samples!H529=0,"",samples!H529)</f>
        <v/>
      </c>
      <c r="P992">
        <f>IFERROR(SEARCH(search!$B$6,samples!H529,1),0)</f>
        <v>0</v>
      </c>
      <c r="Q992" t="str">
        <f>IF(samples!I529=0,"",samples!I529)</f>
        <v/>
      </c>
      <c r="R992">
        <f>IFERROR(SEARCH(search!$B$6,samples!I529,1),0)</f>
        <v>0</v>
      </c>
      <c r="S992" t="str">
        <f>IF(samples!J529=0,"",samples!J529)</f>
        <v/>
      </c>
      <c r="T992">
        <f>IFERROR(SEARCH(search!$B$6,samples!J529,1),0)</f>
        <v>0</v>
      </c>
      <c r="U992" t="str">
        <f>IF(samples!K529=0,"",samples!K529)</f>
        <v/>
      </c>
      <c r="V992">
        <f>IFERROR(SEARCH(search!$B$6,samples!K529,1),0)</f>
        <v>0</v>
      </c>
      <c r="W992" t="str">
        <f>IF(samples!L529=0,"",samples!L529)</f>
        <v/>
      </c>
      <c r="X992">
        <f>IFERROR(SEARCH(search!$B$6,samples!L529,1),0)</f>
        <v>0</v>
      </c>
      <c r="Y992" t="str">
        <f>IF(samples!M529=0,"",samples!M529)</f>
        <v/>
      </c>
      <c r="Z992">
        <f>IFERROR(SEARCH(search!$B$6,samples!M529,1),0)</f>
        <v>0</v>
      </c>
      <c r="AA992" t="str">
        <f>IF(samples!N529=0,"",samples!N529)</f>
        <v/>
      </c>
      <c r="AB992">
        <f>IFERROR(SEARCH(search!$B$6,samples!N529,1),0)</f>
        <v>0</v>
      </c>
      <c r="AC992" t="str">
        <f>IF(samples!O529=0,"",samples!O529)</f>
        <v/>
      </c>
      <c r="AD992">
        <f>IFERROR(SEARCH(search!$B$6,samples!O529,1),0)</f>
        <v>0</v>
      </c>
    </row>
    <row r="993" spans="1:30">
      <c r="A993">
        <f t="shared" si="15"/>
        <v>0</v>
      </c>
      <c r="B993">
        <f>IF(SUM(D993,F993,H993,J993,L993,N993,P993,R993,T993,V993,X993,Z993,AB993,AD993)&gt;0,SUM($A$2:A993),0)</f>
        <v>0</v>
      </c>
      <c r="C993">
        <f>samples!B530</f>
        <v>0</v>
      </c>
      <c r="D993">
        <f>IFERROR(SEARCH(search!$B$6,samples!B530,1),0)</f>
        <v>0</v>
      </c>
      <c r="E993" t="str">
        <f>IF(samples!C530=0,"",samples!C530)</f>
        <v/>
      </c>
      <c r="F993">
        <f>IFERROR(SEARCH(search!$B$6,samples!C530,1),0)</f>
        <v>0</v>
      </c>
      <c r="G993" t="str">
        <f>IF(samples!D530=0,"",samples!D530)</f>
        <v/>
      </c>
      <c r="H993">
        <f>IFERROR(SEARCH(search!$B$6,samples!D530,1),0)</f>
        <v>0</v>
      </c>
      <c r="I993" t="str">
        <f>IF(samples!E530=0,"",samples!E530)</f>
        <v/>
      </c>
      <c r="J993">
        <f>IFERROR(SEARCH(search!$B$6,samples!E530,1),0)</f>
        <v>0</v>
      </c>
      <c r="K993" t="str">
        <f>IF(samples!F530=0,"",samples!F530)</f>
        <v/>
      </c>
      <c r="L993">
        <f>IFERROR(SEARCH(search!$B$6,samples!F530,1),0)</f>
        <v>0</v>
      </c>
      <c r="M993" t="str">
        <f>IF(samples!G530=0,"",samples!G530)</f>
        <v/>
      </c>
      <c r="N993">
        <f>IFERROR(SEARCH(search!$B$6,samples!G530,1),0)</f>
        <v>0</v>
      </c>
      <c r="O993" t="str">
        <f>IF(samples!H530=0,"",samples!H530)</f>
        <v/>
      </c>
      <c r="P993">
        <f>IFERROR(SEARCH(search!$B$6,samples!H530,1),0)</f>
        <v>0</v>
      </c>
      <c r="Q993" t="str">
        <f>IF(samples!I530=0,"",samples!I530)</f>
        <v/>
      </c>
      <c r="R993">
        <f>IFERROR(SEARCH(search!$B$6,samples!I530,1),0)</f>
        <v>0</v>
      </c>
      <c r="S993" t="str">
        <f>IF(samples!J530=0,"",samples!J530)</f>
        <v/>
      </c>
      <c r="T993">
        <f>IFERROR(SEARCH(search!$B$6,samples!J530,1),0)</f>
        <v>0</v>
      </c>
      <c r="U993" t="str">
        <f>IF(samples!K530=0,"",samples!K530)</f>
        <v/>
      </c>
      <c r="V993">
        <f>IFERROR(SEARCH(search!$B$6,samples!K530,1),0)</f>
        <v>0</v>
      </c>
      <c r="W993" t="str">
        <f>IF(samples!L530=0,"",samples!L530)</f>
        <v/>
      </c>
      <c r="X993">
        <f>IFERROR(SEARCH(search!$B$6,samples!L530,1),0)</f>
        <v>0</v>
      </c>
      <c r="Y993" t="str">
        <f>IF(samples!M530=0,"",samples!M530)</f>
        <v/>
      </c>
      <c r="Z993">
        <f>IFERROR(SEARCH(search!$B$6,samples!M530,1),0)</f>
        <v>0</v>
      </c>
      <c r="AA993" t="str">
        <f>IF(samples!N530=0,"",samples!N530)</f>
        <v/>
      </c>
      <c r="AB993">
        <f>IFERROR(SEARCH(search!$B$6,samples!N530,1),0)</f>
        <v>0</v>
      </c>
      <c r="AC993" t="str">
        <f>IF(samples!O530=0,"",samples!O530)</f>
        <v/>
      </c>
      <c r="AD993">
        <f>IFERROR(SEARCH(search!$B$6,samples!O530,1),0)</f>
        <v>0</v>
      </c>
    </row>
    <row r="994" spans="1:30">
      <c r="A994">
        <f t="shared" si="15"/>
        <v>0</v>
      </c>
      <c r="B994">
        <f>IF(SUM(D994,F994,H994,J994,L994,N994,P994,R994,T994,V994,X994,Z994,AB994,AD994)&gt;0,SUM($A$2:A994),0)</f>
        <v>0</v>
      </c>
      <c r="C994">
        <f>samples!B531</f>
        <v>0</v>
      </c>
      <c r="D994">
        <f>IFERROR(SEARCH(search!$B$6,samples!B531,1),0)</f>
        <v>0</v>
      </c>
      <c r="E994" t="str">
        <f>IF(samples!C531=0,"",samples!C531)</f>
        <v/>
      </c>
      <c r="F994">
        <f>IFERROR(SEARCH(search!$B$6,samples!C531,1),0)</f>
        <v>0</v>
      </c>
      <c r="G994" t="str">
        <f>IF(samples!D531=0,"",samples!D531)</f>
        <v/>
      </c>
      <c r="H994">
        <f>IFERROR(SEARCH(search!$B$6,samples!D531,1),0)</f>
        <v>0</v>
      </c>
      <c r="I994" t="str">
        <f>IF(samples!E531=0,"",samples!E531)</f>
        <v/>
      </c>
      <c r="J994">
        <f>IFERROR(SEARCH(search!$B$6,samples!E531,1),0)</f>
        <v>0</v>
      </c>
      <c r="K994" t="str">
        <f>IF(samples!F531=0,"",samples!F531)</f>
        <v/>
      </c>
      <c r="L994">
        <f>IFERROR(SEARCH(search!$B$6,samples!F531,1),0)</f>
        <v>0</v>
      </c>
      <c r="M994" t="str">
        <f>IF(samples!G531=0,"",samples!G531)</f>
        <v/>
      </c>
      <c r="N994">
        <f>IFERROR(SEARCH(search!$B$6,samples!G531,1),0)</f>
        <v>0</v>
      </c>
      <c r="O994" t="str">
        <f>IF(samples!H531=0,"",samples!H531)</f>
        <v/>
      </c>
      <c r="P994">
        <f>IFERROR(SEARCH(search!$B$6,samples!H531,1),0)</f>
        <v>0</v>
      </c>
      <c r="Q994" t="str">
        <f>IF(samples!I531=0,"",samples!I531)</f>
        <v/>
      </c>
      <c r="R994">
        <f>IFERROR(SEARCH(search!$B$6,samples!I531,1),0)</f>
        <v>0</v>
      </c>
      <c r="S994" t="str">
        <f>IF(samples!J531=0,"",samples!J531)</f>
        <v/>
      </c>
      <c r="T994">
        <f>IFERROR(SEARCH(search!$B$6,samples!J531,1),0)</f>
        <v>0</v>
      </c>
      <c r="U994" t="str">
        <f>IF(samples!K531=0,"",samples!K531)</f>
        <v/>
      </c>
      <c r="V994">
        <f>IFERROR(SEARCH(search!$B$6,samples!K531,1),0)</f>
        <v>0</v>
      </c>
      <c r="W994" t="str">
        <f>IF(samples!L531=0,"",samples!L531)</f>
        <v/>
      </c>
      <c r="X994">
        <f>IFERROR(SEARCH(search!$B$6,samples!L531,1),0)</f>
        <v>0</v>
      </c>
      <c r="Y994" t="str">
        <f>IF(samples!M531=0,"",samples!M531)</f>
        <v/>
      </c>
      <c r="Z994">
        <f>IFERROR(SEARCH(search!$B$6,samples!M531,1),0)</f>
        <v>0</v>
      </c>
      <c r="AA994" t="str">
        <f>IF(samples!N531=0,"",samples!N531)</f>
        <v/>
      </c>
      <c r="AB994">
        <f>IFERROR(SEARCH(search!$B$6,samples!N531,1),0)</f>
        <v>0</v>
      </c>
      <c r="AC994" t="str">
        <f>IF(samples!O531=0,"",samples!O531)</f>
        <v/>
      </c>
      <c r="AD994">
        <f>IFERROR(SEARCH(search!$B$6,samples!O531,1),0)</f>
        <v>0</v>
      </c>
    </row>
    <row r="995" spans="1:30">
      <c r="A995">
        <f t="shared" si="15"/>
        <v>0</v>
      </c>
      <c r="B995">
        <f>IF(SUM(D995,F995,H995,J995,L995,N995,P995,R995,T995,V995,X995,Z995,AB995,AD995)&gt;0,SUM($A$2:A995),0)</f>
        <v>0</v>
      </c>
      <c r="C995">
        <f>samples!B532</f>
        <v>0</v>
      </c>
      <c r="D995">
        <f>IFERROR(SEARCH(search!$B$6,samples!B532,1),0)</f>
        <v>0</v>
      </c>
      <c r="E995" t="str">
        <f>IF(samples!C532=0,"",samples!C532)</f>
        <v/>
      </c>
      <c r="F995">
        <f>IFERROR(SEARCH(search!$B$6,samples!C532,1),0)</f>
        <v>0</v>
      </c>
      <c r="G995" t="str">
        <f>IF(samples!D532=0,"",samples!D532)</f>
        <v/>
      </c>
      <c r="H995">
        <f>IFERROR(SEARCH(search!$B$6,samples!D532,1),0)</f>
        <v>0</v>
      </c>
      <c r="I995" t="str">
        <f>IF(samples!E532=0,"",samples!E532)</f>
        <v/>
      </c>
      <c r="J995">
        <f>IFERROR(SEARCH(search!$B$6,samples!E532,1),0)</f>
        <v>0</v>
      </c>
      <c r="K995" t="str">
        <f>IF(samples!F532=0,"",samples!F532)</f>
        <v/>
      </c>
      <c r="L995">
        <f>IFERROR(SEARCH(search!$B$6,samples!F532,1),0)</f>
        <v>0</v>
      </c>
      <c r="M995" t="str">
        <f>IF(samples!G532=0,"",samples!G532)</f>
        <v/>
      </c>
      <c r="N995">
        <f>IFERROR(SEARCH(search!$B$6,samples!G532,1),0)</f>
        <v>0</v>
      </c>
      <c r="O995" t="str">
        <f>IF(samples!H532=0,"",samples!H532)</f>
        <v/>
      </c>
      <c r="P995">
        <f>IFERROR(SEARCH(search!$B$6,samples!H532,1),0)</f>
        <v>0</v>
      </c>
      <c r="Q995" t="str">
        <f>IF(samples!I532=0,"",samples!I532)</f>
        <v/>
      </c>
      <c r="R995">
        <f>IFERROR(SEARCH(search!$B$6,samples!I532,1),0)</f>
        <v>0</v>
      </c>
      <c r="S995" t="str">
        <f>IF(samples!J532=0,"",samples!J532)</f>
        <v/>
      </c>
      <c r="T995">
        <f>IFERROR(SEARCH(search!$B$6,samples!J532,1),0)</f>
        <v>0</v>
      </c>
      <c r="U995" t="str">
        <f>IF(samples!K532=0,"",samples!K532)</f>
        <v/>
      </c>
      <c r="V995">
        <f>IFERROR(SEARCH(search!$B$6,samples!K532,1),0)</f>
        <v>0</v>
      </c>
      <c r="W995" t="str">
        <f>IF(samples!L532=0,"",samples!L532)</f>
        <v/>
      </c>
      <c r="X995">
        <f>IFERROR(SEARCH(search!$B$6,samples!L532,1),0)</f>
        <v>0</v>
      </c>
      <c r="Y995" t="str">
        <f>IF(samples!M532=0,"",samples!M532)</f>
        <v/>
      </c>
      <c r="Z995">
        <f>IFERROR(SEARCH(search!$B$6,samples!M532,1),0)</f>
        <v>0</v>
      </c>
      <c r="AA995" t="str">
        <f>IF(samples!N532=0,"",samples!N532)</f>
        <v/>
      </c>
      <c r="AB995">
        <f>IFERROR(SEARCH(search!$B$6,samples!N532,1),0)</f>
        <v>0</v>
      </c>
      <c r="AC995" t="str">
        <f>IF(samples!O532=0,"",samples!O532)</f>
        <v/>
      </c>
      <c r="AD995">
        <f>IFERROR(SEARCH(search!$B$6,samples!O532,1),0)</f>
        <v>0</v>
      </c>
    </row>
    <row r="996" spans="1:30">
      <c r="A996">
        <f t="shared" si="15"/>
        <v>0</v>
      </c>
      <c r="B996">
        <f>IF(SUM(D996,F996,H996,J996,L996,N996,P996,R996,T996,V996,X996,Z996,AB996,AD996)&gt;0,SUM($A$2:A996),0)</f>
        <v>0</v>
      </c>
      <c r="C996">
        <f>samples!B533</f>
        <v>0</v>
      </c>
      <c r="D996">
        <f>IFERROR(SEARCH(search!$B$6,samples!B533,1),0)</f>
        <v>0</v>
      </c>
      <c r="E996" t="str">
        <f>IF(samples!C533=0,"",samples!C533)</f>
        <v/>
      </c>
      <c r="F996">
        <f>IFERROR(SEARCH(search!$B$6,samples!C533,1),0)</f>
        <v>0</v>
      </c>
      <c r="G996" t="str">
        <f>IF(samples!D533=0,"",samples!D533)</f>
        <v/>
      </c>
      <c r="H996">
        <f>IFERROR(SEARCH(search!$B$6,samples!D533,1),0)</f>
        <v>0</v>
      </c>
      <c r="I996" t="str">
        <f>IF(samples!E533=0,"",samples!E533)</f>
        <v/>
      </c>
      <c r="J996">
        <f>IFERROR(SEARCH(search!$B$6,samples!E533,1),0)</f>
        <v>0</v>
      </c>
      <c r="K996" t="str">
        <f>IF(samples!F533=0,"",samples!F533)</f>
        <v/>
      </c>
      <c r="L996">
        <f>IFERROR(SEARCH(search!$B$6,samples!F533,1),0)</f>
        <v>0</v>
      </c>
      <c r="M996" t="str">
        <f>IF(samples!G533=0,"",samples!G533)</f>
        <v/>
      </c>
      <c r="N996">
        <f>IFERROR(SEARCH(search!$B$6,samples!G533,1),0)</f>
        <v>0</v>
      </c>
      <c r="O996" t="str">
        <f>IF(samples!H533=0,"",samples!H533)</f>
        <v/>
      </c>
      <c r="P996">
        <f>IFERROR(SEARCH(search!$B$6,samples!H533,1),0)</f>
        <v>0</v>
      </c>
      <c r="Q996" t="str">
        <f>IF(samples!I533=0,"",samples!I533)</f>
        <v/>
      </c>
      <c r="R996">
        <f>IFERROR(SEARCH(search!$B$6,samples!I533,1),0)</f>
        <v>0</v>
      </c>
      <c r="S996" t="str">
        <f>IF(samples!J533=0,"",samples!J533)</f>
        <v/>
      </c>
      <c r="T996">
        <f>IFERROR(SEARCH(search!$B$6,samples!J533,1),0)</f>
        <v>0</v>
      </c>
      <c r="U996" t="str">
        <f>IF(samples!K533=0,"",samples!K533)</f>
        <v/>
      </c>
      <c r="V996">
        <f>IFERROR(SEARCH(search!$B$6,samples!K533,1),0)</f>
        <v>0</v>
      </c>
      <c r="W996" t="str">
        <f>IF(samples!L533=0,"",samples!L533)</f>
        <v/>
      </c>
      <c r="X996">
        <f>IFERROR(SEARCH(search!$B$6,samples!L533,1),0)</f>
        <v>0</v>
      </c>
      <c r="Y996" t="str">
        <f>IF(samples!M533=0,"",samples!M533)</f>
        <v/>
      </c>
      <c r="Z996">
        <f>IFERROR(SEARCH(search!$B$6,samples!M533,1),0)</f>
        <v>0</v>
      </c>
      <c r="AA996" t="str">
        <f>IF(samples!N533=0,"",samples!N533)</f>
        <v/>
      </c>
      <c r="AB996">
        <f>IFERROR(SEARCH(search!$B$6,samples!N533,1),0)</f>
        <v>0</v>
      </c>
      <c r="AC996" t="str">
        <f>IF(samples!O533=0,"",samples!O533)</f>
        <v/>
      </c>
      <c r="AD996">
        <f>IFERROR(SEARCH(search!$B$6,samples!O533,1),0)</f>
        <v>0</v>
      </c>
    </row>
    <row r="997" spans="1:30">
      <c r="A997">
        <f t="shared" si="15"/>
        <v>0</v>
      </c>
      <c r="B997">
        <f>IF(SUM(D997,F997,H997,J997,L997,N997,P997,R997,T997,V997,X997,Z997,AB997,AD997)&gt;0,SUM($A$2:A997),0)</f>
        <v>0</v>
      </c>
      <c r="C997">
        <f>samples!B534</f>
        <v>0</v>
      </c>
      <c r="D997">
        <f>IFERROR(SEARCH(search!$B$6,samples!B534,1),0)</f>
        <v>0</v>
      </c>
      <c r="E997" t="str">
        <f>IF(samples!C534=0,"",samples!C534)</f>
        <v/>
      </c>
      <c r="F997">
        <f>IFERROR(SEARCH(search!$B$6,samples!C534,1),0)</f>
        <v>0</v>
      </c>
      <c r="G997" t="str">
        <f>IF(samples!D534=0,"",samples!D534)</f>
        <v/>
      </c>
      <c r="H997">
        <f>IFERROR(SEARCH(search!$B$6,samples!D534,1),0)</f>
        <v>0</v>
      </c>
      <c r="I997" t="str">
        <f>IF(samples!E534=0,"",samples!E534)</f>
        <v/>
      </c>
      <c r="J997">
        <f>IFERROR(SEARCH(search!$B$6,samples!E534,1),0)</f>
        <v>0</v>
      </c>
      <c r="K997" t="str">
        <f>IF(samples!F534=0,"",samples!F534)</f>
        <v/>
      </c>
      <c r="L997">
        <f>IFERROR(SEARCH(search!$B$6,samples!F534,1),0)</f>
        <v>0</v>
      </c>
      <c r="M997" t="str">
        <f>IF(samples!G534=0,"",samples!G534)</f>
        <v/>
      </c>
      <c r="N997">
        <f>IFERROR(SEARCH(search!$B$6,samples!G534,1),0)</f>
        <v>0</v>
      </c>
      <c r="O997" t="str">
        <f>IF(samples!H534=0,"",samples!H534)</f>
        <v/>
      </c>
      <c r="P997">
        <f>IFERROR(SEARCH(search!$B$6,samples!H534,1),0)</f>
        <v>0</v>
      </c>
      <c r="Q997" t="str">
        <f>IF(samples!I534=0,"",samples!I534)</f>
        <v/>
      </c>
      <c r="R997">
        <f>IFERROR(SEARCH(search!$B$6,samples!I534,1),0)</f>
        <v>0</v>
      </c>
      <c r="S997" t="str">
        <f>IF(samples!J534=0,"",samples!J534)</f>
        <v/>
      </c>
      <c r="T997">
        <f>IFERROR(SEARCH(search!$B$6,samples!J534,1),0)</f>
        <v>0</v>
      </c>
      <c r="U997" t="str">
        <f>IF(samples!K534=0,"",samples!K534)</f>
        <v/>
      </c>
      <c r="V997">
        <f>IFERROR(SEARCH(search!$B$6,samples!K534,1),0)</f>
        <v>0</v>
      </c>
      <c r="W997" t="str">
        <f>IF(samples!L534=0,"",samples!L534)</f>
        <v/>
      </c>
      <c r="X997">
        <f>IFERROR(SEARCH(search!$B$6,samples!L534,1),0)</f>
        <v>0</v>
      </c>
      <c r="Y997" t="str">
        <f>IF(samples!M534=0,"",samples!M534)</f>
        <v/>
      </c>
      <c r="Z997">
        <f>IFERROR(SEARCH(search!$B$6,samples!M534,1),0)</f>
        <v>0</v>
      </c>
      <c r="AA997" t="str">
        <f>IF(samples!N534=0,"",samples!N534)</f>
        <v/>
      </c>
      <c r="AB997">
        <f>IFERROR(SEARCH(search!$B$6,samples!N534,1),0)</f>
        <v>0</v>
      </c>
      <c r="AC997" t="str">
        <f>IF(samples!O534=0,"",samples!O534)</f>
        <v/>
      </c>
      <c r="AD997">
        <f>IFERROR(SEARCH(search!$B$6,samples!O534,1),0)</f>
        <v>0</v>
      </c>
    </row>
    <row r="998" spans="1:30">
      <c r="A998">
        <f t="shared" si="15"/>
        <v>0</v>
      </c>
      <c r="B998">
        <f>IF(SUM(D998,F998,H998,J998,L998,N998,P998,R998,T998,V998,X998,Z998,AB998,AD998)&gt;0,SUM($A$2:A998),0)</f>
        <v>0</v>
      </c>
      <c r="C998">
        <f>samples!B535</f>
        <v>0</v>
      </c>
      <c r="D998">
        <f>IFERROR(SEARCH(search!$B$6,samples!B535,1),0)</f>
        <v>0</v>
      </c>
      <c r="E998" t="str">
        <f>IF(samples!C535=0,"",samples!C535)</f>
        <v/>
      </c>
      <c r="F998">
        <f>IFERROR(SEARCH(search!$B$6,samples!C535,1),0)</f>
        <v>0</v>
      </c>
      <c r="G998" t="str">
        <f>IF(samples!D535=0,"",samples!D535)</f>
        <v/>
      </c>
      <c r="H998">
        <f>IFERROR(SEARCH(search!$B$6,samples!D535,1),0)</f>
        <v>0</v>
      </c>
      <c r="I998" t="str">
        <f>IF(samples!E535=0,"",samples!E535)</f>
        <v/>
      </c>
      <c r="J998">
        <f>IFERROR(SEARCH(search!$B$6,samples!E535,1),0)</f>
        <v>0</v>
      </c>
      <c r="K998" t="str">
        <f>IF(samples!F535=0,"",samples!F535)</f>
        <v/>
      </c>
      <c r="L998">
        <f>IFERROR(SEARCH(search!$B$6,samples!F535,1),0)</f>
        <v>0</v>
      </c>
      <c r="M998" t="str">
        <f>IF(samples!G535=0,"",samples!G535)</f>
        <v/>
      </c>
      <c r="N998">
        <f>IFERROR(SEARCH(search!$B$6,samples!G535,1),0)</f>
        <v>0</v>
      </c>
      <c r="O998" t="str">
        <f>IF(samples!H535=0,"",samples!H535)</f>
        <v/>
      </c>
      <c r="P998">
        <f>IFERROR(SEARCH(search!$B$6,samples!H535,1),0)</f>
        <v>0</v>
      </c>
      <c r="Q998" t="str">
        <f>IF(samples!I535=0,"",samples!I535)</f>
        <v/>
      </c>
      <c r="R998">
        <f>IFERROR(SEARCH(search!$B$6,samples!I535,1),0)</f>
        <v>0</v>
      </c>
      <c r="S998" t="str">
        <f>IF(samples!J535=0,"",samples!J535)</f>
        <v/>
      </c>
      <c r="T998">
        <f>IFERROR(SEARCH(search!$B$6,samples!J535,1),0)</f>
        <v>0</v>
      </c>
      <c r="U998" t="str">
        <f>IF(samples!K535=0,"",samples!K535)</f>
        <v/>
      </c>
      <c r="V998">
        <f>IFERROR(SEARCH(search!$B$6,samples!K535,1),0)</f>
        <v>0</v>
      </c>
      <c r="W998" t="str">
        <f>IF(samples!L535=0,"",samples!L535)</f>
        <v/>
      </c>
      <c r="X998">
        <f>IFERROR(SEARCH(search!$B$6,samples!L535,1),0)</f>
        <v>0</v>
      </c>
      <c r="Y998" t="str">
        <f>IF(samples!M535=0,"",samples!M535)</f>
        <v/>
      </c>
      <c r="Z998">
        <f>IFERROR(SEARCH(search!$B$6,samples!M535,1),0)</f>
        <v>0</v>
      </c>
      <c r="AA998" t="str">
        <f>IF(samples!N535=0,"",samples!N535)</f>
        <v/>
      </c>
      <c r="AB998">
        <f>IFERROR(SEARCH(search!$B$6,samples!N535,1),0)</f>
        <v>0</v>
      </c>
      <c r="AC998" t="str">
        <f>IF(samples!O535=0,"",samples!O535)</f>
        <v/>
      </c>
      <c r="AD998">
        <f>IFERROR(SEARCH(search!$B$6,samples!O535,1),0)</f>
        <v>0</v>
      </c>
    </row>
    <row r="999" spans="1:30">
      <c r="A999">
        <f t="shared" si="15"/>
        <v>0</v>
      </c>
      <c r="B999">
        <f>IF(SUM(D999,F999,H999,J999,L999,N999,P999,R999,T999,V999,X999,Z999,AB999,AD999)&gt;0,SUM($A$2:A999),0)</f>
        <v>0</v>
      </c>
      <c r="C999">
        <f>samples!B536</f>
        <v>0</v>
      </c>
      <c r="D999">
        <f>IFERROR(SEARCH(search!$B$6,samples!B536,1),0)</f>
        <v>0</v>
      </c>
      <c r="E999" t="str">
        <f>IF(samples!C536=0,"",samples!C536)</f>
        <v/>
      </c>
      <c r="F999">
        <f>IFERROR(SEARCH(search!$B$6,samples!C536,1),0)</f>
        <v>0</v>
      </c>
      <c r="G999" t="str">
        <f>IF(samples!D536=0,"",samples!D536)</f>
        <v/>
      </c>
      <c r="H999">
        <f>IFERROR(SEARCH(search!$B$6,samples!D536,1),0)</f>
        <v>0</v>
      </c>
      <c r="I999" t="str">
        <f>IF(samples!E536=0,"",samples!E536)</f>
        <v/>
      </c>
      <c r="J999">
        <f>IFERROR(SEARCH(search!$B$6,samples!E536,1),0)</f>
        <v>0</v>
      </c>
      <c r="K999" t="str">
        <f>IF(samples!F536=0,"",samples!F536)</f>
        <v/>
      </c>
      <c r="L999">
        <f>IFERROR(SEARCH(search!$B$6,samples!F536,1),0)</f>
        <v>0</v>
      </c>
      <c r="M999" t="str">
        <f>IF(samples!G536=0,"",samples!G536)</f>
        <v/>
      </c>
      <c r="N999">
        <f>IFERROR(SEARCH(search!$B$6,samples!G536,1),0)</f>
        <v>0</v>
      </c>
      <c r="O999" t="str">
        <f>IF(samples!H536=0,"",samples!H536)</f>
        <v/>
      </c>
      <c r="P999">
        <f>IFERROR(SEARCH(search!$B$6,samples!H536,1),0)</f>
        <v>0</v>
      </c>
      <c r="Q999" t="str">
        <f>IF(samples!I536=0,"",samples!I536)</f>
        <v/>
      </c>
      <c r="R999">
        <f>IFERROR(SEARCH(search!$B$6,samples!I536,1),0)</f>
        <v>0</v>
      </c>
      <c r="S999" t="str">
        <f>IF(samples!J536=0,"",samples!J536)</f>
        <v/>
      </c>
      <c r="T999">
        <f>IFERROR(SEARCH(search!$B$6,samples!J536,1),0)</f>
        <v>0</v>
      </c>
      <c r="U999" t="str">
        <f>IF(samples!K536=0,"",samples!K536)</f>
        <v/>
      </c>
      <c r="V999">
        <f>IFERROR(SEARCH(search!$B$6,samples!K536,1),0)</f>
        <v>0</v>
      </c>
      <c r="W999" t="str">
        <f>IF(samples!L536=0,"",samples!L536)</f>
        <v/>
      </c>
      <c r="X999">
        <f>IFERROR(SEARCH(search!$B$6,samples!L536,1),0)</f>
        <v>0</v>
      </c>
      <c r="Y999" t="str">
        <f>IF(samples!M536=0,"",samples!M536)</f>
        <v/>
      </c>
      <c r="Z999">
        <f>IFERROR(SEARCH(search!$B$6,samples!M536,1),0)</f>
        <v>0</v>
      </c>
      <c r="AA999" t="str">
        <f>IF(samples!N536=0,"",samples!N536)</f>
        <v/>
      </c>
      <c r="AB999">
        <f>IFERROR(SEARCH(search!$B$6,samples!N536,1),0)</f>
        <v>0</v>
      </c>
      <c r="AC999" t="str">
        <f>IF(samples!O536=0,"",samples!O536)</f>
        <v/>
      </c>
      <c r="AD999">
        <f>IFERROR(SEARCH(search!$B$6,samples!O536,1),0)</f>
        <v>0</v>
      </c>
    </row>
    <row r="1000" spans="1:30">
      <c r="A1000">
        <f t="shared" si="15"/>
        <v>0</v>
      </c>
      <c r="B1000">
        <f>IF(SUM(D1000,F1000,H1000,J1000,L1000,N1000,P1000,R1000,T1000,V1000,X1000,Z1000,AB1000,AD1000)&gt;0,SUM($A$2:A1000),0)</f>
        <v>0</v>
      </c>
      <c r="C1000">
        <f>samples!B537</f>
        <v>0</v>
      </c>
      <c r="D1000">
        <f>IFERROR(SEARCH(search!$B$6,samples!B537,1),0)</f>
        <v>0</v>
      </c>
      <c r="E1000" t="str">
        <f>IF(samples!C537=0,"",samples!C537)</f>
        <v/>
      </c>
      <c r="F1000">
        <f>IFERROR(SEARCH(search!$B$6,samples!C537,1),0)</f>
        <v>0</v>
      </c>
      <c r="G1000" t="str">
        <f>IF(samples!D537=0,"",samples!D537)</f>
        <v/>
      </c>
      <c r="H1000">
        <f>IFERROR(SEARCH(search!$B$6,samples!D537,1),0)</f>
        <v>0</v>
      </c>
      <c r="I1000" t="str">
        <f>IF(samples!E537=0,"",samples!E537)</f>
        <v/>
      </c>
      <c r="J1000">
        <f>IFERROR(SEARCH(search!$B$6,samples!E537,1),0)</f>
        <v>0</v>
      </c>
      <c r="K1000" t="str">
        <f>IF(samples!F537=0,"",samples!F537)</f>
        <v/>
      </c>
      <c r="L1000">
        <f>IFERROR(SEARCH(search!$B$6,samples!F537,1),0)</f>
        <v>0</v>
      </c>
      <c r="M1000" t="str">
        <f>IF(samples!G537=0,"",samples!G537)</f>
        <v/>
      </c>
      <c r="N1000">
        <f>IFERROR(SEARCH(search!$B$6,samples!G537,1),0)</f>
        <v>0</v>
      </c>
      <c r="O1000" t="str">
        <f>IF(samples!H537=0,"",samples!H537)</f>
        <v/>
      </c>
      <c r="P1000">
        <f>IFERROR(SEARCH(search!$B$6,samples!H537,1),0)</f>
        <v>0</v>
      </c>
      <c r="Q1000" t="str">
        <f>IF(samples!I537=0,"",samples!I537)</f>
        <v/>
      </c>
      <c r="R1000">
        <f>IFERROR(SEARCH(search!$B$6,samples!I537,1),0)</f>
        <v>0</v>
      </c>
      <c r="S1000" t="str">
        <f>IF(samples!J537=0,"",samples!J537)</f>
        <v/>
      </c>
      <c r="T1000">
        <f>IFERROR(SEARCH(search!$B$6,samples!J537,1),0)</f>
        <v>0</v>
      </c>
      <c r="U1000" t="str">
        <f>IF(samples!K537=0,"",samples!K537)</f>
        <v/>
      </c>
      <c r="V1000">
        <f>IFERROR(SEARCH(search!$B$6,samples!K537,1),0)</f>
        <v>0</v>
      </c>
      <c r="W1000" t="str">
        <f>IF(samples!L537=0,"",samples!L537)</f>
        <v/>
      </c>
      <c r="X1000">
        <f>IFERROR(SEARCH(search!$B$6,samples!L537,1),0)</f>
        <v>0</v>
      </c>
      <c r="Y1000" t="str">
        <f>IF(samples!M537=0,"",samples!M537)</f>
        <v/>
      </c>
      <c r="Z1000">
        <f>IFERROR(SEARCH(search!$B$6,samples!M537,1),0)</f>
        <v>0</v>
      </c>
      <c r="AA1000" t="str">
        <f>IF(samples!N537=0,"",samples!N537)</f>
        <v/>
      </c>
      <c r="AB1000">
        <f>IFERROR(SEARCH(search!$B$6,samples!N537,1),0)</f>
        <v>0</v>
      </c>
      <c r="AC1000" t="str">
        <f>IF(samples!O537=0,"",samples!O537)</f>
        <v/>
      </c>
      <c r="AD1000">
        <f>IFERROR(SEARCH(search!$B$6,samples!O537,1),0)</f>
        <v>0</v>
      </c>
    </row>
    <row r="1001" spans="1:30">
      <c r="A1001">
        <f t="shared" si="15"/>
        <v>0</v>
      </c>
      <c r="B1001">
        <f>IF(SUM(D1001,F1001,H1001,J1001,L1001,N1001,P1001,R1001,T1001,V1001,X1001,Z1001,AB1001,AD1001)&gt;0,SUM($A$2:A1001),0)</f>
        <v>0</v>
      </c>
      <c r="C1001">
        <f>samples!B538</f>
        <v>0</v>
      </c>
      <c r="D1001">
        <f>IFERROR(SEARCH(search!$B$6,samples!B538,1),0)</f>
        <v>0</v>
      </c>
      <c r="E1001" t="str">
        <f>IF(samples!C538=0,"",samples!C538)</f>
        <v/>
      </c>
      <c r="F1001">
        <f>IFERROR(SEARCH(search!$B$6,samples!C538,1),0)</f>
        <v>0</v>
      </c>
      <c r="G1001" t="str">
        <f>IF(samples!D538=0,"",samples!D538)</f>
        <v/>
      </c>
      <c r="H1001">
        <f>IFERROR(SEARCH(search!$B$6,samples!D538,1),0)</f>
        <v>0</v>
      </c>
      <c r="I1001" t="str">
        <f>IF(samples!E538=0,"",samples!E538)</f>
        <v/>
      </c>
      <c r="J1001">
        <f>IFERROR(SEARCH(search!$B$6,samples!E538,1),0)</f>
        <v>0</v>
      </c>
      <c r="K1001" t="str">
        <f>IF(samples!F538=0,"",samples!F538)</f>
        <v/>
      </c>
      <c r="L1001">
        <f>IFERROR(SEARCH(search!$B$6,samples!F538,1),0)</f>
        <v>0</v>
      </c>
      <c r="M1001" t="str">
        <f>IF(samples!G538=0,"",samples!G538)</f>
        <v/>
      </c>
      <c r="N1001">
        <f>IFERROR(SEARCH(search!$B$6,samples!G538,1),0)</f>
        <v>0</v>
      </c>
      <c r="O1001" t="str">
        <f>IF(samples!H538=0,"",samples!H538)</f>
        <v/>
      </c>
      <c r="P1001">
        <f>IFERROR(SEARCH(search!$B$6,samples!H538,1),0)</f>
        <v>0</v>
      </c>
      <c r="Q1001" t="str">
        <f>IF(samples!I538=0,"",samples!I538)</f>
        <v/>
      </c>
      <c r="R1001">
        <f>IFERROR(SEARCH(search!$B$6,samples!I538,1),0)</f>
        <v>0</v>
      </c>
      <c r="S1001" t="str">
        <f>IF(samples!J538=0,"",samples!J538)</f>
        <v/>
      </c>
      <c r="T1001">
        <f>IFERROR(SEARCH(search!$B$6,samples!J538,1),0)</f>
        <v>0</v>
      </c>
      <c r="U1001" t="str">
        <f>IF(samples!K538=0,"",samples!K538)</f>
        <v/>
      </c>
      <c r="V1001">
        <f>IFERROR(SEARCH(search!$B$6,samples!K538,1),0)</f>
        <v>0</v>
      </c>
      <c r="W1001" t="str">
        <f>IF(samples!L538=0,"",samples!L538)</f>
        <v/>
      </c>
      <c r="X1001">
        <f>IFERROR(SEARCH(search!$B$6,samples!L538,1),0)</f>
        <v>0</v>
      </c>
      <c r="Y1001" t="str">
        <f>IF(samples!M538=0,"",samples!M538)</f>
        <v/>
      </c>
      <c r="Z1001">
        <f>IFERROR(SEARCH(search!$B$6,samples!M538,1),0)</f>
        <v>0</v>
      </c>
      <c r="AA1001" t="str">
        <f>IF(samples!N538=0,"",samples!N538)</f>
        <v/>
      </c>
      <c r="AB1001">
        <f>IFERROR(SEARCH(search!$B$6,samples!N538,1),0)</f>
        <v>0</v>
      </c>
      <c r="AC1001" t="str">
        <f>IF(samples!O538=0,"",samples!O538)</f>
        <v/>
      </c>
      <c r="AD1001">
        <f>IFERROR(SEARCH(search!$B$6,samples!O538,1),0)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Marszalek</dc:creator>
  <cp:lastModifiedBy>Bartosz Marszałek</cp:lastModifiedBy>
  <cp:lastPrinted>2015-05-06T10:23:32Z</cp:lastPrinted>
  <dcterms:created xsi:type="dcterms:W3CDTF">2015-02-24T21:43:40Z</dcterms:created>
  <dcterms:modified xsi:type="dcterms:W3CDTF">2019-12-13T11:47:35Z</dcterms:modified>
</cp:coreProperties>
</file>